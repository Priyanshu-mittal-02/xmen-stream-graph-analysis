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epanshu\Desktop\PRIYANSHU\EXCEL\X-MEN STREAM DATA GRAPH\"/>
    </mc:Choice>
  </mc:AlternateContent>
  <xr:revisionPtr revIDLastSave="0" documentId="13_ncr:1_{1DC30D93-7DB3-4652-816A-5FFFCABE3959}" xr6:coauthVersionLast="47" xr6:coauthVersionMax="47" xr10:uidLastSave="{00000000-0000-0000-0000-000000000000}"/>
  <bookViews>
    <workbookView xWindow="-108" yWindow="-108" windowWidth="23256" windowHeight="12456" xr2:uid="{B67959DF-9AAA-4F19-8267-562943A35375}"/>
  </bookViews>
  <sheets>
    <sheet name="Stream Graph" sheetId="7" r:id="rId1"/>
    <sheet name="Matrix" sheetId="6" r:id="rId2"/>
    <sheet name="Buttons" sheetId="10" r:id="rId3"/>
    <sheet name="Tables" sheetId="3" r:id="rId4"/>
    <sheet name="Data" sheetId="2" r:id="rId5"/>
  </sheets>
  <definedNames>
    <definedName name="chart.option">Matrix!$E$2</definedName>
    <definedName name="ExternalData_1" localSheetId="4" hidden="1">Data!$A$1:$I$2151</definedName>
    <definedName name="ExternalData_2" localSheetId="3" hidden="1">Tables!$A$1:$B$26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xmen for chart_ddc25aa9-a1c2-4481-af8e-e1eb8a61487d" name="xmen for chart" connection="Query - xmen for chart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8" i="3" l="1"/>
  <c r="B27" i="3"/>
  <c r="AA11" i="6"/>
  <c r="C11" i="6"/>
  <c r="K7" i="2"/>
  <c r="C12" i="6" l="1"/>
  <c r="E12" i="6"/>
  <c r="F12" i="6"/>
  <c r="G12" i="6"/>
  <c r="H12" i="6"/>
  <c r="I12" i="6"/>
  <c r="J12" i="6"/>
  <c r="K12" i="6"/>
  <c r="L12" i="6"/>
  <c r="C13" i="6"/>
  <c r="D13" i="6"/>
  <c r="E13" i="6"/>
  <c r="F13" i="6"/>
  <c r="G13" i="6"/>
  <c r="H13" i="6"/>
  <c r="I13" i="6"/>
  <c r="J13" i="6"/>
  <c r="K13" i="6"/>
  <c r="L13" i="6"/>
  <c r="C14" i="6"/>
  <c r="D14" i="6"/>
  <c r="E14" i="6"/>
  <c r="F14" i="6"/>
  <c r="G14" i="6"/>
  <c r="H14" i="6"/>
  <c r="I14" i="6"/>
  <c r="J14" i="6"/>
  <c r="K14" i="6"/>
  <c r="L14" i="6"/>
  <c r="C15" i="6"/>
  <c r="D15" i="6"/>
  <c r="E15" i="6"/>
  <c r="F15" i="6"/>
  <c r="G15" i="6"/>
  <c r="H15" i="6"/>
  <c r="I15" i="6"/>
  <c r="J15" i="6"/>
  <c r="K15" i="6"/>
  <c r="L15" i="6"/>
  <c r="C16" i="6"/>
  <c r="D16" i="6"/>
  <c r="E16" i="6"/>
  <c r="F16" i="6"/>
  <c r="G16" i="6"/>
  <c r="H16" i="6"/>
  <c r="I16" i="6"/>
  <c r="J16" i="6"/>
  <c r="K16" i="6"/>
  <c r="L16" i="6"/>
  <c r="C17" i="6"/>
  <c r="D17" i="6"/>
  <c r="E17" i="6"/>
  <c r="F17" i="6"/>
  <c r="G17" i="6"/>
  <c r="H17" i="6"/>
  <c r="I17" i="6"/>
  <c r="J17" i="6"/>
  <c r="K17" i="6"/>
  <c r="L17" i="6"/>
  <c r="C18" i="6"/>
  <c r="D18" i="6"/>
  <c r="E18" i="6"/>
  <c r="F18" i="6"/>
  <c r="G18" i="6"/>
  <c r="H18" i="6"/>
  <c r="I18" i="6"/>
  <c r="J18" i="6"/>
  <c r="K18" i="6"/>
  <c r="L18" i="6"/>
  <c r="C19" i="6"/>
  <c r="D19" i="6"/>
  <c r="E19" i="6"/>
  <c r="F19" i="6"/>
  <c r="G19" i="6"/>
  <c r="H19" i="6"/>
  <c r="I19" i="6"/>
  <c r="J19" i="6"/>
  <c r="K19" i="6"/>
  <c r="L19" i="6"/>
  <c r="C20" i="6"/>
  <c r="D20" i="6"/>
  <c r="E20" i="6"/>
  <c r="F20" i="6"/>
  <c r="G20" i="6"/>
  <c r="H20" i="6"/>
  <c r="I20" i="6"/>
  <c r="J20" i="6"/>
  <c r="K20" i="6"/>
  <c r="L20" i="6"/>
  <c r="C21" i="6"/>
  <c r="D21" i="6"/>
  <c r="E21" i="6"/>
  <c r="F21" i="6"/>
  <c r="G21" i="6"/>
  <c r="H21" i="6"/>
  <c r="I21" i="6"/>
  <c r="J21" i="6"/>
  <c r="K21" i="6"/>
  <c r="L21" i="6"/>
  <c r="C22" i="6"/>
  <c r="D22" i="6"/>
  <c r="E22" i="6"/>
  <c r="F22" i="6"/>
  <c r="G22" i="6"/>
  <c r="H22" i="6"/>
  <c r="I22" i="6"/>
  <c r="J22" i="6"/>
  <c r="K22" i="6"/>
  <c r="L22" i="6"/>
  <c r="C23" i="6"/>
  <c r="D23" i="6"/>
  <c r="E23" i="6"/>
  <c r="F23" i="6"/>
  <c r="G23" i="6"/>
  <c r="H23" i="6"/>
  <c r="I23" i="6"/>
  <c r="J23" i="6"/>
  <c r="K23" i="6"/>
  <c r="L23" i="6"/>
  <c r="C24" i="6"/>
  <c r="D24" i="6"/>
  <c r="E24" i="6"/>
  <c r="F24" i="6"/>
  <c r="G24" i="6"/>
  <c r="H24" i="6"/>
  <c r="I24" i="6"/>
  <c r="J24" i="6"/>
  <c r="K24" i="6"/>
  <c r="L24" i="6"/>
  <c r="C25" i="6"/>
  <c r="D25" i="6"/>
  <c r="E25" i="6"/>
  <c r="F25" i="6"/>
  <c r="G25" i="6"/>
  <c r="H25" i="6"/>
  <c r="I25" i="6"/>
  <c r="J25" i="6"/>
  <c r="K25" i="6"/>
  <c r="L25" i="6"/>
  <c r="C26" i="6"/>
  <c r="D26" i="6"/>
  <c r="E26" i="6"/>
  <c r="F26" i="6"/>
  <c r="G26" i="6"/>
  <c r="H26" i="6"/>
  <c r="I26" i="6"/>
  <c r="J26" i="6"/>
  <c r="K26" i="6"/>
  <c r="L26" i="6"/>
  <c r="C27" i="6"/>
  <c r="E27" i="6"/>
  <c r="F27" i="6"/>
  <c r="G27" i="6"/>
  <c r="H27" i="6"/>
  <c r="I27" i="6"/>
  <c r="J27" i="6"/>
  <c r="K27" i="6"/>
  <c r="L27" i="6"/>
  <c r="C28" i="6"/>
  <c r="D28" i="6"/>
  <c r="E28" i="6"/>
  <c r="F28" i="6"/>
  <c r="G28" i="6"/>
  <c r="H28" i="6"/>
  <c r="I28" i="6"/>
  <c r="J28" i="6"/>
  <c r="K28" i="6"/>
  <c r="L28" i="6"/>
  <c r="C29" i="6"/>
  <c r="D29" i="6"/>
  <c r="E29" i="6"/>
  <c r="F29" i="6"/>
  <c r="G29" i="6"/>
  <c r="H29" i="6"/>
  <c r="I29" i="6"/>
  <c r="J29" i="6"/>
  <c r="K29" i="6"/>
  <c r="L29" i="6"/>
  <c r="C30" i="6"/>
  <c r="D30" i="6"/>
  <c r="E30" i="6"/>
  <c r="F30" i="6"/>
  <c r="G30" i="6"/>
  <c r="H30" i="6"/>
  <c r="I30" i="6"/>
  <c r="J30" i="6"/>
  <c r="K30" i="6"/>
  <c r="L30" i="6"/>
  <c r="C31" i="6"/>
  <c r="D31" i="6"/>
  <c r="E31" i="6"/>
  <c r="F31" i="6"/>
  <c r="G31" i="6"/>
  <c r="H31" i="6"/>
  <c r="I31" i="6"/>
  <c r="J31" i="6"/>
  <c r="K31" i="6"/>
  <c r="L31" i="6"/>
  <c r="C32" i="6"/>
  <c r="D32" i="6"/>
  <c r="E32" i="6"/>
  <c r="F32" i="6"/>
  <c r="G32" i="6"/>
  <c r="H32" i="6"/>
  <c r="I32" i="6"/>
  <c r="J32" i="6"/>
  <c r="K32" i="6"/>
  <c r="L32" i="6"/>
  <c r="C33" i="6"/>
  <c r="D33" i="6"/>
  <c r="E33" i="6"/>
  <c r="F33" i="6"/>
  <c r="G33" i="6"/>
  <c r="H33" i="6"/>
  <c r="I33" i="6"/>
  <c r="J33" i="6"/>
  <c r="K33" i="6"/>
  <c r="L33" i="6"/>
  <c r="C34" i="6"/>
  <c r="D34" i="6"/>
  <c r="E34" i="6"/>
  <c r="F34" i="6"/>
  <c r="G34" i="6"/>
  <c r="H34" i="6"/>
  <c r="I34" i="6"/>
  <c r="J34" i="6"/>
  <c r="K34" i="6"/>
  <c r="L34" i="6"/>
  <c r="C35" i="6"/>
  <c r="D35" i="6"/>
  <c r="E35" i="6"/>
  <c r="F35" i="6"/>
  <c r="G35" i="6"/>
  <c r="H35" i="6"/>
  <c r="I35" i="6"/>
  <c r="J35" i="6"/>
  <c r="K35" i="6"/>
  <c r="L35" i="6"/>
  <c r="C36" i="6"/>
  <c r="D36" i="6"/>
  <c r="E36" i="6"/>
  <c r="F36" i="6"/>
  <c r="G36" i="6"/>
  <c r="H36" i="6"/>
  <c r="I36" i="6"/>
  <c r="J36" i="6"/>
  <c r="K36" i="6"/>
  <c r="L36" i="6"/>
  <c r="C37" i="6"/>
  <c r="D37" i="6"/>
  <c r="E37" i="6"/>
  <c r="F37" i="6"/>
  <c r="G37" i="6"/>
  <c r="H37" i="6"/>
  <c r="I37" i="6"/>
  <c r="J37" i="6"/>
  <c r="K37" i="6"/>
  <c r="L37" i="6"/>
  <c r="C38" i="6"/>
  <c r="D38" i="6"/>
  <c r="E38" i="6"/>
  <c r="F38" i="6"/>
  <c r="G38" i="6"/>
  <c r="H38" i="6"/>
  <c r="I38" i="6"/>
  <c r="J38" i="6"/>
  <c r="K38" i="6"/>
  <c r="L38" i="6"/>
  <c r="C39" i="6"/>
  <c r="D39" i="6"/>
  <c r="E39" i="6"/>
  <c r="F39" i="6"/>
  <c r="G39" i="6"/>
  <c r="H39" i="6"/>
  <c r="I39" i="6"/>
  <c r="J39" i="6"/>
  <c r="K39" i="6"/>
  <c r="L39" i="6"/>
  <c r="C40" i="6"/>
  <c r="D40" i="6"/>
  <c r="E40" i="6"/>
  <c r="F40" i="6"/>
  <c r="G40" i="6"/>
  <c r="H40" i="6"/>
  <c r="I40" i="6"/>
  <c r="J40" i="6"/>
  <c r="K40" i="6"/>
  <c r="L40" i="6"/>
  <c r="C41" i="6"/>
  <c r="D41" i="6"/>
  <c r="E41" i="6"/>
  <c r="F41" i="6"/>
  <c r="G41" i="6"/>
  <c r="H41" i="6"/>
  <c r="I41" i="6"/>
  <c r="J41" i="6"/>
  <c r="K41" i="6"/>
  <c r="L41" i="6"/>
  <c r="C42" i="6"/>
  <c r="D42" i="6"/>
  <c r="E42" i="6"/>
  <c r="G42" i="6"/>
  <c r="H42" i="6"/>
  <c r="I42" i="6"/>
  <c r="J42" i="6"/>
  <c r="K42" i="6"/>
  <c r="L42" i="6"/>
  <c r="C43" i="6"/>
  <c r="D43" i="6"/>
  <c r="E43" i="6"/>
  <c r="F43" i="6"/>
  <c r="G43" i="6"/>
  <c r="H43" i="6"/>
  <c r="I43" i="6"/>
  <c r="J43" i="6"/>
  <c r="K43" i="6"/>
  <c r="L43" i="6"/>
  <c r="C44" i="6"/>
  <c r="D44" i="6"/>
  <c r="E44" i="6"/>
  <c r="F44" i="6"/>
  <c r="G44" i="6"/>
  <c r="H44" i="6"/>
  <c r="I44" i="6"/>
  <c r="J44" i="6"/>
  <c r="K44" i="6"/>
  <c r="L44" i="6"/>
  <c r="C45" i="6"/>
  <c r="D45" i="6"/>
  <c r="E45" i="6"/>
  <c r="F45" i="6"/>
  <c r="G45" i="6"/>
  <c r="H45" i="6"/>
  <c r="I45" i="6"/>
  <c r="J45" i="6"/>
  <c r="K45" i="6"/>
  <c r="L45" i="6"/>
  <c r="C46" i="6"/>
  <c r="D46" i="6"/>
  <c r="E46" i="6"/>
  <c r="F46" i="6"/>
  <c r="G46" i="6"/>
  <c r="H46" i="6"/>
  <c r="I46" i="6"/>
  <c r="J46" i="6"/>
  <c r="K46" i="6"/>
  <c r="L46" i="6"/>
  <c r="C47" i="6"/>
  <c r="D47" i="6"/>
  <c r="E47" i="6"/>
  <c r="F47" i="6"/>
  <c r="G47" i="6"/>
  <c r="H47" i="6"/>
  <c r="I47" i="6"/>
  <c r="J47" i="6"/>
  <c r="K47" i="6"/>
  <c r="L47" i="6"/>
  <c r="C48" i="6"/>
  <c r="D48" i="6"/>
  <c r="E48" i="6"/>
  <c r="F48" i="6"/>
  <c r="G48" i="6"/>
  <c r="H48" i="6"/>
  <c r="I48" i="6"/>
  <c r="J48" i="6"/>
  <c r="K48" i="6"/>
  <c r="L48" i="6"/>
  <c r="C49" i="6"/>
  <c r="D49" i="6"/>
  <c r="E49" i="6"/>
  <c r="F49" i="6"/>
  <c r="G49" i="6"/>
  <c r="H49" i="6"/>
  <c r="I49" i="6"/>
  <c r="J49" i="6"/>
  <c r="K49" i="6"/>
  <c r="L49" i="6"/>
  <c r="C50" i="6"/>
  <c r="D50" i="6"/>
  <c r="E50" i="6"/>
  <c r="F50" i="6"/>
  <c r="G50" i="6"/>
  <c r="H50" i="6"/>
  <c r="I50" i="6"/>
  <c r="J50" i="6"/>
  <c r="K50" i="6"/>
  <c r="L50" i="6"/>
  <c r="C51" i="6"/>
  <c r="D51" i="6"/>
  <c r="E51" i="6"/>
  <c r="F51" i="6"/>
  <c r="G51" i="6"/>
  <c r="H51" i="6"/>
  <c r="I51" i="6"/>
  <c r="J51" i="6"/>
  <c r="K51" i="6"/>
  <c r="L51" i="6"/>
  <c r="C52" i="6"/>
  <c r="D52" i="6"/>
  <c r="E52" i="6"/>
  <c r="F52" i="6"/>
  <c r="G52" i="6"/>
  <c r="H52" i="6"/>
  <c r="I52" i="6"/>
  <c r="J52" i="6"/>
  <c r="K52" i="6"/>
  <c r="L52" i="6"/>
  <c r="C53" i="6"/>
  <c r="D53" i="6"/>
  <c r="E53" i="6"/>
  <c r="F53" i="6"/>
  <c r="G53" i="6"/>
  <c r="H53" i="6"/>
  <c r="I53" i="6"/>
  <c r="J53" i="6"/>
  <c r="K53" i="6"/>
  <c r="L53" i="6"/>
  <c r="C54" i="6"/>
  <c r="D54" i="6"/>
  <c r="E54" i="6"/>
  <c r="F54" i="6"/>
  <c r="G54" i="6"/>
  <c r="H54" i="6"/>
  <c r="I54" i="6"/>
  <c r="J54" i="6"/>
  <c r="K54" i="6"/>
  <c r="L54" i="6"/>
  <c r="C55" i="6"/>
  <c r="D55" i="6"/>
  <c r="E55" i="6"/>
  <c r="F55" i="6"/>
  <c r="G55" i="6"/>
  <c r="H55" i="6"/>
  <c r="I55" i="6"/>
  <c r="J55" i="6"/>
  <c r="K55" i="6"/>
  <c r="L55" i="6"/>
  <c r="C56" i="6"/>
  <c r="D56" i="6"/>
  <c r="E56" i="6"/>
  <c r="F56" i="6"/>
  <c r="G56" i="6"/>
  <c r="H56" i="6"/>
  <c r="I56" i="6"/>
  <c r="J56" i="6"/>
  <c r="K56" i="6"/>
  <c r="L56" i="6"/>
  <c r="C57" i="6"/>
  <c r="D57" i="6"/>
  <c r="E57" i="6"/>
  <c r="G57" i="6"/>
  <c r="I57" i="6"/>
  <c r="J57" i="6"/>
  <c r="K57" i="6"/>
  <c r="L57" i="6"/>
  <c r="C58" i="6"/>
  <c r="D58" i="6"/>
  <c r="E58" i="6"/>
  <c r="F58" i="6"/>
  <c r="G58" i="6"/>
  <c r="H58" i="6"/>
  <c r="I58" i="6"/>
  <c r="J58" i="6"/>
  <c r="K58" i="6"/>
  <c r="L58" i="6"/>
  <c r="C59" i="6"/>
  <c r="D59" i="6"/>
  <c r="E59" i="6"/>
  <c r="F59" i="6"/>
  <c r="G59" i="6"/>
  <c r="H59" i="6"/>
  <c r="I59" i="6"/>
  <c r="J59" i="6"/>
  <c r="K59" i="6"/>
  <c r="L59" i="6"/>
  <c r="C60" i="6"/>
  <c r="D60" i="6"/>
  <c r="E60" i="6"/>
  <c r="F60" i="6"/>
  <c r="G60" i="6"/>
  <c r="H60" i="6"/>
  <c r="I60" i="6"/>
  <c r="J60" i="6"/>
  <c r="K60" i="6"/>
  <c r="L60" i="6"/>
  <c r="C61" i="6"/>
  <c r="D61" i="6"/>
  <c r="E61" i="6"/>
  <c r="F61" i="6"/>
  <c r="G61" i="6"/>
  <c r="H61" i="6"/>
  <c r="I61" i="6"/>
  <c r="J61" i="6"/>
  <c r="K61" i="6"/>
  <c r="L61" i="6"/>
  <c r="C62" i="6"/>
  <c r="D62" i="6"/>
  <c r="E62" i="6"/>
  <c r="F62" i="6"/>
  <c r="G62" i="6"/>
  <c r="H62" i="6"/>
  <c r="I62" i="6"/>
  <c r="J62" i="6"/>
  <c r="K62" i="6"/>
  <c r="L62" i="6"/>
  <c r="C63" i="6"/>
  <c r="D63" i="6"/>
  <c r="E63" i="6"/>
  <c r="F63" i="6"/>
  <c r="G63" i="6"/>
  <c r="H63" i="6"/>
  <c r="I63" i="6"/>
  <c r="J63" i="6"/>
  <c r="K63" i="6"/>
  <c r="L63" i="6"/>
  <c r="C64" i="6"/>
  <c r="D64" i="6"/>
  <c r="E64" i="6"/>
  <c r="F64" i="6"/>
  <c r="G64" i="6"/>
  <c r="H64" i="6"/>
  <c r="I64" i="6"/>
  <c r="J64" i="6"/>
  <c r="K64" i="6"/>
  <c r="L64" i="6"/>
  <c r="C65" i="6"/>
  <c r="D65" i="6"/>
  <c r="E65" i="6"/>
  <c r="F65" i="6"/>
  <c r="G65" i="6"/>
  <c r="H65" i="6"/>
  <c r="I65" i="6"/>
  <c r="J65" i="6"/>
  <c r="K65" i="6"/>
  <c r="L65" i="6"/>
  <c r="C66" i="6"/>
  <c r="D66" i="6"/>
  <c r="E66" i="6"/>
  <c r="F66" i="6"/>
  <c r="G66" i="6"/>
  <c r="H66" i="6"/>
  <c r="I66" i="6"/>
  <c r="J66" i="6"/>
  <c r="K66" i="6"/>
  <c r="L66" i="6"/>
  <c r="C67" i="6"/>
  <c r="D67" i="6"/>
  <c r="E67" i="6"/>
  <c r="F67" i="6"/>
  <c r="G67" i="6"/>
  <c r="H67" i="6"/>
  <c r="I67" i="6"/>
  <c r="J67" i="6"/>
  <c r="K67" i="6"/>
  <c r="L67" i="6"/>
  <c r="C68" i="6"/>
  <c r="D68" i="6"/>
  <c r="E68" i="6"/>
  <c r="F68" i="6"/>
  <c r="G68" i="6"/>
  <c r="H68" i="6"/>
  <c r="I68" i="6"/>
  <c r="J68" i="6"/>
  <c r="K68" i="6"/>
  <c r="L68" i="6"/>
  <c r="C69" i="6"/>
  <c r="D69" i="6"/>
  <c r="E69" i="6"/>
  <c r="F69" i="6"/>
  <c r="G69" i="6"/>
  <c r="H69" i="6"/>
  <c r="I69" i="6"/>
  <c r="J69" i="6"/>
  <c r="K69" i="6"/>
  <c r="L69" i="6"/>
  <c r="C70" i="6"/>
  <c r="D70" i="6"/>
  <c r="E70" i="6"/>
  <c r="F70" i="6"/>
  <c r="G70" i="6"/>
  <c r="H70" i="6"/>
  <c r="I70" i="6"/>
  <c r="J70" i="6"/>
  <c r="K70" i="6"/>
  <c r="L70" i="6"/>
  <c r="C71" i="6"/>
  <c r="D71" i="6"/>
  <c r="E71" i="6"/>
  <c r="F71" i="6"/>
  <c r="G71" i="6"/>
  <c r="H71" i="6"/>
  <c r="I71" i="6"/>
  <c r="J71" i="6"/>
  <c r="K71" i="6"/>
  <c r="L71" i="6"/>
  <c r="C72" i="6"/>
  <c r="D72" i="6"/>
  <c r="E72" i="6"/>
  <c r="F72" i="6"/>
  <c r="G72" i="6"/>
  <c r="I72" i="6"/>
  <c r="J72" i="6"/>
  <c r="K72" i="6"/>
  <c r="L72" i="6"/>
  <c r="C73" i="6"/>
  <c r="D73" i="6"/>
  <c r="E73" i="6"/>
  <c r="F73" i="6"/>
  <c r="G73" i="6"/>
  <c r="H73" i="6"/>
  <c r="I73" i="6"/>
  <c r="J73" i="6"/>
  <c r="K73" i="6"/>
  <c r="L73" i="6"/>
  <c r="C74" i="6"/>
  <c r="D74" i="6"/>
  <c r="E74" i="6"/>
  <c r="F74" i="6"/>
  <c r="G74" i="6"/>
  <c r="H74" i="6"/>
  <c r="I74" i="6"/>
  <c r="J74" i="6"/>
  <c r="K74" i="6"/>
  <c r="L74" i="6"/>
  <c r="C75" i="6"/>
  <c r="D75" i="6"/>
  <c r="E75" i="6"/>
  <c r="F75" i="6"/>
  <c r="G75" i="6"/>
  <c r="H75" i="6"/>
  <c r="I75" i="6"/>
  <c r="J75" i="6"/>
  <c r="K75" i="6"/>
  <c r="L75" i="6"/>
  <c r="C76" i="6"/>
  <c r="D76" i="6"/>
  <c r="E76" i="6"/>
  <c r="F76" i="6"/>
  <c r="G76" i="6"/>
  <c r="H76" i="6"/>
  <c r="I76" i="6"/>
  <c r="J76" i="6"/>
  <c r="K76" i="6"/>
  <c r="L76" i="6"/>
  <c r="C77" i="6"/>
  <c r="D77" i="6"/>
  <c r="E77" i="6"/>
  <c r="F77" i="6"/>
  <c r="G77" i="6"/>
  <c r="H77" i="6"/>
  <c r="I77" i="6"/>
  <c r="J77" i="6"/>
  <c r="K77" i="6"/>
  <c r="L77" i="6"/>
  <c r="C78" i="6"/>
  <c r="D78" i="6"/>
  <c r="E78" i="6"/>
  <c r="F78" i="6"/>
  <c r="G78" i="6"/>
  <c r="H78" i="6"/>
  <c r="I78" i="6"/>
  <c r="J78" i="6"/>
  <c r="K78" i="6"/>
  <c r="L78" i="6"/>
  <c r="C79" i="6"/>
  <c r="D79" i="6"/>
  <c r="E79" i="6"/>
  <c r="F79" i="6"/>
  <c r="G79" i="6"/>
  <c r="H79" i="6"/>
  <c r="I79" i="6"/>
  <c r="J79" i="6"/>
  <c r="K79" i="6"/>
  <c r="L79" i="6"/>
  <c r="C80" i="6"/>
  <c r="D80" i="6"/>
  <c r="E80" i="6"/>
  <c r="F80" i="6"/>
  <c r="G80" i="6"/>
  <c r="H80" i="6"/>
  <c r="I80" i="6"/>
  <c r="J80" i="6"/>
  <c r="K80" i="6"/>
  <c r="L80" i="6"/>
  <c r="C81" i="6"/>
  <c r="D81" i="6"/>
  <c r="E81" i="6"/>
  <c r="F81" i="6"/>
  <c r="G81" i="6"/>
  <c r="H81" i="6"/>
  <c r="I81" i="6"/>
  <c r="J81" i="6"/>
  <c r="K81" i="6"/>
  <c r="L81" i="6"/>
  <c r="C82" i="6"/>
  <c r="D82" i="6"/>
  <c r="E82" i="6"/>
  <c r="F82" i="6"/>
  <c r="G82" i="6"/>
  <c r="H82" i="6"/>
  <c r="I82" i="6"/>
  <c r="J82" i="6"/>
  <c r="K82" i="6"/>
  <c r="L82" i="6"/>
  <c r="C83" i="6"/>
  <c r="D83" i="6"/>
  <c r="E83" i="6"/>
  <c r="F83" i="6"/>
  <c r="G83" i="6"/>
  <c r="H83" i="6"/>
  <c r="I83" i="6"/>
  <c r="J83" i="6"/>
  <c r="K83" i="6"/>
  <c r="L83" i="6"/>
  <c r="C84" i="6"/>
  <c r="D84" i="6"/>
  <c r="E84" i="6"/>
  <c r="F84" i="6"/>
  <c r="G84" i="6"/>
  <c r="H84" i="6"/>
  <c r="I84" i="6"/>
  <c r="J84" i="6"/>
  <c r="K84" i="6"/>
  <c r="L84" i="6"/>
  <c r="C85" i="6"/>
  <c r="D85" i="6"/>
  <c r="E85" i="6"/>
  <c r="F85" i="6"/>
  <c r="G85" i="6"/>
  <c r="H85" i="6"/>
  <c r="I85" i="6"/>
  <c r="J85" i="6"/>
  <c r="K85" i="6"/>
  <c r="L85" i="6"/>
  <c r="C86" i="6"/>
  <c r="D86" i="6"/>
  <c r="E86" i="6"/>
  <c r="F86" i="6"/>
  <c r="G86" i="6"/>
  <c r="H86" i="6"/>
  <c r="I86" i="6"/>
  <c r="J86" i="6"/>
  <c r="K86" i="6"/>
  <c r="L86" i="6"/>
  <c r="C87" i="6"/>
  <c r="D87" i="6"/>
  <c r="E87" i="6"/>
  <c r="F87" i="6"/>
  <c r="G87" i="6"/>
  <c r="H87" i="6"/>
  <c r="I87" i="6"/>
  <c r="K87" i="6"/>
  <c r="L87" i="6"/>
  <c r="C88" i="6"/>
  <c r="D88" i="6"/>
  <c r="E88" i="6"/>
  <c r="F88" i="6"/>
  <c r="G88" i="6"/>
  <c r="H88" i="6"/>
  <c r="I88" i="6"/>
  <c r="J88" i="6"/>
  <c r="K88" i="6"/>
  <c r="L88" i="6"/>
  <c r="C89" i="6"/>
  <c r="D89" i="6"/>
  <c r="E89" i="6"/>
  <c r="F89" i="6"/>
  <c r="G89" i="6"/>
  <c r="H89" i="6"/>
  <c r="I89" i="6"/>
  <c r="J89" i="6"/>
  <c r="K89" i="6"/>
  <c r="L89" i="6"/>
  <c r="C90" i="6"/>
  <c r="D90" i="6"/>
  <c r="E90" i="6"/>
  <c r="F90" i="6"/>
  <c r="G90" i="6"/>
  <c r="H90" i="6"/>
  <c r="I90" i="6"/>
  <c r="J90" i="6"/>
  <c r="K90" i="6"/>
  <c r="L90" i="6"/>
  <c r="C91" i="6"/>
  <c r="D91" i="6"/>
  <c r="E91" i="6"/>
  <c r="F91" i="6"/>
  <c r="G91" i="6"/>
  <c r="H91" i="6"/>
  <c r="I91" i="6"/>
  <c r="J91" i="6"/>
  <c r="K91" i="6"/>
  <c r="L91" i="6"/>
  <c r="C92" i="6"/>
  <c r="D92" i="6"/>
  <c r="E92" i="6"/>
  <c r="F92" i="6"/>
  <c r="G92" i="6"/>
  <c r="H92" i="6"/>
  <c r="I92" i="6"/>
  <c r="J92" i="6"/>
  <c r="K92" i="6"/>
  <c r="L92" i="6"/>
  <c r="C93" i="6"/>
  <c r="D93" i="6"/>
  <c r="E93" i="6"/>
  <c r="F93" i="6"/>
  <c r="G93" i="6"/>
  <c r="H93" i="6"/>
  <c r="I93" i="6"/>
  <c r="J93" i="6"/>
  <c r="K93" i="6"/>
  <c r="L93" i="6"/>
  <c r="C94" i="6"/>
  <c r="D94" i="6"/>
  <c r="E94" i="6"/>
  <c r="F94" i="6"/>
  <c r="G94" i="6"/>
  <c r="H94" i="6"/>
  <c r="I94" i="6"/>
  <c r="J94" i="6"/>
  <c r="K94" i="6"/>
  <c r="L94" i="6"/>
  <c r="C95" i="6"/>
  <c r="D95" i="6"/>
  <c r="E95" i="6"/>
  <c r="F95" i="6"/>
  <c r="G95" i="6"/>
  <c r="H95" i="6"/>
  <c r="I95" i="6"/>
  <c r="J95" i="6"/>
  <c r="K95" i="6"/>
  <c r="L95" i="6"/>
  <c r="C96" i="6"/>
  <c r="D96" i="6"/>
  <c r="E96" i="6"/>
  <c r="F96" i="6"/>
  <c r="G96" i="6"/>
  <c r="H96" i="6"/>
  <c r="I96" i="6"/>
  <c r="J96" i="6"/>
  <c r="K96" i="6"/>
  <c r="L96" i="6"/>
  <c r="C97" i="6"/>
  <c r="D97" i="6"/>
  <c r="E97" i="6"/>
  <c r="F97" i="6"/>
  <c r="G97" i="6"/>
  <c r="H97" i="6"/>
  <c r="I97" i="6"/>
  <c r="J97" i="6"/>
  <c r="K97" i="6"/>
  <c r="L97" i="6"/>
  <c r="C98" i="6"/>
  <c r="D98" i="6"/>
  <c r="E98" i="6"/>
  <c r="F98" i="6"/>
  <c r="G98" i="6"/>
  <c r="H98" i="6"/>
  <c r="I98" i="6"/>
  <c r="J98" i="6"/>
  <c r="K98" i="6"/>
  <c r="L98" i="6"/>
  <c r="C99" i="6"/>
  <c r="D99" i="6"/>
  <c r="E99" i="6"/>
  <c r="F99" i="6"/>
  <c r="G99" i="6"/>
  <c r="H99" i="6"/>
  <c r="I99" i="6"/>
  <c r="J99" i="6"/>
  <c r="K99" i="6"/>
  <c r="L99" i="6"/>
  <c r="C100" i="6"/>
  <c r="D100" i="6"/>
  <c r="E100" i="6"/>
  <c r="F100" i="6"/>
  <c r="G100" i="6"/>
  <c r="H100" i="6"/>
  <c r="I100" i="6"/>
  <c r="J100" i="6"/>
  <c r="K100" i="6"/>
  <c r="L100" i="6"/>
  <c r="C101" i="6"/>
  <c r="D101" i="6"/>
  <c r="E101" i="6"/>
  <c r="F101" i="6"/>
  <c r="G101" i="6"/>
  <c r="H101" i="6"/>
  <c r="I101" i="6"/>
  <c r="J101" i="6"/>
  <c r="K101" i="6"/>
  <c r="L101" i="6"/>
  <c r="C102" i="6"/>
  <c r="D102" i="6"/>
  <c r="E102" i="6"/>
  <c r="F102" i="6"/>
  <c r="G102" i="6"/>
  <c r="H102" i="6"/>
  <c r="I102" i="6"/>
  <c r="K102" i="6"/>
  <c r="C103" i="6"/>
  <c r="D103" i="6"/>
  <c r="E103" i="6"/>
  <c r="F103" i="6"/>
  <c r="G103" i="6"/>
  <c r="H103" i="6"/>
  <c r="I103" i="6"/>
  <c r="J103" i="6"/>
  <c r="K103" i="6"/>
  <c r="L103" i="6"/>
  <c r="C104" i="6"/>
  <c r="D104" i="6"/>
  <c r="E104" i="6"/>
  <c r="F104" i="6"/>
  <c r="G104" i="6"/>
  <c r="H104" i="6"/>
  <c r="I104" i="6"/>
  <c r="J104" i="6"/>
  <c r="K104" i="6"/>
  <c r="L104" i="6"/>
  <c r="C105" i="6"/>
  <c r="D105" i="6"/>
  <c r="E105" i="6"/>
  <c r="F105" i="6"/>
  <c r="G105" i="6"/>
  <c r="H105" i="6"/>
  <c r="I105" i="6"/>
  <c r="J105" i="6"/>
  <c r="K105" i="6"/>
  <c r="L105" i="6"/>
  <c r="C106" i="6"/>
  <c r="D106" i="6"/>
  <c r="E106" i="6"/>
  <c r="F106" i="6"/>
  <c r="G106" i="6"/>
  <c r="H106" i="6"/>
  <c r="I106" i="6"/>
  <c r="J106" i="6"/>
  <c r="K106" i="6"/>
  <c r="L106" i="6"/>
  <c r="C107" i="6"/>
  <c r="D107" i="6"/>
  <c r="E107" i="6"/>
  <c r="F107" i="6"/>
  <c r="G107" i="6"/>
  <c r="H107" i="6"/>
  <c r="I107" i="6"/>
  <c r="J107" i="6"/>
  <c r="K107" i="6"/>
  <c r="L107" i="6"/>
  <c r="C108" i="6"/>
  <c r="D108" i="6"/>
  <c r="E108" i="6"/>
  <c r="F108" i="6"/>
  <c r="G108" i="6"/>
  <c r="H108" i="6"/>
  <c r="I108" i="6"/>
  <c r="J108" i="6"/>
  <c r="K108" i="6"/>
  <c r="L108" i="6"/>
  <c r="C109" i="6"/>
  <c r="D109" i="6"/>
  <c r="E109" i="6"/>
  <c r="F109" i="6"/>
  <c r="G109" i="6"/>
  <c r="H109" i="6"/>
  <c r="I109" i="6"/>
  <c r="J109" i="6"/>
  <c r="K109" i="6"/>
  <c r="L109" i="6"/>
  <c r="C110" i="6"/>
  <c r="D110" i="6"/>
  <c r="E110" i="6"/>
  <c r="F110" i="6"/>
  <c r="G110" i="6"/>
  <c r="H110" i="6"/>
  <c r="I110" i="6"/>
  <c r="J110" i="6"/>
  <c r="K110" i="6"/>
  <c r="L110" i="6"/>
  <c r="C111" i="6"/>
  <c r="D111" i="6"/>
  <c r="E111" i="6"/>
  <c r="F111" i="6"/>
  <c r="G111" i="6"/>
  <c r="H111" i="6"/>
  <c r="I111" i="6"/>
  <c r="J111" i="6"/>
  <c r="K111" i="6"/>
  <c r="L111" i="6"/>
  <c r="C112" i="6"/>
  <c r="D112" i="6"/>
  <c r="E112" i="6"/>
  <c r="F112" i="6"/>
  <c r="G112" i="6"/>
  <c r="H112" i="6"/>
  <c r="I112" i="6"/>
  <c r="J112" i="6"/>
  <c r="K112" i="6"/>
  <c r="L112" i="6"/>
  <c r="C113" i="6"/>
  <c r="D113" i="6"/>
  <c r="E113" i="6"/>
  <c r="F113" i="6"/>
  <c r="G113" i="6"/>
  <c r="H113" i="6"/>
  <c r="I113" i="6"/>
  <c r="J113" i="6"/>
  <c r="K113" i="6"/>
  <c r="L113" i="6"/>
  <c r="C114" i="6"/>
  <c r="D114" i="6"/>
  <c r="E114" i="6"/>
  <c r="F114" i="6"/>
  <c r="G114" i="6"/>
  <c r="H114" i="6"/>
  <c r="I114" i="6"/>
  <c r="J114" i="6"/>
  <c r="K114" i="6"/>
  <c r="L114" i="6"/>
  <c r="C115" i="6"/>
  <c r="D115" i="6"/>
  <c r="E115" i="6"/>
  <c r="F115" i="6"/>
  <c r="G115" i="6"/>
  <c r="H115" i="6"/>
  <c r="I115" i="6"/>
  <c r="J115" i="6"/>
  <c r="K115" i="6"/>
  <c r="L115" i="6"/>
  <c r="C116" i="6"/>
  <c r="D116" i="6"/>
  <c r="E116" i="6"/>
  <c r="F116" i="6"/>
  <c r="G116" i="6"/>
  <c r="H116" i="6"/>
  <c r="I116" i="6"/>
  <c r="J116" i="6"/>
  <c r="K116" i="6"/>
  <c r="L116" i="6"/>
  <c r="C117" i="6"/>
  <c r="D117" i="6"/>
  <c r="E117" i="6"/>
  <c r="F117" i="6"/>
  <c r="G117" i="6"/>
  <c r="H117" i="6"/>
  <c r="I117" i="6"/>
  <c r="J117" i="6"/>
  <c r="K117" i="6"/>
  <c r="C118" i="6"/>
  <c r="E118" i="6"/>
  <c r="F118" i="6"/>
  <c r="G118" i="6"/>
  <c r="H118" i="6"/>
  <c r="I118" i="6"/>
  <c r="J118" i="6"/>
  <c r="K118" i="6"/>
  <c r="L118" i="6"/>
  <c r="C119" i="6"/>
  <c r="D119" i="6"/>
  <c r="E119" i="6"/>
  <c r="F119" i="6"/>
  <c r="G119" i="6"/>
  <c r="H119" i="6"/>
  <c r="I119" i="6"/>
  <c r="J119" i="6"/>
  <c r="K119" i="6"/>
  <c r="L119" i="6"/>
  <c r="C120" i="6"/>
  <c r="D120" i="6"/>
  <c r="E120" i="6"/>
  <c r="F120" i="6"/>
  <c r="G120" i="6"/>
  <c r="H120" i="6"/>
  <c r="I120" i="6"/>
  <c r="J120" i="6"/>
  <c r="K120" i="6"/>
  <c r="L120" i="6"/>
  <c r="C121" i="6"/>
  <c r="D121" i="6"/>
  <c r="E121" i="6"/>
  <c r="F121" i="6"/>
  <c r="G121" i="6"/>
  <c r="H121" i="6"/>
  <c r="I121" i="6"/>
  <c r="J121" i="6"/>
  <c r="K121" i="6"/>
  <c r="L121" i="6"/>
  <c r="C122" i="6"/>
  <c r="D122" i="6"/>
  <c r="E122" i="6"/>
  <c r="F122" i="6"/>
  <c r="G122" i="6"/>
  <c r="H122" i="6"/>
  <c r="I122" i="6"/>
  <c r="J122" i="6"/>
  <c r="K122" i="6"/>
  <c r="L122" i="6"/>
  <c r="C123" i="6"/>
  <c r="D123" i="6"/>
  <c r="E123" i="6"/>
  <c r="F123" i="6"/>
  <c r="G123" i="6"/>
  <c r="H123" i="6"/>
  <c r="I123" i="6"/>
  <c r="J123" i="6"/>
  <c r="K123" i="6"/>
  <c r="L123" i="6"/>
  <c r="C124" i="6"/>
  <c r="D124" i="6"/>
  <c r="E124" i="6"/>
  <c r="F124" i="6"/>
  <c r="G124" i="6"/>
  <c r="H124" i="6"/>
  <c r="I124" i="6"/>
  <c r="J124" i="6"/>
  <c r="K124" i="6"/>
  <c r="L124" i="6"/>
  <c r="C125" i="6"/>
  <c r="D125" i="6"/>
  <c r="E125" i="6"/>
  <c r="F125" i="6"/>
  <c r="G125" i="6"/>
  <c r="H125" i="6"/>
  <c r="I125" i="6"/>
  <c r="J125" i="6"/>
  <c r="K125" i="6"/>
  <c r="L125" i="6"/>
  <c r="C126" i="6"/>
  <c r="D126" i="6"/>
  <c r="E126" i="6"/>
  <c r="F126" i="6"/>
  <c r="G126" i="6"/>
  <c r="H126" i="6"/>
  <c r="I126" i="6"/>
  <c r="J126" i="6"/>
  <c r="K126" i="6"/>
  <c r="L126" i="6"/>
  <c r="C127" i="6"/>
  <c r="D127" i="6"/>
  <c r="E127" i="6"/>
  <c r="F127" i="6"/>
  <c r="G127" i="6"/>
  <c r="H127" i="6"/>
  <c r="I127" i="6"/>
  <c r="J127" i="6"/>
  <c r="K127" i="6"/>
  <c r="L127" i="6"/>
  <c r="C128" i="6"/>
  <c r="D128" i="6"/>
  <c r="E128" i="6"/>
  <c r="F128" i="6"/>
  <c r="G128" i="6"/>
  <c r="H128" i="6"/>
  <c r="I128" i="6"/>
  <c r="J128" i="6"/>
  <c r="K128" i="6"/>
  <c r="L128" i="6"/>
  <c r="C129" i="6"/>
  <c r="D129" i="6"/>
  <c r="E129" i="6"/>
  <c r="F129" i="6"/>
  <c r="G129" i="6"/>
  <c r="H129" i="6"/>
  <c r="I129" i="6"/>
  <c r="J129" i="6"/>
  <c r="K129" i="6"/>
  <c r="L129" i="6"/>
  <c r="C130" i="6"/>
  <c r="D130" i="6"/>
  <c r="E130" i="6"/>
  <c r="F130" i="6"/>
  <c r="G130" i="6"/>
  <c r="H130" i="6"/>
  <c r="I130" i="6"/>
  <c r="J130" i="6"/>
  <c r="K130" i="6"/>
  <c r="L130" i="6"/>
  <c r="C131" i="6"/>
  <c r="D131" i="6"/>
  <c r="E131" i="6"/>
  <c r="F131" i="6"/>
  <c r="G131" i="6"/>
  <c r="H131" i="6"/>
  <c r="I131" i="6"/>
  <c r="J131" i="6"/>
  <c r="K131" i="6"/>
  <c r="L131" i="6"/>
  <c r="C132" i="6"/>
  <c r="D132" i="6"/>
  <c r="E132" i="6"/>
  <c r="F132" i="6"/>
  <c r="G132" i="6"/>
  <c r="H132" i="6"/>
  <c r="I132" i="6"/>
  <c r="J132" i="6"/>
  <c r="K132" i="6"/>
  <c r="L132" i="6"/>
  <c r="C133" i="6"/>
  <c r="E133" i="6"/>
  <c r="F133" i="6"/>
  <c r="G133" i="6"/>
  <c r="H133" i="6"/>
  <c r="I133" i="6"/>
  <c r="J133" i="6"/>
  <c r="K133" i="6"/>
  <c r="L133" i="6"/>
  <c r="C134" i="6"/>
  <c r="D134" i="6"/>
  <c r="E134" i="6"/>
  <c r="F134" i="6"/>
  <c r="G134" i="6"/>
  <c r="H134" i="6"/>
  <c r="I134" i="6"/>
  <c r="J134" i="6"/>
  <c r="K134" i="6"/>
  <c r="L134" i="6"/>
  <c r="C135" i="6"/>
  <c r="D135" i="6"/>
  <c r="E135" i="6"/>
  <c r="F135" i="6"/>
  <c r="G135" i="6"/>
  <c r="H135" i="6"/>
  <c r="I135" i="6"/>
  <c r="J135" i="6"/>
  <c r="K135" i="6"/>
  <c r="L135" i="6"/>
  <c r="C136" i="6"/>
  <c r="D136" i="6"/>
  <c r="E136" i="6"/>
  <c r="F136" i="6"/>
  <c r="G136" i="6"/>
  <c r="H136" i="6"/>
  <c r="I136" i="6"/>
  <c r="J136" i="6"/>
  <c r="K136" i="6"/>
  <c r="L136" i="6"/>
  <c r="C137" i="6"/>
  <c r="D137" i="6"/>
  <c r="E137" i="6"/>
  <c r="F137" i="6"/>
  <c r="G137" i="6"/>
  <c r="H137" i="6"/>
  <c r="I137" i="6"/>
  <c r="J137" i="6"/>
  <c r="K137" i="6"/>
  <c r="L137" i="6"/>
  <c r="C138" i="6"/>
  <c r="D138" i="6"/>
  <c r="E138" i="6"/>
  <c r="F138" i="6"/>
  <c r="G138" i="6"/>
  <c r="H138" i="6"/>
  <c r="I138" i="6"/>
  <c r="J138" i="6"/>
  <c r="K138" i="6"/>
  <c r="L138" i="6"/>
  <c r="C139" i="6"/>
  <c r="D139" i="6"/>
  <c r="E139" i="6"/>
  <c r="F139" i="6"/>
  <c r="G139" i="6"/>
  <c r="H139" i="6"/>
  <c r="I139" i="6"/>
  <c r="J139" i="6"/>
  <c r="K139" i="6"/>
  <c r="L139" i="6"/>
  <c r="C140" i="6"/>
  <c r="D140" i="6"/>
  <c r="E140" i="6"/>
  <c r="F140" i="6"/>
  <c r="G140" i="6"/>
  <c r="H140" i="6"/>
  <c r="I140" i="6"/>
  <c r="J140" i="6"/>
  <c r="K140" i="6"/>
  <c r="L140" i="6"/>
  <c r="C141" i="6"/>
  <c r="D141" i="6"/>
  <c r="E141" i="6"/>
  <c r="F141" i="6"/>
  <c r="G141" i="6"/>
  <c r="H141" i="6"/>
  <c r="I141" i="6"/>
  <c r="J141" i="6"/>
  <c r="K141" i="6"/>
  <c r="L141" i="6"/>
  <c r="C142" i="6"/>
  <c r="D142" i="6"/>
  <c r="E142" i="6"/>
  <c r="F142" i="6"/>
  <c r="G142" i="6"/>
  <c r="H142" i="6"/>
  <c r="I142" i="6"/>
  <c r="J142" i="6"/>
  <c r="K142" i="6"/>
  <c r="L142" i="6"/>
  <c r="C143" i="6"/>
  <c r="D143" i="6"/>
  <c r="E143" i="6"/>
  <c r="F143" i="6"/>
  <c r="G143" i="6"/>
  <c r="H143" i="6"/>
  <c r="I143" i="6"/>
  <c r="J143" i="6"/>
  <c r="K143" i="6"/>
  <c r="L143" i="6"/>
  <c r="C144" i="6"/>
  <c r="D144" i="6"/>
  <c r="E144" i="6"/>
  <c r="F144" i="6"/>
  <c r="G144" i="6"/>
  <c r="H144" i="6"/>
  <c r="I144" i="6"/>
  <c r="J144" i="6"/>
  <c r="K144" i="6"/>
  <c r="L144" i="6"/>
  <c r="C145" i="6"/>
  <c r="D145" i="6"/>
  <c r="E145" i="6"/>
  <c r="F145" i="6"/>
  <c r="G145" i="6"/>
  <c r="H145" i="6"/>
  <c r="I145" i="6"/>
  <c r="J145" i="6"/>
  <c r="K145" i="6"/>
  <c r="L145" i="6"/>
  <c r="C146" i="6"/>
  <c r="D146" i="6"/>
  <c r="E146" i="6"/>
  <c r="F146" i="6"/>
  <c r="G146" i="6"/>
  <c r="H146" i="6"/>
  <c r="I146" i="6"/>
  <c r="J146" i="6"/>
  <c r="K146" i="6"/>
  <c r="L146" i="6"/>
  <c r="C147" i="6"/>
  <c r="D147" i="6"/>
  <c r="E147" i="6"/>
  <c r="F147" i="6"/>
  <c r="G147" i="6"/>
  <c r="H147" i="6"/>
  <c r="I147" i="6"/>
  <c r="J147" i="6"/>
  <c r="K147" i="6"/>
  <c r="L147" i="6"/>
  <c r="C148" i="6"/>
  <c r="E148" i="6"/>
  <c r="G148" i="6"/>
  <c r="I148" i="6"/>
  <c r="J148" i="6"/>
  <c r="K148" i="6"/>
  <c r="L148" i="6"/>
  <c r="C149" i="6"/>
  <c r="D149" i="6"/>
  <c r="E149" i="6"/>
  <c r="F149" i="6"/>
  <c r="G149" i="6"/>
  <c r="H149" i="6"/>
  <c r="I149" i="6"/>
  <c r="J149" i="6"/>
  <c r="K149" i="6"/>
  <c r="L149" i="6"/>
  <c r="C150" i="6"/>
  <c r="D150" i="6"/>
  <c r="E150" i="6"/>
  <c r="F150" i="6"/>
  <c r="G150" i="6"/>
  <c r="H150" i="6"/>
  <c r="I150" i="6"/>
  <c r="J150" i="6"/>
  <c r="K150" i="6"/>
  <c r="L150" i="6"/>
  <c r="C151" i="6"/>
  <c r="D151" i="6"/>
  <c r="E151" i="6"/>
  <c r="F151" i="6"/>
  <c r="G151" i="6"/>
  <c r="H151" i="6"/>
  <c r="I151" i="6"/>
  <c r="J151" i="6"/>
  <c r="K151" i="6"/>
  <c r="L151" i="6"/>
  <c r="C152" i="6"/>
  <c r="D152" i="6"/>
  <c r="E152" i="6"/>
  <c r="F152" i="6"/>
  <c r="G152" i="6"/>
  <c r="H152" i="6"/>
  <c r="I152" i="6"/>
  <c r="J152" i="6"/>
  <c r="K152" i="6"/>
  <c r="L152" i="6"/>
  <c r="C153" i="6"/>
  <c r="D153" i="6"/>
  <c r="E153" i="6"/>
  <c r="F153" i="6"/>
  <c r="G153" i="6"/>
  <c r="H153" i="6"/>
  <c r="I153" i="6"/>
  <c r="J153" i="6"/>
  <c r="K153" i="6"/>
  <c r="L153" i="6"/>
  <c r="C154" i="6"/>
  <c r="D154" i="6"/>
  <c r="E154" i="6"/>
  <c r="F154" i="6"/>
  <c r="G154" i="6"/>
  <c r="H154" i="6"/>
  <c r="I154" i="6"/>
  <c r="J154" i="6"/>
  <c r="K154" i="6"/>
  <c r="L154" i="6"/>
  <c r="C155" i="6"/>
  <c r="D155" i="6"/>
  <c r="E155" i="6"/>
  <c r="F155" i="6"/>
  <c r="G155" i="6"/>
  <c r="H155" i="6"/>
  <c r="I155" i="6"/>
  <c r="J155" i="6"/>
  <c r="K155" i="6"/>
  <c r="L155" i="6"/>
  <c r="C156" i="6"/>
  <c r="D156" i="6"/>
  <c r="E156" i="6"/>
  <c r="F156" i="6"/>
  <c r="G156" i="6"/>
  <c r="H156" i="6"/>
  <c r="I156" i="6"/>
  <c r="J156" i="6"/>
  <c r="K156" i="6"/>
  <c r="L156" i="6"/>
  <c r="C157" i="6"/>
  <c r="D157" i="6"/>
  <c r="E157" i="6"/>
  <c r="F157" i="6"/>
  <c r="G157" i="6"/>
  <c r="H157" i="6"/>
  <c r="I157" i="6"/>
  <c r="J157" i="6"/>
  <c r="K157" i="6"/>
  <c r="L157" i="6"/>
  <c r="C158" i="6"/>
  <c r="D158" i="6"/>
  <c r="E158" i="6"/>
  <c r="F158" i="6"/>
  <c r="G158" i="6"/>
  <c r="H158" i="6"/>
  <c r="I158" i="6"/>
  <c r="J158" i="6"/>
  <c r="K158" i="6"/>
  <c r="L158" i="6"/>
  <c r="C159" i="6"/>
  <c r="D159" i="6"/>
  <c r="E159" i="6"/>
  <c r="F159" i="6"/>
  <c r="G159" i="6"/>
  <c r="H159" i="6"/>
  <c r="I159" i="6"/>
  <c r="J159" i="6"/>
  <c r="K159" i="6"/>
  <c r="L159" i="6"/>
  <c r="C160" i="6"/>
  <c r="D160" i="6"/>
  <c r="E160" i="6"/>
  <c r="F160" i="6"/>
  <c r="G160" i="6"/>
  <c r="H160" i="6"/>
  <c r="I160" i="6"/>
  <c r="J160" i="6"/>
  <c r="K160" i="6"/>
  <c r="L160" i="6"/>
  <c r="C161" i="6"/>
  <c r="D161" i="6"/>
  <c r="E161" i="6"/>
  <c r="F161" i="6"/>
  <c r="G161" i="6"/>
  <c r="H161" i="6"/>
  <c r="I161" i="6"/>
  <c r="J161" i="6"/>
  <c r="K161" i="6"/>
  <c r="L161" i="6"/>
  <c r="C162" i="6"/>
  <c r="D162" i="6"/>
  <c r="E162" i="6"/>
  <c r="F162" i="6"/>
  <c r="G162" i="6"/>
  <c r="H162" i="6"/>
  <c r="I162" i="6"/>
  <c r="J162" i="6"/>
  <c r="K162" i="6"/>
  <c r="L162" i="6"/>
  <c r="C163" i="6"/>
  <c r="D163" i="6"/>
  <c r="E163" i="6"/>
  <c r="G163" i="6"/>
  <c r="I163" i="6"/>
  <c r="J163" i="6"/>
  <c r="K163" i="6"/>
  <c r="L163" i="6"/>
  <c r="C164" i="6"/>
  <c r="D164" i="6"/>
  <c r="E164" i="6"/>
  <c r="F164" i="6"/>
  <c r="G164" i="6"/>
  <c r="H164" i="6"/>
  <c r="I164" i="6"/>
  <c r="J164" i="6"/>
  <c r="K164" i="6"/>
  <c r="L164" i="6"/>
  <c r="C165" i="6"/>
  <c r="D165" i="6"/>
  <c r="E165" i="6"/>
  <c r="F165" i="6"/>
  <c r="G165" i="6"/>
  <c r="H165" i="6"/>
  <c r="I165" i="6"/>
  <c r="J165" i="6"/>
  <c r="K165" i="6"/>
  <c r="L165" i="6"/>
  <c r="C166" i="6"/>
  <c r="D166" i="6"/>
  <c r="E166" i="6"/>
  <c r="F166" i="6"/>
  <c r="G166" i="6"/>
  <c r="H166" i="6"/>
  <c r="I166" i="6"/>
  <c r="J166" i="6"/>
  <c r="K166" i="6"/>
  <c r="L166" i="6"/>
  <c r="C167" i="6"/>
  <c r="D167" i="6"/>
  <c r="E167" i="6"/>
  <c r="F167" i="6"/>
  <c r="G167" i="6"/>
  <c r="H167" i="6"/>
  <c r="I167" i="6"/>
  <c r="J167" i="6"/>
  <c r="K167" i="6"/>
  <c r="L167" i="6"/>
  <c r="C168" i="6"/>
  <c r="D168" i="6"/>
  <c r="E168" i="6"/>
  <c r="F168" i="6"/>
  <c r="G168" i="6"/>
  <c r="H168" i="6"/>
  <c r="I168" i="6"/>
  <c r="J168" i="6"/>
  <c r="K168" i="6"/>
  <c r="L168" i="6"/>
  <c r="C169" i="6"/>
  <c r="D169" i="6"/>
  <c r="E169" i="6"/>
  <c r="F169" i="6"/>
  <c r="G169" i="6"/>
  <c r="H169" i="6"/>
  <c r="I169" i="6"/>
  <c r="J169" i="6"/>
  <c r="K169" i="6"/>
  <c r="L169" i="6"/>
  <c r="C170" i="6"/>
  <c r="D170" i="6"/>
  <c r="E170" i="6"/>
  <c r="F170" i="6"/>
  <c r="G170" i="6"/>
  <c r="H170" i="6"/>
  <c r="I170" i="6"/>
  <c r="J170" i="6"/>
  <c r="K170" i="6"/>
  <c r="L170" i="6"/>
  <c r="C171" i="6"/>
  <c r="D171" i="6"/>
  <c r="E171" i="6"/>
  <c r="F171" i="6"/>
  <c r="G171" i="6"/>
  <c r="H171" i="6"/>
  <c r="I171" i="6"/>
  <c r="J171" i="6"/>
  <c r="K171" i="6"/>
  <c r="L171" i="6"/>
  <c r="C172" i="6"/>
  <c r="D172" i="6"/>
  <c r="E172" i="6"/>
  <c r="F172" i="6"/>
  <c r="G172" i="6"/>
  <c r="H172" i="6"/>
  <c r="I172" i="6"/>
  <c r="J172" i="6"/>
  <c r="K172" i="6"/>
  <c r="L172" i="6"/>
  <c r="C173" i="6"/>
  <c r="D173" i="6"/>
  <c r="E173" i="6"/>
  <c r="F173" i="6"/>
  <c r="G173" i="6"/>
  <c r="H173" i="6"/>
  <c r="I173" i="6"/>
  <c r="J173" i="6"/>
  <c r="K173" i="6"/>
  <c r="L173" i="6"/>
  <c r="C174" i="6"/>
  <c r="D174" i="6"/>
  <c r="E174" i="6"/>
  <c r="F174" i="6"/>
  <c r="G174" i="6"/>
  <c r="H174" i="6"/>
  <c r="I174" i="6"/>
  <c r="J174" i="6"/>
  <c r="K174" i="6"/>
  <c r="L174" i="6"/>
  <c r="C175" i="6"/>
  <c r="D175" i="6"/>
  <c r="E175" i="6"/>
  <c r="F175" i="6"/>
  <c r="G175" i="6"/>
  <c r="H175" i="6"/>
  <c r="I175" i="6"/>
  <c r="J175" i="6"/>
  <c r="K175" i="6"/>
  <c r="L175" i="6"/>
  <c r="C176" i="6"/>
  <c r="D176" i="6"/>
  <c r="E176" i="6"/>
  <c r="F176" i="6"/>
  <c r="G176" i="6"/>
  <c r="H176" i="6"/>
  <c r="I176" i="6"/>
  <c r="J176" i="6"/>
  <c r="K176" i="6"/>
  <c r="L176" i="6"/>
  <c r="C177" i="6"/>
  <c r="D177" i="6"/>
  <c r="E177" i="6"/>
  <c r="F177" i="6"/>
  <c r="G177" i="6"/>
  <c r="H177" i="6"/>
  <c r="I177" i="6"/>
  <c r="J177" i="6"/>
  <c r="K177" i="6"/>
  <c r="L177" i="6"/>
  <c r="C178" i="6"/>
  <c r="D178" i="6"/>
  <c r="E178" i="6"/>
  <c r="G178" i="6"/>
  <c r="I178" i="6"/>
  <c r="K178" i="6"/>
  <c r="L178" i="6"/>
  <c r="C179" i="6"/>
  <c r="D179" i="6"/>
  <c r="E179" i="6"/>
  <c r="F179" i="6"/>
  <c r="G179" i="6"/>
  <c r="H179" i="6"/>
  <c r="I179" i="6"/>
  <c r="J179" i="6"/>
  <c r="K179" i="6"/>
  <c r="L179" i="6"/>
  <c r="C180" i="6"/>
  <c r="D180" i="6"/>
  <c r="E180" i="6"/>
  <c r="F180" i="6"/>
  <c r="G180" i="6"/>
  <c r="H180" i="6"/>
  <c r="I180" i="6"/>
  <c r="J180" i="6"/>
  <c r="K180" i="6"/>
  <c r="L180" i="6"/>
  <c r="C181" i="6"/>
  <c r="D181" i="6"/>
  <c r="E181" i="6"/>
  <c r="F181" i="6"/>
  <c r="G181" i="6"/>
  <c r="H181" i="6"/>
  <c r="I181" i="6"/>
  <c r="J181" i="6"/>
  <c r="K181" i="6"/>
  <c r="L181" i="6"/>
  <c r="C182" i="6"/>
  <c r="D182" i="6"/>
  <c r="E182" i="6"/>
  <c r="F182" i="6"/>
  <c r="G182" i="6"/>
  <c r="H182" i="6"/>
  <c r="I182" i="6"/>
  <c r="J182" i="6"/>
  <c r="K182" i="6"/>
  <c r="L182" i="6"/>
  <c r="C183" i="6"/>
  <c r="D183" i="6"/>
  <c r="E183" i="6"/>
  <c r="F183" i="6"/>
  <c r="G183" i="6"/>
  <c r="H183" i="6"/>
  <c r="I183" i="6"/>
  <c r="J183" i="6"/>
  <c r="K183" i="6"/>
  <c r="L183" i="6"/>
  <c r="C184" i="6"/>
  <c r="D184" i="6"/>
  <c r="E184" i="6"/>
  <c r="F184" i="6"/>
  <c r="G184" i="6"/>
  <c r="H184" i="6"/>
  <c r="I184" i="6"/>
  <c r="J184" i="6"/>
  <c r="K184" i="6"/>
  <c r="L184" i="6"/>
  <c r="C185" i="6"/>
  <c r="D185" i="6"/>
  <c r="E185" i="6"/>
  <c r="F185" i="6"/>
  <c r="G185" i="6"/>
  <c r="H185" i="6"/>
  <c r="I185" i="6"/>
  <c r="J185" i="6"/>
  <c r="K185" i="6"/>
  <c r="L185" i="6"/>
  <c r="C186" i="6"/>
  <c r="D186" i="6"/>
  <c r="E186" i="6"/>
  <c r="F186" i="6"/>
  <c r="G186" i="6"/>
  <c r="H186" i="6"/>
  <c r="I186" i="6"/>
  <c r="J186" i="6"/>
  <c r="K186" i="6"/>
  <c r="L186" i="6"/>
  <c r="C187" i="6"/>
  <c r="D187" i="6"/>
  <c r="E187" i="6"/>
  <c r="F187" i="6"/>
  <c r="G187" i="6"/>
  <c r="H187" i="6"/>
  <c r="I187" i="6"/>
  <c r="J187" i="6"/>
  <c r="K187" i="6"/>
  <c r="L187" i="6"/>
  <c r="C188" i="6"/>
  <c r="D188" i="6"/>
  <c r="E188" i="6"/>
  <c r="F188" i="6"/>
  <c r="G188" i="6"/>
  <c r="H188" i="6"/>
  <c r="I188" i="6"/>
  <c r="J188" i="6"/>
  <c r="K188" i="6"/>
  <c r="L188" i="6"/>
  <c r="C189" i="6"/>
  <c r="D189" i="6"/>
  <c r="E189" i="6"/>
  <c r="F189" i="6"/>
  <c r="G189" i="6"/>
  <c r="H189" i="6"/>
  <c r="I189" i="6"/>
  <c r="J189" i="6"/>
  <c r="K189" i="6"/>
  <c r="L189" i="6"/>
  <c r="C190" i="6"/>
  <c r="D190" i="6"/>
  <c r="E190" i="6"/>
  <c r="F190" i="6"/>
  <c r="G190" i="6"/>
  <c r="H190" i="6"/>
  <c r="I190" i="6"/>
  <c r="J190" i="6"/>
  <c r="K190" i="6"/>
  <c r="L190" i="6"/>
  <c r="C191" i="6"/>
  <c r="D191" i="6"/>
  <c r="E191" i="6"/>
  <c r="F191" i="6"/>
  <c r="G191" i="6"/>
  <c r="H191" i="6"/>
  <c r="I191" i="6"/>
  <c r="J191" i="6"/>
  <c r="K191" i="6"/>
  <c r="L191" i="6"/>
  <c r="C192" i="6"/>
  <c r="D192" i="6"/>
  <c r="E192" i="6"/>
  <c r="F192" i="6"/>
  <c r="G192" i="6"/>
  <c r="H192" i="6"/>
  <c r="I192" i="6"/>
  <c r="J192" i="6"/>
  <c r="K192" i="6"/>
  <c r="L192" i="6"/>
  <c r="C193" i="6"/>
  <c r="D193" i="6"/>
  <c r="E193" i="6"/>
  <c r="F193" i="6"/>
  <c r="G193" i="6"/>
  <c r="I193" i="6"/>
  <c r="K193" i="6"/>
  <c r="C194" i="6"/>
  <c r="D194" i="6"/>
  <c r="E194" i="6"/>
  <c r="F194" i="6"/>
  <c r="G194" i="6"/>
  <c r="H194" i="6"/>
  <c r="I194" i="6"/>
  <c r="J194" i="6"/>
  <c r="K194" i="6"/>
  <c r="L194" i="6"/>
  <c r="C195" i="6"/>
  <c r="D195" i="6"/>
  <c r="E195" i="6"/>
  <c r="F195" i="6"/>
  <c r="G195" i="6"/>
  <c r="H195" i="6"/>
  <c r="I195" i="6"/>
  <c r="J195" i="6"/>
  <c r="K195" i="6"/>
  <c r="L195" i="6"/>
  <c r="C196" i="6"/>
  <c r="D196" i="6"/>
  <c r="E196" i="6"/>
  <c r="F196" i="6"/>
  <c r="G196" i="6"/>
  <c r="H196" i="6"/>
  <c r="I196" i="6"/>
  <c r="J196" i="6"/>
  <c r="K196" i="6"/>
  <c r="L196" i="6"/>
  <c r="C197" i="6"/>
  <c r="D197" i="6"/>
  <c r="E197" i="6"/>
  <c r="F197" i="6"/>
  <c r="G197" i="6"/>
  <c r="H197" i="6"/>
  <c r="I197" i="6"/>
  <c r="J197" i="6"/>
  <c r="K197" i="6"/>
  <c r="L197" i="6"/>
  <c r="C198" i="6"/>
  <c r="D198" i="6"/>
  <c r="E198" i="6"/>
  <c r="F198" i="6"/>
  <c r="G198" i="6"/>
  <c r="H198" i="6"/>
  <c r="I198" i="6"/>
  <c r="J198" i="6"/>
  <c r="K198" i="6"/>
  <c r="L198" i="6"/>
  <c r="C199" i="6"/>
  <c r="D199" i="6"/>
  <c r="E199" i="6"/>
  <c r="F199" i="6"/>
  <c r="G199" i="6"/>
  <c r="H199" i="6"/>
  <c r="I199" i="6"/>
  <c r="J199" i="6"/>
  <c r="K199" i="6"/>
  <c r="L199" i="6"/>
  <c r="C200" i="6"/>
  <c r="D200" i="6"/>
  <c r="E200" i="6"/>
  <c r="F200" i="6"/>
  <c r="G200" i="6"/>
  <c r="H200" i="6"/>
  <c r="I200" i="6"/>
  <c r="J200" i="6"/>
  <c r="K200" i="6"/>
  <c r="L200" i="6"/>
  <c r="C201" i="6"/>
  <c r="D201" i="6"/>
  <c r="E201" i="6"/>
  <c r="F201" i="6"/>
  <c r="G201" i="6"/>
  <c r="H201" i="6"/>
  <c r="I201" i="6"/>
  <c r="J201" i="6"/>
  <c r="K201" i="6"/>
  <c r="L201" i="6"/>
  <c r="C202" i="6"/>
  <c r="D202" i="6"/>
  <c r="E202" i="6"/>
  <c r="F202" i="6"/>
  <c r="G202" i="6"/>
  <c r="H202" i="6"/>
  <c r="I202" i="6"/>
  <c r="J202" i="6"/>
  <c r="K202" i="6"/>
  <c r="L202" i="6"/>
  <c r="C203" i="6"/>
  <c r="D203" i="6"/>
  <c r="E203" i="6"/>
  <c r="F203" i="6"/>
  <c r="G203" i="6"/>
  <c r="H203" i="6"/>
  <c r="I203" i="6"/>
  <c r="J203" i="6"/>
  <c r="K203" i="6"/>
  <c r="L203" i="6"/>
  <c r="C204" i="6"/>
  <c r="D204" i="6"/>
  <c r="E204" i="6"/>
  <c r="F204" i="6"/>
  <c r="G204" i="6"/>
  <c r="H204" i="6"/>
  <c r="I204" i="6"/>
  <c r="J204" i="6"/>
  <c r="K204" i="6"/>
  <c r="L204" i="6"/>
  <c r="C205" i="6"/>
  <c r="D205" i="6"/>
  <c r="E205" i="6"/>
  <c r="F205" i="6"/>
  <c r="G205" i="6"/>
  <c r="H205" i="6"/>
  <c r="I205" i="6"/>
  <c r="J205" i="6"/>
  <c r="K205" i="6"/>
  <c r="L205" i="6"/>
  <c r="C206" i="6"/>
  <c r="D206" i="6"/>
  <c r="E206" i="6"/>
  <c r="F206" i="6"/>
  <c r="G206" i="6"/>
  <c r="H206" i="6"/>
  <c r="I206" i="6"/>
  <c r="J206" i="6"/>
  <c r="K206" i="6"/>
  <c r="L206" i="6"/>
  <c r="C207" i="6"/>
  <c r="D207" i="6"/>
  <c r="E207" i="6"/>
  <c r="F207" i="6"/>
  <c r="G207" i="6"/>
  <c r="H207" i="6"/>
  <c r="I207" i="6"/>
  <c r="J207" i="6"/>
  <c r="K207" i="6"/>
  <c r="L207" i="6"/>
  <c r="C208" i="6"/>
  <c r="D208" i="6"/>
  <c r="E208" i="6"/>
  <c r="F208" i="6"/>
  <c r="G208" i="6"/>
  <c r="H208" i="6"/>
  <c r="I208" i="6"/>
  <c r="J208" i="6"/>
  <c r="K208" i="6"/>
  <c r="L208" i="6"/>
  <c r="C209" i="6"/>
  <c r="D209" i="6"/>
  <c r="E209" i="6"/>
  <c r="F209" i="6"/>
  <c r="G209" i="6"/>
  <c r="H209" i="6"/>
  <c r="I209" i="6"/>
  <c r="J209" i="6"/>
  <c r="K209" i="6"/>
  <c r="L209" i="6"/>
  <c r="C210" i="6"/>
  <c r="D210" i="6"/>
  <c r="E210" i="6"/>
  <c r="F210" i="6"/>
  <c r="G210" i="6"/>
  <c r="H210" i="6"/>
  <c r="I210" i="6"/>
  <c r="J210" i="6"/>
  <c r="K210" i="6"/>
  <c r="L210" i="6"/>
  <c r="C211" i="6"/>
  <c r="D211" i="6"/>
  <c r="E211" i="6"/>
  <c r="F211" i="6"/>
  <c r="G211" i="6"/>
  <c r="H211" i="6"/>
  <c r="I211" i="6"/>
  <c r="J211" i="6"/>
  <c r="K211" i="6"/>
  <c r="L211" i="6"/>
  <c r="L11" i="6"/>
  <c r="K11" i="6"/>
  <c r="J11" i="6"/>
  <c r="I11" i="6"/>
  <c r="H11" i="6"/>
  <c r="G11" i="6"/>
  <c r="F11" i="6"/>
  <c r="E11" i="6"/>
  <c r="D11" i="6"/>
  <c r="P3" i="6"/>
  <c r="AA19" i="6"/>
  <c r="AC19" i="6" s="1"/>
  <c r="AA20" i="6"/>
  <c r="AC20" i="6" s="1"/>
  <c r="AA21" i="6"/>
  <c r="AC21" i="6" s="1"/>
  <c r="AA22" i="6"/>
  <c r="AB22" i="6" s="1"/>
  <c r="AA23" i="6"/>
  <c r="AC23" i="6" s="1"/>
  <c r="AA24" i="6"/>
  <c r="AC24" i="6" s="1"/>
  <c r="AA25" i="6"/>
  <c r="AC25" i="6" s="1"/>
  <c r="AA26" i="6"/>
  <c r="AC26" i="6" s="1"/>
  <c r="AA27" i="6"/>
  <c r="AC27" i="6" s="1"/>
  <c r="AA28" i="6"/>
  <c r="AB28" i="6" s="1"/>
  <c r="AA29" i="6"/>
  <c r="AC29" i="6" s="1"/>
  <c r="AA30" i="6"/>
  <c r="AC30" i="6" s="1"/>
  <c r="AA31" i="6"/>
  <c r="AC31" i="6" s="1"/>
  <c r="AA32" i="6"/>
  <c r="AC32" i="6" s="1"/>
  <c r="AA33" i="6"/>
  <c r="AC33" i="6" s="1"/>
  <c r="AA34" i="6"/>
  <c r="AB34" i="6" s="1"/>
  <c r="AA35" i="6"/>
  <c r="AC35" i="6" s="1"/>
  <c r="AA36" i="6"/>
  <c r="AC36" i="6" s="1"/>
  <c r="AA37" i="6"/>
  <c r="AC37" i="6" s="1"/>
  <c r="AA38" i="6"/>
  <c r="AC38" i="6" s="1"/>
  <c r="AA39" i="6"/>
  <c r="AC39" i="6" s="1"/>
  <c r="AA40" i="6"/>
  <c r="AB40" i="6" s="1"/>
  <c r="AA41" i="6"/>
  <c r="AC41" i="6" s="1"/>
  <c r="AA42" i="6"/>
  <c r="AC42" i="6" s="1"/>
  <c r="AA43" i="6"/>
  <c r="AC43" i="6" s="1"/>
  <c r="AA44" i="6"/>
  <c r="AC44" i="6" s="1"/>
  <c r="AA45" i="6"/>
  <c r="AC45" i="6" s="1"/>
  <c r="AA47" i="6"/>
  <c r="AB47" i="6" s="1"/>
  <c r="AA48" i="6"/>
  <c r="AC48" i="6" s="1"/>
  <c r="AA49" i="6"/>
  <c r="AC49" i="6" s="1"/>
  <c r="AA50" i="6"/>
  <c r="AC50" i="6" s="1"/>
  <c r="AA51" i="6"/>
  <c r="AC51" i="6" s="1"/>
  <c r="AA52" i="6"/>
  <c r="AC52" i="6" s="1"/>
  <c r="AA53" i="6"/>
  <c r="AB53" i="6" s="1"/>
  <c r="AA54" i="6"/>
  <c r="AC54" i="6" s="1"/>
  <c r="AA55" i="6"/>
  <c r="AC55" i="6" s="1"/>
  <c r="AA56" i="6"/>
  <c r="AC56" i="6" s="1"/>
  <c r="AA57" i="6"/>
  <c r="AC57" i="6" s="1"/>
  <c r="AA58" i="6"/>
  <c r="AC58" i="6" s="1"/>
  <c r="AA59" i="6"/>
  <c r="AB59" i="6" s="1"/>
  <c r="AA60" i="6"/>
  <c r="AC60" i="6" s="1"/>
  <c r="AA61" i="6"/>
  <c r="AC61" i="6" s="1"/>
  <c r="AA62" i="6"/>
  <c r="AC62" i="6" s="1"/>
  <c r="AA63" i="6"/>
  <c r="AC63" i="6" s="1"/>
  <c r="AA64" i="6"/>
  <c r="AC64" i="6" s="1"/>
  <c r="AA65" i="6"/>
  <c r="AB65" i="6" s="1"/>
  <c r="AA66" i="6"/>
  <c r="AC66" i="6" s="1"/>
  <c r="AA67" i="6"/>
  <c r="AC67" i="6" s="1"/>
  <c r="AA68" i="6"/>
  <c r="AC68" i="6" s="1"/>
  <c r="AA69" i="6"/>
  <c r="AC69" i="6" s="1"/>
  <c r="AA70" i="6"/>
  <c r="AC70" i="6" s="1"/>
  <c r="AA72" i="6"/>
  <c r="AB72" i="6" s="1"/>
  <c r="AA73" i="6"/>
  <c r="AC73" i="6" s="1"/>
  <c r="AA74" i="6"/>
  <c r="AC74" i="6" s="1"/>
  <c r="AA75" i="6"/>
  <c r="AC75" i="6" s="1"/>
  <c r="AA76" i="6"/>
  <c r="AC76" i="6" s="1"/>
  <c r="AA77" i="6"/>
  <c r="AC77" i="6" s="1"/>
  <c r="AA78" i="6"/>
  <c r="AB78" i="6" s="1"/>
  <c r="AA79" i="6"/>
  <c r="AC79" i="6" s="1"/>
  <c r="AA80" i="6"/>
  <c r="AC80" i="6" s="1"/>
  <c r="AA81" i="6"/>
  <c r="AC81" i="6" s="1"/>
  <c r="AA82" i="6"/>
  <c r="AC82" i="6" s="1"/>
  <c r="AA83" i="6"/>
  <c r="AC83" i="6" s="1"/>
  <c r="AA84" i="6"/>
  <c r="AB84" i="6" s="1"/>
  <c r="AA85" i="6"/>
  <c r="AC85" i="6" s="1"/>
  <c r="AA86" i="6"/>
  <c r="AC86" i="6" s="1"/>
  <c r="AA87" i="6"/>
  <c r="AC87" i="6" s="1"/>
  <c r="AA88" i="6"/>
  <c r="AC88" i="6" s="1"/>
  <c r="AA89" i="6"/>
  <c r="AC89" i="6" s="1"/>
  <c r="AA90" i="6"/>
  <c r="AB90" i="6" s="1"/>
  <c r="AA91" i="6"/>
  <c r="AC91" i="6" s="1"/>
  <c r="AA92" i="6"/>
  <c r="AC92" i="6" s="1"/>
  <c r="AA93" i="6"/>
  <c r="AC93" i="6" s="1"/>
  <c r="AA94" i="6"/>
  <c r="AC94" i="6" s="1"/>
  <c r="AA95" i="6"/>
  <c r="AC95" i="6" s="1"/>
  <c r="AA97" i="6"/>
  <c r="AB97" i="6" s="1"/>
  <c r="AA98" i="6"/>
  <c r="AC98" i="6" s="1"/>
  <c r="AA99" i="6"/>
  <c r="AC99" i="6" s="1"/>
  <c r="AA100" i="6"/>
  <c r="AC100" i="6" s="1"/>
  <c r="AA101" i="6"/>
  <c r="AC101" i="6" s="1"/>
  <c r="AA102" i="6"/>
  <c r="AC102" i="6" s="1"/>
  <c r="AA103" i="6"/>
  <c r="AB103" i="6" s="1"/>
  <c r="AA104" i="6"/>
  <c r="AC104" i="6" s="1"/>
  <c r="AA105" i="6"/>
  <c r="AC105" i="6" s="1"/>
  <c r="AA106" i="6"/>
  <c r="AC106" i="6" s="1"/>
  <c r="AA107" i="6"/>
  <c r="AC107" i="6" s="1"/>
  <c r="AA108" i="6"/>
  <c r="AC108" i="6" s="1"/>
  <c r="AA109" i="6"/>
  <c r="AB109" i="6" s="1"/>
  <c r="AA110" i="6"/>
  <c r="AC110" i="6" s="1"/>
  <c r="AA111" i="6"/>
  <c r="AC111" i="6" s="1"/>
  <c r="AA112" i="6"/>
  <c r="AC112" i="6" s="1"/>
  <c r="AA113" i="6"/>
  <c r="AC113" i="6" s="1"/>
  <c r="AA114" i="6"/>
  <c r="AC114" i="6" s="1"/>
  <c r="AA115" i="6"/>
  <c r="AB115" i="6" s="1"/>
  <c r="AA116" i="6"/>
  <c r="AC116" i="6" s="1"/>
  <c r="AA117" i="6"/>
  <c r="AC117" i="6" s="1"/>
  <c r="AA118" i="6"/>
  <c r="AC118" i="6" s="1"/>
  <c r="AA119" i="6"/>
  <c r="AC119" i="6" s="1"/>
  <c r="AA120" i="6"/>
  <c r="AC120" i="6" s="1"/>
  <c r="AA122" i="6"/>
  <c r="AB122" i="6" s="1"/>
  <c r="AA123" i="6"/>
  <c r="AC123" i="6" s="1"/>
  <c r="AA124" i="6"/>
  <c r="AC124" i="6" s="1"/>
  <c r="AA125" i="6"/>
  <c r="AC125" i="6" s="1"/>
  <c r="AA126" i="6"/>
  <c r="AC126" i="6" s="1"/>
  <c r="AA127" i="6"/>
  <c r="AC127" i="6" s="1"/>
  <c r="AA128" i="6"/>
  <c r="AB128" i="6" s="1"/>
  <c r="AA129" i="6"/>
  <c r="AC129" i="6" s="1"/>
  <c r="AA130" i="6"/>
  <c r="AC130" i="6" s="1"/>
  <c r="AA131" i="6"/>
  <c r="AC131" i="6" s="1"/>
  <c r="AA132" i="6"/>
  <c r="AC132" i="6" s="1"/>
  <c r="AA133" i="6"/>
  <c r="AC133" i="6" s="1"/>
  <c r="AA134" i="6"/>
  <c r="AB134" i="6" s="1"/>
  <c r="AA135" i="6"/>
  <c r="AC135" i="6" s="1"/>
  <c r="AA136" i="6"/>
  <c r="AC136" i="6" s="1"/>
  <c r="AA137" i="6"/>
  <c r="AC137" i="6" s="1"/>
  <c r="AA138" i="6"/>
  <c r="AC138" i="6" s="1"/>
  <c r="AA139" i="6"/>
  <c r="AC139" i="6" s="1"/>
  <c r="AA140" i="6"/>
  <c r="AB140" i="6" s="1"/>
  <c r="AA141" i="6"/>
  <c r="AC141" i="6" s="1"/>
  <c r="AA142" i="6"/>
  <c r="AC142" i="6" s="1"/>
  <c r="AA143" i="6"/>
  <c r="AC143" i="6" s="1"/>
  <c r="AA144" i="6"/>
  <c r="AC144" i="6" s="1"/>
  <c r="AA145" i="6"/>
  <c r="AC145" i="6" s="1"/>
  <c r="AA147" i="6"/>
  <c r="AB147" i="6" s="1"/>
  <c r="AA148" i="6"/>
  <c r="AC148" i="6" s="1"/>
  <c r="AA149" i="6"/>
  <c r="AC149" i="6" s="1"/>
  <c r="AA150" i="6"/>
  <c r="AC150" i="6" s="1"/>
  <c r="AA151" i="6"/>
  <c r="AC151" i="6" s="1"/>
  <c r="AA152" i="6"/>
  <c r="AC152" i="6" s="1"/>
  <c r="AA153" i="6"/>
  <c r="AB153" i="6" s="1"/>
  <c r="AA154" i="6"/>
  <c r="AC154" i="6" s="1"/>
  <c r="AA155" i="6"/>
  <c r="AC155" i="6" s="1"/>
  <c r="AA156" i="6"/>
  <c r="AC156" i="6" s="1"/>
  <c r="AA157" i="6"/>
  <c r="AC157" i="6" s="1"/>
  <c r="AA158" i="6"/>
  <c r="AC158" i="6" s="1"/>
  <c r="AA159" i="6"/>
  <c r="AB159" i="6" s="1"/>
  <c r="AA160" i="6"/>
  <c r="AC160" i="6" s="1"/>
  <c r="AA161" i="6"/>
  <c r="AC161" i="6" s="1"/>
  <c r="AA162" i="6"/>
  <c r="AC162" i="6" s="1"/>
  <c r="AA163" i="6"/>
  <c r="AC163" i="6" s="1"/>
  <c r="AA164" i="6"/>
  <c r="AC164" i="6" s="1"/>
  <c r="AA165" i="6"/>
  <c r="AB165" i="6" s="1"/>
  <c r="AA166" i="6"/>
  <c r="AC166" i="6" s="1"/>
  <c r="AA167" i="6"/>
  <c r="AC167" i="6" s="1"/>
  <c r="AA168" i="6"/>
  <c r="AC168" i="6" s="1"/>
  <c r="AA169" i="6"/>
  <c r="AC169" i="6" s="1"/>
  <c r="AA170" i="6"/>
  <c r="AC170" i="6" s="1"/>
  <c r="AA172" i="6"/>
  <c r="AB172" i="6" s="1"/>
  <c r="AA173" i="6"/>
  <c r="AC173" i="6" s="1"/>
  <c r="AA174" i="6"/>
  <c r="AC174" i="6" s="1"/>
  <c r="AA175" i="6"/>
  <c r="AC175" i="6" s="1"/>
  <c r="AA176" i="6"/>
  <c r="AC176" i="6" s="1"/>
  <c r="AA177" i="6"/>
  <c r="AC177" i="6" s="1"/>
  <c r="AA178" i="6"/>
  <c r="AB178" i="6" s="1"/>
  <c r="AA179" i="6"/>
  <c r="AC179" i="6" s="1"/>
  <c r="AA180" i="6"/>
  <c r="AC180" i="6" s="1"/>
  <c r="AA181" i="6"/>
  <c r="AC181" i="6" s="1"/>
  <c r="AA182" i="6"/>
  <c r="AC182" i="6" s="1"/>
  <c r="AA183" i="6"/>
  <c r="AC183" i="6" s="1"/>
  <c r="AA184" i="6"/>
  <c r="AB184" i="6" s="1"/>
  <c r="AA185" i="6"/>
  <c r="AC185" i="6" s="1"/>
  <c r="AA186" i="6"/>
  <c r="AC186" i="6" s="1"/>
  <c r="AA187" i="6"/>
  <c r="AC187" i="6" s="1"/>
  <c r="AA188" i="6"/>
  <c r="AC188" i="6" s="1"/>
  <c r="AA189" i="6"/>
  <c r="AC189" i="6" s="1"/>
  <c r="AA190" i="6"/>
  <c r="AB190" i="6" s="1"/>
  <c r="AA191" i="6"/>
  <c r="AC191" i="6" s="1"/>
  <c r="AA192" i="6"/>
  <c r="AC192" i="6" s="1"/>
  <c r="AA193" i="6"/>
  <c r="AC193" i="6" s="1"/>
  <c r="AA194" i="6"/>
  <c r="AC194" i="6" s="1"/>
  <c r="AA195" i="6"/>
  <c r="AC195" i="6" s="1"/>
  <c r="AA196" i="6"/>
  <c r="AB196" i="6" s="1"/>
  <c r="AA197" i="6"/>
  <c r="AC197" i="6" s="1"/>
  <c r="AA198" i="6"/>
  <c r="AC198" i="6" s="1"/>
  <c r="AA199" i="6"/>
  <c r="AC199" i="6" s="1"/>
  <c r="AA200" i="6"/>
  <c r="AC200" i="6" s="1"/>
  <c r="AA203" i="6"/>
  <c r="AC203" i="6" s="1"/>
  <c r="AA204" i="6"/>
  <c r="AC204" i="6" s="1"/>
  <c r="AA205" i="6"/>
  <c r="AC205" i="6" s="1"/>
  <c r="AA206" i="6"/>
  <c r="AC206" i="6" s="1"/>
  <c r="AA207" i="6"/>
  <c r="AC207" i="6" s="1"/>
  <c r="AA208" i="6"/>
  <c r="AC208" i="6" s="1"/>
  <c r="AA209" i="6"/>
  <c r="AC209" i="6" s="1"/>
  <c r="AA210" i="6"/>
  <c r="AC210" i="6" s="1"/>
  <c r="AA211" i="6"/>
  <c r="AC211" i="6" s="1"/>
  <c r="AA12" i="6"/>
  <c r="AC12" i="6" s="1"/>
  <c r="AA13" i="6"/>
  <c r="AC13" i="6" s="1"/>
  <c r="AA14" i="6"/>
  <c r="AC14" i="6" s="1"/>
  <c r="AA15" i="6"/>
  <c r="AB15" i="6" s="1"/>
  <c r="AA16" i="6"/>
  <c r="AC16" i="6" s="1"/>
  <c r="AA17" i="6"/>
  <c r="AC17" i="6" s="1"/>
  <c r="AC11" i="6"/>
  <c r="R10" i="6" a="1"/>
  <c r="R10" i="6" s="1"/>
  <c r="T10" i="6" a="1"/>
  <c r="T10" i="6" s="1"/>
  <c r="V10" i="6" a="1"/>
  <c r="V10" i="6" s="1"/>
  <c r="X10" i="6" a="1"/>
  <c r="X10" i="6" s="1"/>
  <c r="P10" i="6" a="1"/>
  <c r="P10" i="6" s="1"/>
  <c r="O10" i="6" a="1"/>
  <c r="O10" i="6"/>
  <c r="L10" i="6"/>
  <c r="Y10" i="6" s="1" a="1"/>
  <c r="Y10" i="6" s="1"/>
  <c r="J10" i="6"/>
  <c r="Q10" i="6" s="1" a="1"/>
  <c r="Q10" i="6" s="1"/>
  <c r="H10" i="6"/>
  <c r="S10" i="6" s="1" a="1"/>
  <c r="S10" i="6" s="1"/>
  <c r="F10" i="6"/>
  <c r="W10" i="6" s="1" a="1"/>
  <c r="W10" i="6" s="1"/>
  <c r="D10" i="6"/>
  <c r="U10" i="6" s="1" a="1"/>
  <c r="U10" i="6" s="1"/>
  <c r="D12" i="6" l="1"/>
  <c r="D27" i="6"/>
  <c r="F42" i="6"/>
  <c r="F57" i="6"/>
  <c r="H57" i="6"/>
  <c r="H72" i="6"/>
  <c r="J87" i="6"/>
  <c r="J102" i="6"/>
  <c r="L102" i="6"/>
  <c r="L117" i="6"/>
  <c r="D118" i="6"/>
  <c r="D133" i="6"/>
  <c r="D148" i="6"/>
  <c r="F148" i="6"/>
  <c r="H148" i="6"/>
  <c r="F163" i="6"/>
  <c r="H163" i="6"/>
  <c r="F178" i="6"/>
  <c r="H178" i="6"/>
  <c r="J178" i="6"/>
  <c r="H193" i="6"/>
  <c r="J193" i="6"/>
  <c r="L193" i="6"/>
  <c r="R148" i="6"/>
  <c r="T11" i="6"/>
  <c r="R12" i="6"/>
  <c r="R13" i="6"/>
  <c r="R14" i="6"/>
  <c r="S15" i="6"/>
  <c r="R16" i="6"/>
  <c r="S17" i="6"/>
  <c r="T18" i="6"/>
  <c r="U19" i="6"/>
  <c r="W20" i="6"/>
  <c r="Y21" i="6"/>
  <c r="R23" i="6"/>
  <c r="V24" i="6"/>
  <c r="R26" i="6"/>
  <c r="Y27" i="6"/>
  <c r="X29" i="6"/>
  <c r="T32" i="6"/>
  <c r="S35" i="6"/>
  <c r="V39" i="6"/>
  <c r="W44" i="6"/>
  <c r="W49" i="6"/>
  <c r="P55" i="6"/>
  <c r="R62" i="6"/>
  <c r="T68" i="6"/>
  <c r="R77" i="6"/>
  <c r="U94" i="6"/>
  <c r="U11" i="6"/>
  <c r="U12" i="6"/>
  <c r="S13" i="6"/>
  <c r="T14" i="6"/>
  <c r="T15" i="6"/>
  <c r="S16" i="6"/>
  <c r="U17" i="6"/>
  <c r="U18" i="6"/>
  <c r="V19" i="6"/>
  <c r="Y20" i="6"/>
  <c r="Q22" i="6"/>
  <c r="U23" i="6"/>
  <c r="W24" i="6"/>
  <c r="T26" i="6"/>
  <c r="Q28" i="6"/>
  <c r="S30" i="6"/>
  <c r="Q33" i="6"/>
  <c r="U35" i="6"/>
  <c r="S40" i="6"/>
  <c r="T45" i="6"/>
  <c r="T50" i="6"/>
  <c r="X56" i="6"/>
  <c r="P63" i="6"/>
  <c r="T69" i="6"/>
  <c r="W78" i="6"/>
  <c r="X98" i="6"/>
  <c r="X11" i="6"/>
  <c r="V12" i="6"/>
  <c r="U13" i="6"/>
  <c r="U14" i="6"/>
  <c r="U15" i="6"/>
  <c r="W16" i="6"/>
  <c r="W17" i="6"/>
  <c r="W18" i="6"/>
  <c r="W19" i="6"/>
  <c r="P21" i="6"/>
  <c r="U22" i="6"/>
  <c r="X23" i="6"/>
  <c r="P25" i="6"/>
  <c r="W26" i="6"/>
  <c r="S28" i="6"/>
  <c r="P31" i="6"/>
  <c r="T33" i="6"/>
  <c r="P36" i="6"/>
  <c r="Q41" i="6"/>
  <c r="Q46" i="6"/>
  <c r="Y51" i="6"/>
  <c r="V57" i="6"/>
  <c r="P64" i="6"/>
  <c r="U70" i="6"/>
  <c r="Q80" i="6"/>
  <c r="U107" i="6"/>
  <c r="P11" i="6"/>
  <c r="Y11" i="6"/>
  <c r="W12" i="6"/>
  <c r="W13" i="6"/>
  <c r="W14" i="6"/>
  <c r="Y15" i="6"/>
  <c r="X16" i="6"/>
  <c r="X17" i="6"/>
  <c r="Y18" i="6"/>
  <c r="Y19" i="6"/>
  <c r="T21" i="6"/>
  <c r="V22" i="6"/>
  <c r="Y23" i="6"/>
  <c r="R25" i="6"/>
  <c r="Y26" i="6"/>
  <c r="X28" i="6"/>
  <c r="R31" i="6"/>
  <c r="Y33" i="6"/>
  <c r="W36" i="6"/>
  <c r="X41" i="6"/>
  <c r="U47" i="6"/>
  <c r="V52" i="6"/>
  <c r="V58" i="6"/>
  <c r="X64" i="6"/>
  <c r="W71" i="6"/>
  <c r="P83" i="6"/>
  <c r="X112" i="6"/>
  <c r="R11" i="6"/>
  <c r="P12" i="6"/>
  <c r="X12" i="6"/>
  <c r="X13" i="6"/>
  <c r="Y14" i="6"/>
  <c r="P16" i="6"/>
  <c r="Y16" i="6"/>
  <c r="P18" i="6"/>
  <c r="P19" i="6"/>
  <c r="S20" i="6"/>
  <c r="V21" i="6"/>
  <c r="X22" i="6"/>
  <c r="P24" i="6"/>
  <c r="T27" i="6"/>
  <c r="Q29" i="6"/>
  <c r="W31" i="6"/>
  <c r="Q34" i="6"/>
  <c r="U37" i="6"/>
  <c r="R43" i="6"/>
  <c r="S48" i="6"/>
  <c r="S53" i="6"/>
  <c r="T59" i="6"/>
  <c r="X65" i="6"/>
  <c r="T74" i="6"/>
  <c r="Y85" i="6"/>
  <c r="T122" i="6"/>
  <c r="S11" i="6"/>
  <c r="Q12" i="6"/>
  <c r="P13" i="6"/>
  <c r="Q14" i="6"/>
  <c r="Q15" i="6"/>
  <c r="Q16" i="6"/>
  <c r="Q17" i="6"/>
  <c r="Q18" i="6"/>
  <c r="R19" i="6"/>
  <c r="T20" i="6"/>
  <c r="W21" i="6"/>
  <c r="Q23" i="6"/>
  <c r="S24" i="6"/>
  <c r="Y25" i="6"/>
  <c r="V27" i="6"/>
  <c r="Y31" i="6"/>
  <c r="V34" i="6"/>
  <c r="Y38" i="6"/>
  <c r="Y43" i="6"/>
  <c r="P49" i="6"/>
  <c r="P54" i="6"/>
  <c r="T60" i="6"/>
  <c r="V67" i="6"/>
  <c r="X75" i="6"/>
  <c r="R90" i="6"/>
  <c r="Y211" i="6"/>
  <c r="S211" i="6"/>
  <c r="W210" i="6"/>
  <c r="Q210" i="6"/>
  <c r="U209" i="6"/>
  <c r="Y208" i="6"/>
  <c r="S208" i="6"/>
  <c r="W207" i="6"/>
  <c r="Q207" i="6"/>
  <c r="U206" i="6"/>
  <c r="Y205" i="6"/>
  <c r="S205" i="6"/>
  <c r="W204" i="6"/>
  <c r="Q204" i="6"/>
  <c r="U203" i="6"/>
  <c r="Y202" i="6"/>
  <c r="S202" i="6"/>
  <c r="W201" i="6"/>
  <c r="Q201" i="6"/>
  <c r="U200" i="6"/>
  <c r="Y199" i="6"/>
  <c r="S199" i="6"/>
  <c r="W198" i="6"/>
  <c r="Q198" i="6"/>
  <c r="U197" i="6"/>
  <c r="W195" i="6"/>
  <c r="U194" i="6"/>
  <c r="W192" i="6"/>
  <c r="U191" i="6"/>
  <c r="W189" i="6"/>
  <c r="Q189" i="6"/>
  <c r="U188" i="6"/>
  <c r="Y187" i="6"/>
  <c r="S187" i="6"/>
  <c r="W186" i="6"/>
  <c r="Q186" i="6"/>
  <c r="U185" i="6"/>
  <c r="Y184" i="6"/>
  <c r="S184" i="6"/>
  <c r="W183" i="6"/>
  <c r="Q183" i="6"/>
  <c r="U182" i="6"/>
  <c r="Y181" i="6"/>
  <c r="U179" i="6"/>
  <c r="Y178" i="6"/>
  <c r="U176" i="6"/>
  <c r="Y175" i="6"/>
  <c r="W174" i="6"/>
  <c r="Q174" i="6"/>
  <c r="U173" i="6"/>
  <c r="Y172" i="6"/>
  <c r="S172" i="6"/>
  <c r="W171" i="6"/>
  <c r="Q171" i="6"/>
  <c r="U170" i="6"/>
  <c r="Y169" i="6"/>
  <c r="S169" i="6"/>
  <c r="W168" i="6"/>
  <c r="Q168" i="6"/>
  <c r="U167" i="6"/>
  <c r="Y166" i="6"/>
  <c r="Q165" i="6"/>
  <c r="U164" i="6"/>
  <c r="Y163" i="6"/>
  <c r="Q162" i="6"/>
  <c r="U161" i="6"/>
  <c r="X211" i="6"/>
  <c r="R211" i="6"/>
  <c r="V210" i="6"/>
  <c r="P210" i="6"/>
  <c r="T209" i="6"/>
  <c r="X208" i="6"/>
  <c r="R208" i="6"/>
  <c r="V207" i="6"/>
  <c r="P207" i="6"/>
  <c r="T206" i="6"/>
  <c r="X205" i="6"/>
  <c r="R205" i="6"/>
  <c r="V204" i="6"/>
  <c r="P204" i="6"/>
  <c r="T203" i="6"/>
  <c r="X202" i="6"/>
  <c r="R202" i="6"/>
  <c r="V201" i="6"/>
  <c r="P201" i="6"/>
  <c r="T200" i="6"/>
  <c r="X199" i="6"/>
  <c r="R199" i="6"/>
  <c r="V198" i="6"/>
  <c r="P198" i="6"/>
  <c r="T197" i="6"/>
  <c r="X196" i="6"/>
  <c r="R196" i="6"/>
  <c r="V195" i="6"/>
  <c r="P195" i="6"/>
  <c r="T194" i="6"/>
  <c r="X193" i="6"/>
  <c r="R193" i="6"/>
  <c r="V192" i="6"/>
  <c r="P192" i="6"/>
  <c r="T191" i="6"/>
  <c r="X190" i="6"/>
  <c r="R190" i="6"/>
  <c r="V189" i="6"/>
  <c r="P189" i="6"/>
  <c r="T188" i="6"/>
  <c r="X187" i="6"/>
  <c r="R187" i="6"/>
  <c r="V186" i="6"/>
  <c r="P186" i="6"/>
  <c r="T185" i="6"/>
  <c r="X184" i="6"/>
  <c r="R184" i="6"/>
  <c r="V183" i="6"/>
  <c r="P183" i="6"/>
  <c r="T182" i="6"/>
  <c r="W211" i="6"/>
  <c r="Q211" i="6"/>
  <c r="U210" i="6"/>
  <c r="Y209" i="6"/>
  <c r="S209" i="6"/>
  <c r="W208" i="6"/>
  <c r="Q208" i="6"/>
  <c r="U207" i="6"/>
  <c r="Y206" i="6"/>
  <c r="S206" i="6"/>
  <c r="W205" i="6"/>
  <c r="Q205" i="6"/>
  <c r="U204" i="6"/>
  <c r="Y203" i="6"/>
  <c r="S203" i="6"/>
  <c r="W202" i="6"/>
  <c r="Q202" i="6"/>
  <c r="U201" i="6"/>
  <c r="Y200" i="6"/>
  <c r="S200" i="6"/>
  <c r="W199" i="6"/>
  <c r="Q199" i="6"/>
  <c r="U198" i="6"/>
  <c r="W196" i="6"/>
  <c r="U195" i="6"/>
  <c r="W193" i="6"/>
  <c r="U192" i="6"/>
  <c r="W190" i="6"/>
  <c r="U189" i="6"/>
  <c r="Y188" i="6"/>
  <c r="S188" i="6"/>
  <c r="W187" i="6"/>
  <c r="Q187" i="6"/>
  <c r="U186" i="6"/>
  <c r="Y185" i="6"/>
  <c r="S185" i="6"/>
  <c r="W184" i="6"/>
  <c r="Q184" i="6"/>
  <c r="U183" i="6"/>
  <c r="Y182" i="6"/>
  <c r="V211" i="6"/>
  <c r="P211" i="6"/>
  <c r="T210" i="6"/>
  <c r="X209" i="6"/>
  <c r="R209" i="6"/>
  <c r="V208" i="6"/>
  <c r="P208" i="6"/>
  <c r="T207" i="6"/>
  <c r="X206" i="6"/>
  <c r="R206" i="6"/>
  <c r="V205" i="6"/>
  <c r="P205" i="6"/>
  <c r="T204" i="6"/>
  <c r="X203" i="6"/>
  <c r="R203" i="6"/>
  <c r="V202" i="6"/>
  <c r="P202" i="6"/>
  <c r="T201" i="6"/>
  <c r="X200" i="6"/>
  <c r="R200" i="6"/>
  <c r="V199" i="6"/>
  <c r="P199" i="6"/>
  <c r="T198" i="6"/>
  <c r="X197" i="6"/>
  <c r="R197" i="6"/>
  <c r="V196" i="6"/>
  <c r="P196" i="6"/>
  <c r="T195" i="6"/>
  <c r="X194" i="6"/>
  <c r="R194" i="6"/>
  <c r="V193" i="6"/>
  <c r="P193" i="6"/>
  <c r="T192" i="6"/>
  <c r="X191" i="6"/>
  <c r="R191" i="6"/>
  <c r="V190" i="6"/>
  <c r="P190" i="6"/>
  <c r="T189" i="6"/>
  <c r="X188" i="6"/>
  <c r="R188" i="6"/>
  <c r="V187" i="6"/>
  <c r="P187" i="6"/>
  <c r="T186" i="6"/>
  <c r="X185" i="6"/>
  <c r="R185" i="6"/>
  <c r="V184" i="6"/>
  <c r="P184" i="6"/>
  <c r="T183" i="6"/>
  <c r="X182" i="6"/>
  <c r="R182" i="6"/>
  <c r="V181" i="6"/>
  <c r="P181" i="6"/>
  <c r="T180" i="6"/>
  <c r="X179" i="6"/>
  <c r="R179" i="6"/>
  <c r="V178" i="6"/>
  <c r="P178" i="6"/>
  <c r="T177" i="6"/>
  <c r="X176" i="6"/>
  <c r="R176" i="6"/>
  <c r="V175" i="6"/>
  <c r="P175" i="6"/>
  <c r="T174" i="6"/>
  <c r="U211" i="6"/>
  <c r="Y210" i="6"/>
  <c r="S210" i="6"/>
  <c r="W209" i="6"/>
  <c r="Q209" i="6"/>
  <c r="U208" i="6"/>
  <c r="Y207" i="6"/>
  <c r="S207" i="6"/>
  <c r="W206" i="6"/>
  <c r="Q206" i="6"/>
  <c r="U205" i="6"/>
  <c r="Y204" i="6"/>
  <c r="S204" i="6"/>
  <c r="W203" i="6"/>
  <c r="Q203" i="6"/>
  <c r="U202" i="6"/>
  <c r="Y201" i="6"/>
  <c r="S201" i="6"/>
  <c r="W200" i="6"/>
  <c r="Q200" i="6"/>
  <c r="U199" i="6"/>
  <c r="Y198" i="6"/>
  <c r="S198" i="6"/>
  <c r="W197" i="6"/>
  <c r="U196" i="6"/>
  <c r="W194" i="6"/>
  <c r="U193" i="6"/>
  <c r="W191" i="6"/>
  <c r="U190" i="6"/>
  <c r="Y189" i="6"/>
  <c r="S189" i="6"/>
  <c r="W188" i="6"/>
  <c r="Q188" i="6"/>
  <c r="U187" i="6"/>
  <c r="Y186" i="6"/>
  <c r="S186" i="6"/>
  <c r="W185" i="6"/>
  <c r="Q185" i="6"/>
  <c r="U184" i="6"/>
  <c r="Y183" i="6"/>
  <c r="S183" i="6"/>
  <c r="T211" i="6"/>
  <c r="X210" i="6"/>
  <c r="R210" i="6"/>
  <c r="V209" i="6"/>
  <c r="P209" i="6"/>
  <c r="T208" i="6"/>
  <c r="X207" i="6"/>
  <c r="R207" i="6"/>
  <c r="V206" i="6"/>
  <c r="P206" i="6"/>
  <c r="T205" i="6"/>
  <c r="X204" i="6"/>
  <c r="R204" i="6"/>
  <c r="V203" i="6"/>
  <c r="P203" i="6"/>
  <c r="T202" i="6"/>
  <c r="X201" i="6"/>
  <c r="R201" i="6"/>
  <c r="V200" i="6"/>
  <c r="P200" i="6"/>
  <c r="T199" i="6"/>
  <c r="X198" i="6"/>
  <c r="R198" i="6"/>
  <c r="V197" i="6"/>
  <c r="P197" i="6"/>
  <c r="T196" i="6"/>
  <c r="X195" i="6"/>
  <c r="R195" i="6"/>
  <c r="V194" i="6"/>
  <c r="P194" i="6"/>
  <c r="T193" i="6"/>
  <c r="X192" i="6"/>
  <c r="R192" i="6"/>
  <c r="V191" i="6"/>
  <c r="P191" i="6"/>
  <c r="T190" i="6"/>
  <c r="X189" i="6"/>
  <c r="R189" i="6"/>
  <c r="V188" i="6"/>
  <c r="P188" i="6"/>
  <c r="T187" i="6"/>
  <c r="X186" i="6"/>
  <c r="R186" i="6"/>
  <c r="V185" i="6"/>
  <c r="P185" i="6"/>
  <c r="T184" i="6"/>
  <c r="X183" i="6"/>
  <c r="R183" i="6"/>
  <c r="V182" i="6"/>
  <c r="P182" i="6"/>
  <c r="T181" i="6"/>
  <c r="X180" i="6"/>
  <c r="R180" i="6"/>
  <c r="V179" i="6"/>
  <c r="P179" i="6"/>
  <c r="T178" i="6"/>
  <c r="X177" i="6"/>
  <c r="R177" i="6"/>
  <c r="V176" i="6"/>
  <c r="P176" i="6"/>
  <c r="T175" i="6"/>
  <c r="X174" i="6"/>
  <c r="R174" i="6"/>
  <c r="V173" i="6"/>
  <c r="P173" i="6"/>
  <c r="T172" i="6"/>
  <c r="X171" i="6"/>
  <c r="R171" i="6"/>
  <c r="V170" i="6"/>
  <c r="P170" i="6"/>
  <c r="T169" i="6"/>
  <c r="X168" i="6"/>
  <c r="R168" i="6"/>
  <c r="V167" i="6"/>
  <c r="P167" i="6"/>
  <c r="T166" i="6"/>
  <c r="X165" i="6"/>
  <c r="R165" i="6"/>
  <c r="V164" i="6"/>
  <c r="P164" i="6"/>
  <c r="T163" i="6"/>
  <c r="X162" i="6"/>
  <c r="R162" i="6"/>
  <c r="Y179" i="6"/>
  <c r="U177" i="6"/>
  <c r="Y173" i="6"/>
  <c r="Q173" i="6"/>
  <c r="Q172" i="6"/>
  <c r="S171" i="6"/>
  <c r="S170" i="6"/>
  <c r="U169" i="6"/>
  <c r="U168" i="6"/>
  <c r="Y165" i="6"/>
  <c r="Y164" i="6"/>
  <c r="Q164" i="6"/>
  <c r="Q163" i="6"/>
  <c r="T161" i="6"/>
  <c r="X160" i="6"/>
  <c r="R160" i="6"/>
  <c r="V159" i="6"/>
  <c r="P159" i="6"/>
  <c r="T158" i="6"/>
  <c r="X157" i="6"/>
  <c r="R157" i="6"/>
  <c r="V156" i="6"/>
  <c r="Y180" i="6"/>
  <c r="U178" i="6"/>
  <c r="X181" i="6"/>
  <c r="V180" i="6"/>
  <c r="U180" i="6"/>
  <c r="Y176" i="6"/>
  <c r="R181" i="6"/>
  <c r="P180" i="6"/>
  <c r="X178" i="6"/>
  <c r="V177" i="6"/>
  <c r="T176" i="6"/>
  <c r="R175" i="6"/>
  <c r="P174" i="6"/>
  <c r="R173" i="6"/>
  <c r="R172" i="6"/>
  <c r="T171" i="6"/>
  <c r="T170" i="6"/>
  <c r="V169" i="6"/>
  <c r="V168" i="6"/>
  <c r="X167" i="6"/>
  <c r="X166" i="6"/>
  <c r="P166" i="6"/>
  <c r="P165" i="6"/>
  <c r="R164" i="6"/>
  <c r="R163" i="6"/>
  <c r="T162" i="6"/>
  <c r="V161" i="6"/>
  <c r="Y160" i="6"/>
  <c r="W159" i="6"/>
  <c r="Q159" i="6"/>
  <c r="U158" i="6"/>
  <c r="Y157" i="6"/>
  <c r="S157" i="6"/>
  <c r="W156" i="6"/>
  <c r="Q156" i="6"/>
  <c r="U155" i="6"/>
  <c r="Y154" i="6"/>
  <c r="S154" i="6"/>
  <c r="W153" i="6"/>
  <c r="Q153" i="6"/>
  <c r="Y151" i="6"/>
  <c r="Q150" i="6"/>
  <c r="Y148" i="6"/>
  <c r="Q147" i="6"/>
  <c r="Y145" i="6"/>
  <c r="W144" i="6"/>
  <c r="Q144" i="6"/>
  <c r="U143" i="6"/>
  <c r="Y142" i="6"/>
  <c r="S142" i="6"/>
  <c r="W141" i="6"/>
  <c r="Q141" i="6"/>
  <c r="U140" i="6"/>
  <c r="Y139" i="6"/>
  <c r="S139" i="6"/>
  <c r="W138" i="6"/>
  <c r="Q138" i="6"/>
  <c r="Y136" i="6"/>
  <c r="S136" i="6"/>
  <c r="W135" i="6"/>
  <c r="Q135" i="6"/>
  <c r="Y133" i="6"/>
  <c r="S133" i="6"/>
  <c r="W132" i="6"/>
  <c r="Q132" i="6"/>
  <c r="Y130" i="6"/>
  <c r="S130" i="6"/>
  <c r="W129" i="6"/>
  <c r="Q129" i="6"/>
  <c r="U128" i="6"/>
  <c r="Y127" i="6"/>
  <c r="S127" i="6"/>
  <c r="W126" i="6"/>
  <c r="Q126" i="6"/>
  <c r="U125" i="6"/>
  <c r="Y124" i="6"/>
  <c r="S124" i="6"/>
  <c r="W123" i="6"/>
  <c r="Q123" i="6"/>
  <c r="U181" i="6"/>
  <c r="P177" i="6"/>
  <c r="V174" i="6"/>
  <c r="S173" i="6"/>
  <c r="Y171" i="6"/>
  <c r="W170" i="6"/>
  <c r="Q169" i="6"/>
  <c r="Y167" i="6"/>
  <c r="U166" i="6"/>
  <c r="U162" i="6"/>
  <c r="R161" i="6"/>
  <c r="T160" i="6"/>
  <c r="T159" i="6"/>
  <c r="V158" i="6"/>
  <c r="V157" i="6"/>
  <c r="X156" i="6"/>
  <c r="Y155" i="6"/>
  <c r="R155" i="6"/>
  <c r="U154" i="6"/>
  <c r="X153" i="6"/>
  <c r="P153" i="6"/>
  <c r="V151" i="6"/>
  <c r="Y150" i="6"/>
  <c r="R150" i="6"/>
  <c r="T149" i="6"/>
  <c r="P148" i="6"/>
  <c r="V146" i="6"/>
  <c r="X145" i="6"/>
  <c r="Q145" i="6"/>
  <c r="T144" i="6"/>
  <c r="W143" i="6"/>
  <c r="P143" i="6"/>
  <c r="R142" i="6"/>
  <c r="U141" i="6"/>
  <c r="X140" i="6"/>
  <c r="Q140" i="6"/>
  <c r="T139" i="6"/>
  <c r="V138" i="6"/>
  <c r="Y137" i="6"/>
  <c r="R137" i="6"/>
  <c r="X135" i="6"/>
  <c r="P135" i="6"/>
  <c r="S134" i="6"/>
  <c r="V133" i="6"/>
  <c r="Y132" i="6"/>
  <c r="R132" i="6"/>
  <c r="T131" i="6"/>
  <c r="W130" i="6"/>
  <c r="P130" i="6"/>
  <c r="S129" i="6"/>
  <c r="V128" i="6"/>
  <c r="X127" i="6"/>
  <c r="Q127" i="6"/>
  <c r="T126" i="6"/>
  <c r="W125" i="6"/>
  <c r="P125" i="6"/>
  <c r="R124" i="6"/>
  <c r="U123" i="6"/>
  <c r="X122" i="6"/>
  <c r="R122" i="6"/>
  <c r="V121" i="6"/>
  <c r="P121" i="6"/>
  <c r="T120" i="6"/>
  <c r="X119" i="6"/>
  <c r="R119" i="6"/>
  <c r="V118" i="6"/>
  <c r="P118" i="6"/>
  <c r="T117" i="6"/>
  <c r="X116" i="6"/>
  <c r="R116" i="6"/>
  <c r="V115" i="6"/>
  <c r="P115" i="6"/>
  <c r="T114" i="6"/>
  <c r="X113" i="6"/>
  <c r="R113" i="6"/>
  <c r="V112" i="6"/>
  <c r="P112" i="6"/>
  <c r="T111" i="6"/>
  <c r="X110" i="6"/>
  <c r="U174" i="6"/>
  <c r="X172" i="6"/>
  <c r="V171" i="6"/>
  <c r="R170" i="6"/>
  <c r="P169" i="6"/>
  <c r="T167" i="6"/>
  <c r="R166" i="6"/>
  <c r="X164" i="6"/>
  <c r="V163" i="6"/>
  <c r="P162" i="6"/>
  <c r="Q161" i="6"/>
  <c r="Q160" i="6"/>
  <c r="S159" i="6"/>
  <c r="S158" i="6"/>
  <c r="U157" i="6"/>
  <c r="U156" i="6"/>
  <c r="X155" i="6"/>
  <c r="Q155" i="6"/>
  <c r="T154" i="6"/>
  <c r="V153" i="6"/>
  <c r="Y152" i="6"/>
  <c r="R152" i="6"/>
  <c r="X150" i="6"/>
  <c r="P150" i="6"/>
  <c r="V148" i="6"/>
  <c r="Y147" i="6"/>
  <c r="R147" i="6"/>
  <c r="T146" i="6"/>
  <c r="P145" i="6"/>
  <c r="S144" i="6"/>
  <c r="V143" i="6"/>
  <c r="X142" i="6"/>
  <c r="Q142" i="6"/>
  <c r="T141" i="6"/>
  <c r="W140" i="6"/>
  <c r="P140" i="6"/>
  <c r="R139" i="6"/>
  <c r="U138" i="6"/>
  <c r="X137" i="6"/>
  <c r="Q137" i="6"/>
  <c r="T136" i="6"/>
  <c r="V135" i="6"/>
  <c r="Y134" i="6"/>
  <c r="R134" i="6"/>
  <c r="X132" i="6"/>
  <c r="P132" i="6"/>
  <c r="S131" i="6"/>
  <c r="V130" i="6"/>
  <c r="Y129" i="6"/>
  <c r="R129" i="6"/>
  <c r="T128" i="6"/>
  <c r="W127" i="6"/>
  <c r="P127" i="6"/>
  <c r="S126" i="6"/>
  <c r="V125" i="6"/>
  <c r="X124" i="6"/>
  <c r="Q124" i="6"/>
  <c r="T123" i="6"/>
  <c r="W122" i="6"/>
  <c r="Q122" i="6"/>
  <c r="S120" i="6"/>
  <c r="W119" i="6"/>
  <c r="Q119" i="6"/>
  <c r="T179" i="6"/>
  <c r="X175" i="6"/>
  <c r="S174" i="6"/>
  <c r="W172" i="6"/>
  <c r="U171" i="6"/>
  <c r="Q170" i="6"/>
  <c r="Y168" i="6"/>
  <c r="Q166" i="6"/>
  <c r="U163" i="6"/>
  <c r="Y161" i="6"/>
  <c r="P161" i="6"/>
  <c r="P160" i="6"/>
  <c r="R159" i="6"/>
  <c r="R158" i="6"/>
  <c r="T157" i="6"/>
  <c r="T156" i="6"/>
  <c r="W155" i="6"/>
  <c r="P155" i="6"/>
  <c r="R154" i="6"/>
  <c r="U153" i="6"/>
  <c r="X152" i="6"/>
  <c r="Q152" i="6"/>
  <c r="T151" i="6"/>
  <c r="V150" i="6"/>
  <c r="Y149" i="6"/>
  <c r="R149" i="6"/>
  <c r="X147" i="6"/>
  <c r="P147" i="6"/>
  <c r="V145" i="6"/>
  <c r="Y144" i="6"/>
  <c r="R144" i="6"/>
  <c r="T143" i="6"/>
  <c r="W142" i="6"/>
  <c r="P142" i="6"/>
  <c r="S141" i="6"/>
  <c r="V140" i="6"/>
  <c r="X139" i="6"/>
  <c r="Q139" i="6"/>
  <c r="T138" i="6"/>
  <c r="W137" i="6"/>
  <c r="P137" i="6"/>
  <c r="R136" i="6"/>
  <c r="X134" i="6"/>
  <c r="Q134" i="6"/>
  <c r="T133" i="6"/>
  <c r="V132" i="6"/>
  <c r="Y131" i="6"/>
  <c r="R131" i="6"/>
  <c r="X129" i="6"/>
  <c r="P129" i="6"/>
  <c r="S128" i="6"/>
  <c r="V127" i="6"/>
  <c r="Y126" i="6"/>
  <c r="R126" i="6"/>
  <c r="T125" i="6"/>
  <c r="W124" i="6"/>
  <c r="P124" i="6"/>
  <c r="S123" i="6"/>
  <c r="V122" i="6"/>
  <c r="P122" i="6"/>
  <c r="T121" i="6"/>
  <c r="X120" i="6"/>
  <c r="R120" i="6"/>
  <c r="V119" i="6"/>
  <c r="X173" i="6"/>
  <c r="V172" i="6"/>
  <c r="P171" i="6"/>
  <c r="X169" i="6"/>
  <c r="T168" i="6"/>
  <c r="R167" i="6"/>
  <c r="V165" i="6"/>
  <c r="T164" i="6"/>
  <c r="P163" i="6"/>
  <c r="X161" i="6"/>
  <c r="Y159" i="6"/>
  <c r="Y158" i="6"/>
  <c r="Q158" i="6"/>
  <c r="Q157" i="6"/>
  <c r="S156" i="6"/>
  <c r="V155" i="6"/>
  <c r="X154" i="6"/>
  <c r="Q154" i="6"/>
  <c r="T153" i="6"/>
  <c r="P152" i="6"/>
  <c r="R151" i="6"/>
  <c r="X149" i="6"/>
  <c r="Q149" i="6"/>
  <c r="T148" i="6"/>
  <c r="V147" i="6"/>
  <c r="Y146" i="6"/>
  <c r="R146" i="6"/>
  <c r="X144" i="6"/>
  <c r="P144" i="6"/>
  <c r="S143" i="6"/>
  <c r="V142" i="6"/>
  <c r="Y141" i="6"/>
  <c r="R141" i="6"/>
  <c r="T140" i="6"/>
  <c r="W139" i="6"/>
  <c r="P139" i="6"/>
  <c r="S138" i="6"/>
  <c r="V137" i="6"/>
  <c r="X136" i="6"/>
  <c r="Q136" i="6"/>
  <c r="T135" i="6"/>
  <c r="W134" i="6"/>
  <c r="P134" i="6"/>
  <c r="R133" i="6"/>
  <c r="X131" i="6"/>
  <c r="Q131" i="6"/>
  <c r="T130" i="6"/>
  <c r="V129" i="6"/>
  <c r="Y128" i="6"/>
  <c r="R128" i="6"/>
  <c r="U127" i="6"/>
  <c r="X126" i="6"/>
  <c r="P126" i="6"/>
  <c r="S125" i="6"/>
  <c r="V124" i="6"/>
  <c r="Y123" i="6"/>
  <c r="R123" i="6"/>
  <c r="S121" i="6"/>
  <c r="W120" i="6"/>
  <c r="Q120" i="6"/>
  <c r="S118" i="6"/>
  <c r="W117" i="6"/>
  <c r="Q117" i="6"/>
  <c r="S115" i="6"/>
  <c r="W114" i="6"/>
  <c r="Q114" i="6"/>
  <c r="U113" i="6"/>
  <c r="Y112" i="6"/>
  <c r="S112" i="6"/>
  <c r="W111" i="6"/>
  <c r="Q111" i="6"/>
  <c r="U110" i="6"/>
  <c r="Y177" i="6"/>
  <c r="Y174" i="6"/>
  <c r="T173" i="6"/>
  <c r="P172" i="6"/>
  <c r="X170" i="6"/>
  <c r="R169" i="6"/>
  <c r="P168" i="6"/>
  <c r="V166" i="6"/>
  <c r="T165" i="6"/>
  <c r="X163" i="6"/>
  <c r="V162" i="6"/>
  <c r="U160" i="6"/>
  <c r="U159" i="6"/>
  <c r="W158" i="6"/>
  <c r="W157" i="6"/>
  <c r="Y156" i="6"/>
  <c r="P156" i="6"/>
  <c r="S155" i="6"/>
  <c r="V154" i="6"/>
  <c r="Y153" i="6"/>
  <c r="R153" i="6"/>
  <c r="T152" i="6"/>
  <c r="P151" i="6"/>
  <c r="V149" i="6"/>
  <c r="X148" i="6"/>
  <c r="Q148" i="6"/>
  <c r="T147" i="6"/>
  <c r="P146" i="6"/>
  <c r="R145" i="6"/>
  <c r="U144" i="6"/>
  <c r="X143" i="6"/>
  <c r="Q143" i="6"/>
  <c r="T142" i="6"/>
  <c r="V141" i="6"/>
  <c r="Y140" i="6"/>
  <c r="R140" i="6"/>
  <c r="U139" i="6"/>
  <c r="X138" i="6"/>
  <c r="P138" i="6"/>
  <c r="S137" i="6"/>
  <c r="V136" i="6"/>
  <c r="Y135" i="6"/>
  <c r="R135" i="6"/>
  <c r="T134" i="6"/>
  <c r="W133" i="6"/>
  <c r="P133" i="6"/>
  <c r="S132" i="6"/>
  <c r="V131" i="6"/>
  <c r="X130" i="6"/>
  <c r="Q130" i="6"/>
  <c r="T129" i="6"/>
  <c r="W128" i="6"/>
  <c r="P128" i="6"/>
  <c r="R127" i="6"/>
  <c r="U126" i="6"/>
  <c r="X125" i="6"/>
  <c r="Q125" i="6"/>
  <c r="T124" i="6"/>
  <c r="V123" i="6"/>
  <c r="Y122" i="6"/>
  <c r="S122" i="6"/>
  <c r="W121" i="6"/>
  <c r="Q121" i="6"/>
  <c r="S119" i="6"/>
  <c r="W118" i="6"/>
  <c r="Q118" i="6"/>
  <c r="S116" i="6"/>
  <c r="W115" i="6"/>
  <c r="Q115" i="6"/>
  <c r="U114" i="6"/>
  <c r="Y113" i="6"/>
  <c r="S113" i="6"/>
  <c r="W112" i="6"/>
  <c r="Q112" i="6"/>
  <c r="U111" i="6"/>
  <c r="Y110" i="6"/>
  <c r="S110" i="6"/>
  <c r="W109" i="6"/>
  <c r="Q109" i="6"/>
  <c r="U108" i="6"/>
  <c r="Y107" i="6"/>
  <c r="S107" i="6"/>
  <c r="W106" i="6"/>
  <c r="U105" i="6"/>
  <c r="S104" i="6"/>
  <c r="W103" i="6"/>
  <c r="U102" i="6"/>
  <c r="S101" i="6"/>
  <c r="W100" i="6"/>
  <c r="U99" i="6"/>
  <c r="Y98" i="6"/>
  <c r="S98" i="6"/>
  <c r="W97" i="6"/>
  <c r="Q97" i="6"/>
  <c r="U96" i="6"/>
  <c r="Y95" i="6"/>
  <c r="S95" i="6"/>
  <c r="W94" i="6"/>
  <c r="Q94" i="6"/>
  <c r="U93" i="6"/>
  <c r="Y92" i="6"/>
  <c r="S92" i="6"/>
  <c r="W91" i="6"/>
  <c r="U90" i="6"/>
  <c r="Y89" i="6"/>
  <c r="S89" i="6"/>
  <c r="W88" i="6"/>
  <c r="U87" i="6"/>
  <c r="Y86" i="6"/>
  <c r="S86" i="6"/>
  <c r="W85" i="6"/>
  <c r="U84" i="6"/>
  <c r="Y83" i="6"/>
  <c r="S83" i="6"/>
  <c r="W82" i="6"/>
  <c r="Q82" i="6"/>
  <c r="U81" i="6"/>
  <c r="Y80" i="6"/>
  <c r="S80" i="6"/>
  <c r="W79" i="6"/>
  <c r="Q79" i="6"/>
  <c r="U78" i="6"/>
  <c r="Y77" i="6"/>
  <c r="S77" i="6"/>
  <c r="W76" i="6"/>
  <c r="Q76" i="6"/>
  <c r="U75" i="6"/>
  <c r="Y74" i="6"/>
  <c r="W73" i="6"/>
  <c r="Q73" i="6"/>
  <c r="R178" i="6"/>
  <c r="S168" i="6"/>
  <c r="V160" i="6"/>
  <c r="T155" i="6"/>
  <c r="Q151" i="6"/>
  <c r="X146" i="6"/>
  <c r="U142" i="6"/>
  <c r="R138" i="6"/>
  <c r="X133" i="6"/>
  <c r="U129" i="6"/>
  <c r="R125" i="6"/>
  <c r="R121" i="6"/>
  <c r="T118" i="6"/>
  <c r="R117" i="6"/>
  <c r="P116" i="6"/>
  <c r="X114" i="6"/>
  <c r="V113" i="6"/>
  <c r="T112" i="6"/>
  <c r="R111" i="6"/>
  <c r="Q110" i="6"/>
  <c r="T109" i="6"/>
  <c r="W108" i="6"/>
  <c r="P108" i="6"/>
  <c r="R107" i="6"/>
  <c r="U106" i="6"/>
  <c r="X105" i="6"/>
  <c r="T104" i="6"/>
  <c r="V103" i="6"/>
  <c r="R102" i="6"/>
  <c r="U101" i="6"/>
  <c r="X100" i="6"/>
  <c r="P100" i="6"/>
  <c r="S99" i="6"/>
  <c r="V98" i="6"/>
  <c r="Y97" i="6"/>
  <c r="R97" i="6"/>
  <c r="T96" i="6"/>
  <c r="W95" i="6"/>
  <c r="P95" i="6"/>
  <c r="S94" i="6"/>
  <c r="V93" i="6"/>
  <c r="X92" i="6"/>
  <c r="Q92" i="6"/>
  <c r="T91" i="6"/>
  <c r="W90" i="6"/>
  <c r="P90" i="6"/>
  <c r="R89" i="6"/>
  <c r="U88" i="6"/>
  <c r="X87" i="6"/>
  <c r="T86" i="6"/>
  <c r="V85" i="6"/>
  <c r="Y84" i="6"/>
  <c r="R84" i="6"/>
  <c r="U83" i="6"/>
  <c r="X82" i="6"/>
  <c r="P82" i="6"/>
  <c r="S81" i="6"/>
  <c r="V80" i="6"/>
  <c r="Y79" i="6"/>
  <c r="R79" i="6"/>
  <c r="T78" i="6"/>
  <c r="W77" i="6"/>
  <c r="P77" i="6"/>
  <c r="V75" i="6"/>
  <c r="X74" i="6"/>
  <c r="Q74" i="6"/>
  <c r="T73" i="6"/>
  <c r="W72" i="6"/>
  <c r="Q72" i="6"/>
  <c r="U71" i="6"/>
  <c r="Y70" i="6"/>
  <c r="W69" i="6"/>
  <c r="Q69" i="6"/>
  <c r="U68" i="6"/>
  <c r="Y67" i="6"/>
  <c r="S67" i="6"/>
  <c r="W66" i="6"/>
  <c r="Q66" i="6"/>
  <c r="U65" i="6"/>
  <c r="Y64" i="6"/>
  <c r="S64" i="6"/>
  <c r="W63" i="6"/>
  <c r="Q63" i="6"/>
  <c r="U62" i="6"/>
  <c r="Y61" i="6"/>
  <c r="Q60" i="6"/>
  <c r="U59" i="6"/>
  <c r="Y58" i="6"/>
  <c r="Q57" i="6"/>
  <c r="U56" i="6"/>
  <c r="Y55" i="6"/>
  <c r="Q54" i="6"/>
  <c r="U175" i="6"/>
  <c r="Q167" i="6"/>
  <c r="X159" i="6"/>
  <c r="W154" i="6"/>
  <c r="T150" i="6"/>
  <c r="Q146" i="6"/>
  <c r="X141" i="6"/>
  <c r="T137" i="6"/>
  <c r="Q133" i="6"/>
  <c r="X128" i="6"/>
  <c r="U124" i="6"/>
  <c r="V120" i="6"/>
  <c r="R118" i="6"/>
  <c r="P117" i="6"/>
  <c r="X115" i="6"/>
  <c r="V114" i="6"/>
  <c r="T113" i="6"/>
  <c r="R112" i="6"/>
  <c r="P111" i="6"/>
  <c r="P110" i="6"/>
  <c r="S109" i="6"/>
  <c r="V108" i="6"/>
  <c r="X107" i="6"/>
  <c r="Q107" i="6"/>
  <c r="T106" i="6"/>
  <c r="W105" i="6"/>
  <c r="P105" i="6"/>
  <c r="R104" i="6"/>
  <c r="U103" i="6"/>
  <c r="X102" i="6"/>
  <c r="T101" i="6"/>
  <c r="V100" i="6"/>
  <c r="R99" i="6"/>
  <c r="U98" i="6"/>
  <c r="X97" i="6"/>
  <c r="P97" i="6"/>
  <c r="S96" i="6"/>
  <c r="V95" i="6"/>
  <c r="Y94" i="6"/>
  <c r="R94" i="6"/>
  <c r="T93" i="6"/>
  <c r="W92" i="6"/>
  <c r="P92" i="6"/>
  <c r="S91" i="6"/>
  <c r="V90" i="6"/>
  <c r="X89" i="6"/>
  <c r="T88" i="6"/>
  <c r="W87" i="6"/>
  <c r="P87" i="6"/>
  <c r="R86" i="6"/>
  <c r="U85" i="6"/>
  <c r="X84" i="6"/>
  <c r="W173" i="6"/>
  <c r="U165" i="6"/>
  <c r="X158" i="6"/>
  <c r="P154" i="6"/>
  <c r="T145" i="6"/>
  <c r="P141" i="6"/>
  <c r="W136" i="6"/>
  <c r="T132" i="6"/>
  <c r="Q128" i="6"/>
  <c r="X123" i="6"/>
  <c r="P120" i="6"/>
  <c r="W116" i="6"/>
  <c r="S114" i="6"/>
  <c r="Q113" i="6"/>
  <c r="Y111" i="6"/>
  <c r="W110" i="6"/>
  <c r="Y109" i="6"/>
  <c r="R109" i="6"/>
  <c r="T108" i="6"/>
  <c r="W107" i="6"/>
  <c r="P107" i="6"/>
  <c r="S106" i="6"/>
  <c r="V105" i="6"/>
  <c r="X104" i="6"/>
  <c r="T103" i="6"/>
  <c r="W102" i="6"/>
  <c r="P102" i="6"/>
  <c r="R101" i="6"/>
  <c r="U100" i="6"/>
  <c r="X99" i="6"/>
  <c r="T98" i="6"/>
  <c r="V97" i="6"/>
  <c r="Y96" i="6"/>
  <c r="R96" i="6"/>
  <c r="U95" i="6"/>
  <c r="X94" i="6"/>
  <c r="P94" i="6"/>
  <c r="S93" i="6"/>
  <c r="V92" i="6"/>
  <c r="Y91" i="6"/>
  <c r="R91" i="6"/>
  <c r="T90" i="6"/>
  <c r="W89" i="6"/>
  <c r="P89" i="6"/>
  <c r="S88" i="6"/>
  <c r="V87" i="6"/>
  <c r="X86" i="6"/>
  <c r="T85" i="6"/>
  <c r="W84" i="6"/>
  <c r="P84" i="6"/>
  <c r="R83" i="6"/>
  <c r="U172" i="6"/>
  <c r="P158" i="6"/>
  <c r="S153" i="6"/>
  <c r="P149" i="6"/>
  <c r="V144" i="6"/>
  <c r="S140" i="6"/>
  <c r="P136" i="6"/>
  <c r="W131" i="6"/>
  <c r="T127" i="6"/>
  <c r="P123" i="6"/>
  <c r="T119" i="6"/>
  <c r="X117" i="6"/>
  <c r="V116" i="6"/>
  <c r="T115" i="6"/>
  <c r="R114" i="6"/>
  <c r="P113" i="6"/>
  <c r="X111" i="6"/>
  <c r="V110" i="6"/>
  <c r="X109" i="6"/>
  <c r="P109" i="6"/>
  <c r="S108" i="6"/>
  <c r="V107" i="6"/>
  <c r="R106" i="6"/>
  <c r="T105" i="6"/>
  <c r="W104" i="6"/>
  <c r="P104" i="6"/>
  <c r="S103" i="6"/>
  <c r="V102" i="6"/>
  <c r="X101" i="6"/>
  <c r="T100" i="6"/>
  <c r="W99" i="6"/>
  <c r="P99" i="6"/>
  <c r="R98" i="6"/>
  <c r="U97" i="6"/>
  <c r="X96" i="6"/>
  <c r="Q96" i="6"/>
  <c r="T95" i="6"/>
  <c r="V94" i="6"/>
  <c r="Y93" i="6"/>
  <c r="R93" i="6"/>
  <c r="U92" i="6"/>
  <c r="X91" i="6"/>
  <c r="P91" i="6"/>
  <c r="S90" i="6"/>
  <c r="V89" i="6"/>
  <c r="Y88" i="6"/>
  <c r="R88" i="6"/>
  <c r="T87" i="6"/>
  <c r="W86" i="6"/>
  <c r="P86" i="6"/>
  <c r="S85" i="6"/>
  <c r="V84" i="6"/>
  <c r="X83" i="6"/>
  <c r="Q83" i="6"/>
  <c r="T82" i="6"/>
  <c r="W81" i="6"/>
  <c r="P81" i="6"/>
  <c r="R80" i="6"/>
  <c r="U79" i="6"/>
  <c r="X78" i="6"/>
  <c r="Q78" i="6"/>
  <c r="T77" i="6"/>
  <c r="V76" i="6"/>
  <c r="Y75" i="6"/>
  <c r="R75" i="6"/>
  <c r="U74" i="6"/>
  <c r="X73" i="6"/>
  <c r="P73" i="6"/>
  <c r="T72" i="6"/>
  <c r="X71" i="6"/>
  <c r="R71" i="6"/>
  <c r="V70" i="6"/>
  <c r="P70" i="6"/>
  <c r="W169" i="6"/>
  <c r="R156" i="6"/>
  <c r="X151" i="6"/>
  <c r="R143" i="6"/>
  <c r="Y138" i="6"/>
  <c r="V134" i="6"/>
  <c r="R130" i="6"/>
  <c r="Y125" i="6"/>
  <c r="X121" i="6"/>
  <c r="X118" i="6"/>
  <c r="S117" i="6"/>
  <c r="Q116" i="6"/>
  <c r="W113" i="6"/>
  <c r="U112" i="6"/>
  <c r="S111" i="6"/>
  <c r="R110" i="6"/>
  <c r="U109" i="6"/>
  <c r="X108" i="6"/>
  <c r="Q108" i="6"/>
  <c r="T107" i="6"/>
  <c r="V106" i="6"/>
  <c r="R105" i="6"/>
  <c r="U104" i="6"/>
  <c r="X103" i="6"/>
  <c r="P103" i="6"/>
  <c r="S102" i="6"/>
  <c r="V101" i="6"/>
  <c r="R100" i="6"/>
  <c r="T99" i="6"/>
  <c r="W98" i="6"/>
  <c r="P98" i="6"/>
  <c r="S97" i="6"/>
  <c r="V96" i="6"/>
  <c r="X95" i="6"/>
  <c r="Q95" i="6"/>
  <c r="T94" i="6"/>
  <c r="W93" i="6"/>
  <c r="P93" i="6"/>
  <c r="R92" i="6"/>
  <c r="U91" i="6"/>
  <c r="X90" i="6"/>
  <c r="T89" i="6"/>
  <c r="V88" i="6"/>
  <c r="Y87" i="6"/>
  <c r="R87" i="6"/>
  <c r="U86" i="6"/>
  <c r="X85" i="6"/>
  <c r="P85" i="6"/>
  <c r="S84" i="6"/>
  <c r="V83" i="6"/>
  <c r="Y82" i="6"/>
  <c r="R82" i="6"/>
  <c r="T81" i="6"/>
  <c r="W80" i="6"/>
  <c r="P80" i="6"/>
  <c r="S79" i="6"/>
  <c r="V78" i="6"/>
  <c r="X77" i="6"/>
  <c r="Q77" i="6"/>
  <c r="T76" i="6"/>
  <c r="W75" i="6"/>
  <c r="P75" i="6"/>
  <c r="R74" i="6"/>
  <c r="U73" i="6"/>
  <c r="X72" i="6"/>
  <c r="R72" i="6"/>
  <c r="V71" i="6"/>
  <c r="P71" i="6"/>
  <c r="T70" i="6"/>
  <c r="X69" i="6"/>
  <c r="R69" i="6"/>
  <c r="V68" i="6"/>
  <c r="P68" i="6"/>
  <c r="T67" i="6"/>
  <c r="X66" i="6"/>
  <c r="R66" i="6"/>
  <c r="V65" i="6"/>
  <c r="P65" i="6"/>
  <c r="T64" i="6"/>
  <c r="X63" i="6"/>
  <c r="R63" i="6"/>
  <c r="V62" i="6"/>
  <c r="P62" i="6"/>
  <c r="T61" i="6"/>
  <c r="X60" i="6"/>
  <c r="R60" i="6"/>
  <c r="V59" i="6"/>
  <c r="P59" i="6"/>
  <c r="T58" i="6"/>
  <c r="X57" i="6"/>
  <c r="R57" i="6"/>
  <c r="V56" i="6"/>
  <c r="P56" i="6"/>
  <c r="T55" i="6"/>
  <c r="X54" i="6"/>
  <c r="R54" i="6"/>
  <c r="V53" i="6"/>
  <c r="P53" i="6"/>
  <c r="T52" i="6"/>
  <c r="X51" i="6"/>
  <c r="R51" i="6"/>
  <c r="V50" i="6"/>
  <c r="P50" i="6"/>
  <c r="T49" i="6"/>
  <c r="X48" i="6"/>
  <c r="R48" i="6"/>
  <c r="V47" i="6"/>
  <c r="P47" i="6"/>
  <c r="T46" i="6"/>
  <c r="X45" i="6"/>
  <c r="R45" i="6"/>
  <c r="V44" i="6"/>
  <c r="P44" i="6"/>
  <c r="T43" i="6"/>
  <c r="X42" i="6"/>
  <c r="R42" i="6"/>
  <c r="V41" i="6"/>
  <c r="P41" i="6"/>
  <c r="T40" i="6"/>
  <c r="X39" i="6"/>
  <c r="R39" i="6"/>
  <c r="V38" i="6"/>
  <c r="P38" i="6"/>
  <c r="T37" i="6"/>
  <c r="X36" i="6"/>
  <c r="R36" i="6"/>
  <c r="V35" i="6"/>
  <c r="P35" i="6"/>
  <c r="T34" i="6"/>
  <c r="X33" i="6"/>
  <c r="R33" i="6"/>
  <c r="V32" i="6"/>
  <c r="P32" i="6"/>
  <c r="T31" i="6"/>
  <c r="X30" i="6"/>
  <c r="R30" i="6"/>
  <c r="V29" i="6"/>
  <c r="P29" i="6"/>
  <c r="T28" i="6"/>
  <c r="X27" i="6"/>
  <c r="R27" i="6"/>
  <c r="V26" i="6"/>
  <c r="P26" i="6"/>
  <c r="T25" i="6"/>
  <c r="X24" i="6"/>
  <c r="R24" i="6"/>
  <c r="V23" i="6"/>
  <c r="P23" i="6"/>
  <c r="T22" i="6"/>
  <c r="X21" i="6"/>
  <c r="R21" i="6"/>
  <c r="V20" i="6"/>
  <c r="P20" i="6"/>
  <c r="T19" i="6"/>
  <c r="X18" i="6"/>
  <c r="R18" i="6"/>
  <c r="V17" i="6"/>
  <c r="P17" i="6"/>
  <c r="T16" i="6"/>
  <c r="X15" i="6"/>
  <c r="R15" i="6"/>
  <c r="V14" i="6"/>
  <c r="P14" i="6"/>
  <c r="T13" i="6"/>
  <c r="Y170" i="6"/>
  <c r="V139" i="6"/>
  <c r="V117" i="6"/>
  <c r="T110" i="6"/>
  <c r="P106" i="6"/>
  <c r="W101" i="6"/>
  <c r="T97" i="6"/>
  <c r="Q93" i="6"/>
  <c r="X88" i="6"/>
  <c r="T84" i="6"/>
  <c r="U82" i="6"/>
  <c r="Q81" i="6"/>
  <c r="V79" i="6"/>
  <c r="R78" i="6"/>
  <c r="X76" i="6"/>
  <c r="Y73" i="6"/>
  <c r="U72" i="6"/>
  <c r="Q70" i="6"/>
  <c r="P69" i="6"/>
  <c r="R68" i="6"/>
  <c r="R67" i="6"/>
  <c r="T66" i="6"/>
  <c r="T65" i="6"/>
  <c r="V64" i="6"/>
  <c r="V63" i="6"/>
  <c r="X62" i="6"/>
  <c r="X61" i="6"/>
  <c r="P61" i="6"/>
  <c r="P60" i="6"/>
  <c r="R59" i="6"/>
  <c r="R58" i="6"/>
  <c r="T57" i="6"/>
  <c r="T56" i="6"/>
  <c r="V55" i="6"/>
  <c r="V54" i="6"/>
  <c r="X53" i="6"/>
  <c r="Q53" i="6"/>
  <c r="S52" i="6"/>
  <c r="V51" i="6"/>
  <c r="Y50" i="6"/>
  <c r="R50" i="6"/>
  <c r="U49" i="6"/>
  <c r="W48" i="6"/>
  <c r="P48" i="6"/>
  <c r="S47" i="6"/>
  <c r="V46" i="6"/>
  <c r="Y45" i="6"/>
  <c r="Q45" i="6"/>
  <c r="T44" i="6"/>
  <c r="P43" i="6"/>
  <c r="S42" i="6"/>
  <c r="U41" i="6"/>
  <c r="X40" i="6"/>
  <c r="Q40" i="6"/>
  <c r="T39" i="6"/>
  <c r="W38" i="6"/>
  <c r="Y37" i="6"/>
  <c r="R37" i="6"/>
  <c r="U36" i="6"/>
  <c r="X35" i="6"/>
  <c r="Q35" i="6"/>
  <c r="S34" i="6"/>
  <c r="V33" i="6"/>
  <c r="Y32" i="6"/>
  <c r="R32" i="6"/>
  <c r="W30" i="6"/>
  <c r="P30" i="6"/>
  <c r="S29" i="6"/>
  <c r="Y162" i="6"/>
  <c r="S135" i="6"/>
  <c r="T116" i="6"/>
  <c r="V109" i="6"/>
  <c r="S105" i="6"/>
  <c r="P101" i="6"/>
  <c r="W96" i="6"/>
  <c r="T92" i="6"/>
  <c r="P88" i="6"/>
  <c r="S82" i="6"/>
  <c r="X80" i="6"/>
  <c r="T79" i="6"/>
  <c r="P78" i="6"/>
  <c r="U76" i="6"/>
  <c r="Q75" i="6"/>
  <c r="V73" i="6"/>
  <c r="Q71" i="6"/>
  <c r="Y69" i="6"/>
  <c r="Y68" i="6"/>
  <c r="Q68" i="6"/>
  <c r="Q67" i="6"/>
  <c r="S66" i="6"/>
  <c r="S65" i="6"/>
  <c r="U64" i="6"/>
  <c r="U63" i="6"/>
  <c r="W62" i="6"/>
  <c r="Y60" i="6"/>
  <c r="Y59" i="6"/>
  <c r="Q59" i="6"/>
  <c r="Q58" i="6"/>
  <c r="U55" i="6"/>
  <c r="U54" i="6"/>
  <c r="W53" i="6"/>
  <c r="Y52" i="6"/>
  <c r="R52" i="6"/>
  <c r="U51" i="6"/>
  <c r="X50" i="6"/>
  <c r="Q50" i="6"/>
  <c r="S49" i="6"/>
  <c r="V48" i="6"/>
  <c r="Y47" i="6"/>
  <c r="R47" i="6"/>
  <c r="U46" i="6"/>
  <c r="P45" i="6"/>
  <c r="S44" i="6"/>
  <c r="V43" i="6"/>
  <c r="Y42" i="6"/>
  <c r="Q42" i="6"/>
  <c r="T41" i="6"/>
  <c r="P40" i="6"/>
  <c r="S39" i="6"/>
  <c r="U38" i="6"/>
  <c r="X37" i="6"/>
  <c r="Q37" i="6"/>
  <c r="T36" i="6"/>
  <c r="W35" i="6"/>
  <c r="Y34" i="6"/>
  <c r="R34" i="6"/>
  <c r="U33" i="6"/>
  <c r="X32" i="6"/>
  <c r="Q32" i="6"/>
  <c r="S31" i="6"/>
  <c r="V30" i="6"/>
  <c r="Y29" i="6"/>
  <c r="R29" i="6"/>
  <c r="W27" i="6"/>
  <c r="P27" i="6"/>
  <c r="S26" i="6"/>
  <c r="V25" i="6"/>
  <c r="Y24" i="6"/>
  <c r="Q24" i="6"/>
  <c r="T23" i="6"/>
  <c r="W22" i="6"/>
  <c r="P22" i="6"/>
  <c r="S21" i="6"/>
  <c r="U20" i="6"/>
  <c r="X19" i="6"/>
  <c r="P157" i="6"/>
  <c r="P131" i="6"/>
  <c r="R115" i="6"/>
  <c r="Y108" i="6"/>
  <c r="V104" i="6"/>
  <c r="S100" i="6"/>
  <c r="P96" i="6"/>
  <c r="V91" i="6"/>
  <c r="S87" i="6"/>
  <c r="W83" i="6"/>
  <c r="Y81" i="6"/>
  <c r="U80" i="6"/>
  <c r="P79" i="6"/>
  <c r="V77" i="6"/>
  <c r="R76" i="6"/>
  <c r="W74" i="6"/>
  <c r="P72" i="6"/>
  <c r="X70" i="6"/>
  <c r="V69" i="6"/>
  <c r="X68" i="6"/>
  <c r="X67" i="6"/>
  <c r="P67" i="6"/>
  <c r="P66" i="6"/>
  <c r="R65" i="6"/>
  <c r="R64" i="6"/>
  <c r="T63" i="6"/>
  <c r="T62" i="6"/>
  <c r="V61" i="6"/>
  <c r="V60" i="6"/>
  <c r="X59" i="6"/>
  <c r="X58" i="6"/>
  <c r="P58" i="6"/>
  <c r="P57" i="6"/>
  <c r="R56" i="6"/>
  <c r="R55" i="6"/>
  <c r="T54" i="6"/>
  <c r="U53" i="6"/>
  <c r="X52" i="6"/>
  <c r="Q52" i="6"/>
  <c r="T51" i="6"/>
  <c r="W50" i="6"/>
  <c r="Y49" i="6"/>
  <c r="R49" i="6"/>
  <c r="U48" i="6"/>
  <c r="X47" i="6"/>
  <c r="Q47" i="6"/>
  <c r="S46" i="6"/>
  <c r="V45" i="6"/>
  <c r="Y44" i="6"/>
  <c r="R44" i="6"/>
  <c r="U43" i="6"/>
  <c r="P42" i="6"/>
  <c r="S41" i="6"/>
  <c r="V40" i="6"/>
  <c r="Y39" i="6"/>
  <c r="Q39" i="6"/>
  <c r="T38" i="6"/>
  <c r="W37" i="6"/>
  <c r="P37" i="6"/>
  <c r="S36" i="6"/>
  <c r="V152" i="6"/>
  <c r="V126" i="6"/>
  <c r="P114" i="6"/>
  <c r="R108" i="6"/>
  <c r="V99" i="6"/>
  <c r="R95" i="6"/>
  <c r="Y90" i="6"/>
  <c r="V86" i="6"/>
  <c r="T83" i="6"/>
  <c r="X81" i="6"/>
  <c r="T80" i="6"/>
  <c r="Y78" i="6"/>
  <c r="U77" i="6"/>
  <c r="P76" i="6"/>
  <c r="V74" i="6"/>
  <c r="R73" i="6"/>
  <c r="Y71" i="6"/>
  <c r="W70" i="6"/>
  <c r="U69" i="6"/>
  <c r="W68" i="6"/>
  <c r="W67" i="6"/>
  <c r="Y66" i="6"/>
  <c r="Y65" i="6"/>
  <c r="Q65" i="6"/>
  <c r="Q64" i="6"/>
  <c r="S63" i="6"/>
  <c r="S62" i="6"/>
  <c r="U61" i="6"/>
  <c r="U60" i="6"/>
  <c r="Y57" i="6"/>
  <c r="Y56" i="6"/>
  <c r="Q56" i="6"/>
  <c r="Q55" i="6"/>
  <c r="T53" i="6"/>
  <c r="W52" i="6"/>
  <c r="P52" i="6"/>
  <c r="S51" i="6"/>
  <c r="U50" i="6"/>
  <c r="X49" i="6"/>
  <c r="Q49" i="6"/>
  <c r="T48" i="6"/>
  <c r="W47" i="6"/>
  <c r="Y46" i="6"/>
  <c r="R46" i="6"/>
  <c r="U45" i="6"/>
  <c r="X44" i="6"/>
  <c r="Q44" i="6"/>
  <c r="S43" i="6"/>
  <c r="V42" i="6"/>
  <c r="Y41" i="6"/>
  <c r="R41" i="6"/>
  <c r="U40" i="6"/>
  <c r="P39" i="6"/>
  <c r="S38" i="6"/>
  <c r="V37" i="6"/>
  <c r="Y36" i="6"/>
  <c r="Q36" i="6"/>
  <c r="T35" i="6"/>
  <c r="W34" i="6"/>
  <c r="P34" i="6"/>
  <c r="S33" i="6"/>
  <c r="U32" i="6"/>
  <c r="X31" i="6"/>
  <c r="Q31" i="6"/>
  <c r="T30" i="6"/>
  <c r="W29" i="6"/>
  <c r="Y28" i="6"/>
  <c r="R28" i="6"/>
  <c r="X26" i="6"/>
  <c r="Q26" i="6"/>
  <c r="S25" i="6"/>
  <c r="Y143" i="6"/>
  <c r="P119" i="6"/>
  <c r="V111" i="6"/>
  <c r="X106" i="6"/>
  <c r="T102" i="6"/>
  <c r="Q98" i="6"/>
  <c r="X93" i="6"/>
  <c r="U89" i="6"/>
  <c r="R85" i="6"/>
  <c r="V82" i="6"/>
  <c r="R81" i="6"/>
  <c r="X79" i="6"/>
  <c r="S78" i="6"/>
  <c r="Y76" i="6"/>
  <c r="T75" i="6"/>
  <c r="P74" i="6"/>
  <c r="V72" i="6"/>
  <c r="T71" i="6"/>
  <c r="R70" i="6"/>
  <c r="S68" i="6"/>
  <c r="U67" i="6"/>
  <c r="U66" i="6"/>
  <c r="W65" i="6"/>
  <c r="W64" i="6"/>
  <c r="Y63" i="6"/>
  <c r="Y62" i="6"/>
  <c r="Q62" i="6"/>
  <c r="Q61" i="6"/>
  <c r="U58" i="6"/>
  <c r="U57" i="6"/>
  <c r="Y54" i="6"/>
  <c r="Y53" i="6"/>
  <c r="R53" i="6"/>
  <c r="U52" i="6"/>
  <c r="W51" i="6"/>
  <c r="P51" i="6"/>
  <c r="S50" i="6"/>
  <c r="V49" i="6"/>
  <c r="Y48" i="6"/>
  <c r="Q48" i="6"/>
  <c r="T47" i="6"/>
  <c r="P46" i="6"/>
  <c r="S45" i="6"/>
  <c r="U44" i="6"/>
  <c r="X43" i="6"/>
  <c r="Q43" i="6"/>
  <c r="T42" i="6"/>
  <c r="Y40" i="6"/>
  <c r="R40" i="6"/>
  <c r="U39" i="6"/>
  <c r="X38" i="6"/>
  <c r="Q38" i="6"/>
  <c r="S37" i="6"/>
  <c r="V36" i="6"/>
  <c r="Y35" i="6"/>
  <c r="R35" i="6"/>
  <c r="U34" i="6"/>
  <c r="W33" i="6"/>
  <c r="P33" i="6"/>
  <c r="S32" i="6"/>
  <c r="V31" i="6"/>
  <c r="Y30" i="6"/>
  <c r="Q30" i="6"/>
  <c r="T29" i="6"/>
  <c r="W28" i="6"/>
  <c r="P28" i="6"/>
  <c r="S27" i="6"/>
  <c r="X25" i="6"/>
  <c r="Q25" i="6"/>
  <c r="T24" i="6"/>
  <c r="W23" i="6"/>
  <c r="Y22" i="6"/>
  <c r="R22" i="6"/>
  <c r="U21" i="6"/>
  <c r="X20" i="6"/>
  <c r="Q20" i="6"/>
  <c r="S19" i="6"/>
  <c r="V18" i="6"/>
  <c r="Y17" i="6"/>
  <c r="R17" i="6"/>
  <c r="W15" i="6"/>
  <c r="P15" i="6"/>
  <c r="S14" i="6"/>
  <c r="V13" i="6"/>
  <c r="Y12" i="6"/>
  <c r="S12" i="6"/>
  <c r="W11" i="6"/>
  <c r="Q11" i="6"/>
  <c r="V11" i="6"/>
  <c r="T12" i="6"/>
  <c r="Q13" i="6"/>
  <c r="Y13" i="6"/>
  <c r="X14" i="6"/>
  <c r="V15" i="6"/>
  <c r="V16" i="6"/>
  <c r="T17" i="6"/>
  <c r="S18" i="6"/>
  <c r="Q19" i="6"/>
  <c r="R20" i="6"/>
  <c r="Q21" i="6"/>
  <c r="S22" i="6"/>
  <c r="S23" i="6"/>
  <c r="W25" i="6"/>
  <c r="Q27" i="6"/>
  <c r="V28" i="6"/>
  <c r="W32" i="6"/>
  <c r="X34" i="6"/>
  <c r="R38" i="6"/>
  <c r="U42" i="6"/>
  <c r="X46" i="6"/>
  <c r="Q51" i="6"/>
  <c r="X55" i="6"/>
  <c r="R61" i="6"/>
  <c r="V66" i="6"/>
  <c r="Y72" i="6"/>
  <c r="V81" i="6"/>
  <c r="R103" i="6"/>
  <c r="AB209" i="6"/>
  <c r="AB203" i="6"/>
  <c r="AB195" i="6"/>
  <c r="AB189" i="6"/>
  <c r="AB183" i="6"/>
  <c r="AB177" i="6"/>
  <c r="AB170" i="6"/>
  <c r="AB164" i="6"/>
  <c r="AB158" i="6"/>
  <c r="AB152" i="6"/>
  <c r="AB145" i="6"/>
  <c r="AB139" i="6"/>
  <c r="AB133" i="6"/>
  <c r="AB127" i="6"/>
  <c r="AB120" i="6"/>
  <c r="AB114" i="6"/>
  <c r="AB108" i="6"/>
  <c r="AB102" i="6"/>
  <c r="AB95" i="6"/>
  <c r="AB89" i="6"/>
  <c r="AB83" i="6"/>
  <c r="AB77" i="6"/>
  <c r="AB70" i="6"/>
  <c r="AB64" i="6"/>
  <c r="AB58" i="6"/>
  <c r="AB52" i="6"/>
  <c r="AB45" i="6"/>
  <c r="AB39" i="6"/>
  <c r="AB33" i="6"/>
  <c r="AB27" i="6"/>
  <c r="AB21" i="6"/>
  <c r="AB14" i="6"/>
  <c r="AC196" i="6"/>
  <c r="AC190" i="6"/>
  <c r="AC184" i="6"/>
  <c r="AC178" i="6"/>
  <c r="AC172" i="6"/>
  <c r="AC165" i="6"/>
  <c r="AC159" i="6"/>
  <c r="AC153" i="6"/>
  <c r="AC147" i="6"/>
  <c r="AC140" i="6"/>
  <c r="AC134" i="6"/>
  <c r="AC128" i="6"/>
  <c r="AC122" i="6"/>
  <c r="AC115" i="6"/>
  <c r="AC109" i="6"/>
  <c r="AC103" i="6"/>
  <c r="AC97" i="6"/>
  <c r="AC90" i="6"/>
  <c r="AC84" i="6"/>
  <c r="AC78" i="6"/>
  <c r="AC72" i="6"/>
  <c r="AC65" i="6"/>
  <c r="AC59" i="6"/>
  <c r="AC53" i="6"/>
  <c r="AC47" i="6"/>
  <c r="AC40" i="6"/>
  <c r="AC34" i="6"/>
  <c r="AC28" i="6"/>
  <c r="AC22" i="6"/>
  <c r="AC15" i="6"/>
  <c r="AB208" i="6"/>
  <c r="AB200" i="6"/>
  <c r="AB194" i="6"/>
  <c r="AB188" i="6"/>
  <c r="AB182" i="6"/>
  <c r="AB176" i="6"/>
  <c r="AB169" i="6"/>
  <c r="AB163" i="6"/>
  <c r="AB157" i="6"/>
  <c r="AB151" i="6"/>
  <c r="AB144" i="6"/>
  <c r="AB138" i="6"/>
  <c r="AB132" i="6"/>
  <c r="AB126" i="6"/>
  <c r="AB119" i="6"/>
  <c r="AB113" i="6"/>
  <c r="AB107" i="6"/>
  <c r="AB101" i="6"/>
  <c r="AB94" i="6"/>
  <c r="AB88" i="6"/>
  <c r="AB82" i="6"/>
  <c r="AB76" i="6"/>
  <c r="AB69" i="6"/>
  <c r="AB63" i="6"/>
  <c r="AB57" i="6"/>
  <c r="AB51" i="6"/>
  <c r="AB44" i="6"/>
  <c r="AB38" i="6"/>
  <c r="AB32" i="6"/>
  <c r="AB26" i="6"/>
  <c r="AB20" i="6"/>
  <c r="AB13" i="6"/>
  <c r="AB207" i="6"/>
  <c r="AB199" i="6"/>
  <c r="AB193" i="6"/>
  <c r="AB187" i="6"/>
  <c r="AB181" i="6"/>
  <c r="AB175" i="6"/>
  <c r="AB168" i="6"/>
  <c r="AB162" i="6"/>
  <c r="AB156" i="6"/>
  <c r="AB150" i="6"/>
  <c r="AB143" i="6"/>
  <c r="AB137" i="6"/>
  <c r="AB131" i="6"/>
  <c r="AB125" i="6"/>
  <c r="AB118" i="6"/>
  <c r="AB112" i="6"/>
  <c r="AB106" i="6"/>
  <c r="AB100" i="6"/>
  <c r="AB93" i="6"/>
  <c r="AB87" i="6"/>
  <c r="AB81" i="6"/>
  <c r="AB75" i="6"/>
  <c r="AB68" i="6"/>
  <c r="AB62" i="6"/>
  <c r="AB56" i="6"/>
  <c r="AB50" i="6"/>
  <c r="AB43" i="6"/>
  <c r="AB37" i="6"/>
  <c r="AB31" i="6"/>
  <c r="AB25" i="6"/>
  <c r="AB19" i="6"/>
  <c r="AB12" i="6"/>
  <c r="AB11" i="6"/>
  <c r="AB206" i="6"/>
  <c r="AB198" i="6"/>
  <c r="AB192" i="6"/>
  <c r="AB186" i="6"/>
  <c r="AB180" i="6"/>
  <c r="AB174" i="6"/>
  <c r="AB167" i="6"/>
  <c r="AB161" i="6"/>
  <c r="AB155" i="6"/>
  <c r="AB149" i="6"/>
  <c r="AB142" i="6"/>
  <c r="AB136" i="6"/>
  <c r="AB130" i="6"/>
  <c r="AB124" i="6"/>
  <c r="AB117" i="6"/>
  <c r="AB111" i="6"/>
  <c r="AB105" i="6"/>
  <c r="AB99" i="6"/>
  <c r="AB92" i="6"/>
  <c r="AB86" i="6"/>
  <c r="AB80" i="6"/>
  <c r="AB74" i="6"/>
  <c r="AB67" i="6"/>
  <c r="AB61" i="6"/>
  <c r="AB55" i="6"/>
  <c r="AB49" i="6"/>
  <c r="AB42" i="6"/>
  <c r="AB36" i="6"/>
  <c r="AB30" i="6"/>
  <c r="AB24" i="6"/>
  <c r="AB17" i="6"/>
  <c r="AB211" i="6"/>
  <c r="AB205" i="6"/>
  <c r="AB197" i="6"/>
  <c r="AB191" i="6"/>
  <c r="AB185" i="6"/>
  <c r="AB179" i="6"/>
  <c r="AB173" i="6"/>
  <c r="AB166" i="6"/>
  <c r="AB160" i="6"/>
  <c r="AB154" i="6"/>
  <c r="AB148" i="6"/>
  <c r="AB141" i="6"/>
  <c r="AB135" i="6"/>
  <c r="AB129" i="6"/>
  <c r="AB123" i="6"/>
  <c r="AB116" i="6"/>
  <c r="AB110" i="6"/>
  <c r="AB104" i="6"/>
  <c r="AB98" i="6"/>
  <c r="AB91" i="6"/>
  <c r="AB85" i="6"/>
  <c r="AB79" i="6"/>
  <c r="AB73" i="6"/>
  <c r="AB66" i="6"/>
  <c r="AB60" i="6"/>
  <c r="AB54" i="6"/>
  <c r="AB48" i="6"/>
  <c r="AB41" i="6"/>
  <c r="AB35" i="6"/>
  <c r="AB29" i="6"/>
  <c r="AB23" i="6"/>
  <c r="AB16" i="6"/>
  <c r="AB210" i="6"/>
  <c r="AB204" i="6"/>
  <c r="U28" i="6" l="1"/>
  <c r="S55" i="6"/>
  <c r="W43" i="6"/>
  <c r="S76" i="6"/>
  <c r="S70" i="6"/>
  <c r="S61" i="6"/>
  <c r="W60" i="6"/>
  <c r="S58" i="6"/>
  <c r="W57" i="6"/>
  <c r="W54" i="6"/>
  <c r="W58" i="6"/>
  <c r="W39" i="6"/>
  <c r="U27" i="6"/>
  <c r="S69" i="6"/>
  <c r="S60" i="6"/>
  <c r="S59" i="6"/>
  <c r="W56" i="6"/>
  <c r="W55" i="6"/>
  <c r="U26" i="6"/>
  <c r="U16" i="6"/>
  <c r="U24" i="6"/>
  <c r="U30" i="6"/>
  <c r="Y106" i="6"/>
  <c r="W45" i="6"/>
  <c r="W40" i="6"/>
  <c r="S73" i="6"/>
  <c r="U25" i="6"/>
  <c r="U29" i="6"/>
  <c r="S196" i="6"/>
  <c r="S193" i="6"/>
  <c r="Y190" i="6"/>
  <c r="S190" i="6"/>
  <c r="S181" i="6"/>
  <c r="W180" i="6"/>
  <c r="Q180" i="6"/>
  <c r="S178" i="6"/>
  <c r="W177" i="6"/>
  <c r="Q177" i="6"/>
  <c r="S175" i="6"/>
  <c r="S166" i="6"/>
  <c r="W165" i="6"/>
  <c r="S163" i="6"/>
  <c r="W162" i="6"/>
  <c r="Y101" i="6"/>
  <c r="Q100" i="6"/>
  <c r="W59" i="6"/>
  <c r="Y197" i="6"/>
  <c r="S197" i="6"/>
  <c r="Q196" i="6"/>
  <c r="Y194" i="6"/>
  <c r="S194" i="6"/>
  <c r="Q193" i="6"/>
  <c r="Y191" i="6"/>
  <c r="S191" i="6"/>
  <c r="Q190" i="6"/>
  <c r="U149" i="6"/>
  <c r="W147" i="6"/>
  <c r="S145" i="6"/>
  <c r="U131" i="6"/>
  <c r="S149" i="6"/>
  <c r="W145" i="6"/>
  <c r="U133" i="6"/>
  <c r="Q197" i="6"/>
  <c r="Y195" i="6"/>
  <c r="S195" i="6"/>
  <c r="Q194" i="6"/>
  <c r="Y192" i="6"/>
  <c r="S192" i="6"/>
  <c r="Q191" i="6"/>
  <c r="W182" i="6"/>
  <c r="S148" i="6"/>
  <c r="U134" i="6"/>
  <c r="U151" i="6"/>
  <c r="M2" i="6"/>
  <c r="S182" i="6"/>
  <c r="Q181" i="6"/>
  <c r="W178" i="6"/>
  <c r="S176" i="6"/>
  <c r="Q175" i="6"/>
  <c r="W167" i="6"/>
  <c r="W166" i="6"/>
  <c r="S162" i="6"/>
  <c r="Q182" i="6"/>
  <c r="W179" i="6"/>
  <c r="S177" i="6"/>
  <c r="Q176" i="6"/>
  <c r="W181" i="6"/>
  <c r="S179" i="6"/>
  <c r="Q178" i="6"/>
  <c r="S160" i="6"/>
  <c r="U152" i="6"/>
  <c r="S151" i="6"/>
  <c r="W150" i="6"/>
  <c r="U146" i="6"/>
  <c r="U137" i="6"/>
  <c r="S165" i="6"/>
  <c r="W163" i="6"/>
  <c r="S152" i="6"/>
  <c r="W148" i="6"/>
  <c r="S147" i="6"/>
  <c r="U136" i="6"/>
  <c r="S180" i="6"/>
  <c r="W176" i="6"/>
  <c r="Y193" i="6"/>
  <c r="U121" i="6"/>
  <c r="Y120" i="6"/>
  <c r="U118" i="6"/>
  <c r="S167" i="6"/>
  <c r="W164" i="6"/>
  <c r="U148" i="6"/>
  <c r="S146" i="6"/>
  <c r="U135" i="6"/>
  <c r="U130" i="6"/>
  <c r="Q179" i="6"/>
  <c r="W175" i="6"/>
  <c r="W160" i="6"/>
  <c r="W152" i="6"/>
  <c r="U150" i="6"/>
  <c r="U145" i="6"/>
  <c r="U132" i="6"/>
  <c r="U122" i="6"/>
  <c r="Y121" i="6"/>
  <c r="U119" i="6"/>
  <c r="Y118" i="6"/>
  <c r="U116" i="6"/>
  <c r="Y115" i="6"/>
  <c r="S161" i="6"/>
  <c r="W151" i="6"/>
  <c r="S150" i="6"/>
  <c r="W146" i="6"/>
  <c r="U120" i="6"/>
  <c r="Y119" i="6"/>
  <c r="U117" i="6"/>
  <c r="Y116" i="6"/>
  <c r="Q106" i="6"/>
  <c r="Y104" i="6"/>
  <c r="Q103" i="6"/>
  <c r="Q195" i="6"/>
  <c r="Q91" i="6"/>
  <c r="Q88" i="6"/>
  <c r="Q85" i="6"/>
  <c r="S74" i="6"/>
  <c r="Q105" i="6"/>
  <c r="Y102" i="6"/>
  <c r="Q87" i="6"/>
  <c r="Q102" i="6"/>
  <c r="Y99" i="6"/>
  <c r="Q89" i="6"/>
  <c r="W149" i="6"/>
  <c r="Y117" i="6"/>
  <c r="U115" i="6"/>
  <c r="Q104" i="6"/>
  <c r="Q99" i="6"/>
  <c r="Q86" i="6"/>
  <c r="S164" i="6"/>
  <c r="Q192" i="6"/>
  <c r="Q101" i="6"/>
  <c r="W161" i="6"/>
  <c r="U147" i="6"/>
  <c r="Y114" i="6"/>
  <c r="Y105" i="6"/>
  <c r="Y100" i="6"/>
  <c r="Q90" i="6"/>
  <c r="Y196" i="6"/>
  <c r="S75" i="6"/>
  <c r="S71" i="6"/>
  <c r="U31" i="6"/>
  <c r="Q84" i="6"/>
  <c r="S72" i="6"/>
  <c r="W61" i="6"/>
  <c r="S57" i="6"/>
  <c r="S56" i="6"/>
  <c r="W42" i="6"/>
  <c r="Y103" i="6"/>
  <c r="S54" i="6"/>
  <c r="W46" i="6"/>
  <c r="W41" i="6"/>
  <c r="M73" i="6" l="1"/>
  <c r="M79" i="6"/>
  <c r="M85" i="6"/>
  <c r="M91" i="6"/>
  <c r="M97" i="6"/>
  <c r="M103" i="6"/>
  <c r="M109" i="6"/>
  <c r="M115" i="6"/>
  <c r="M121" i="6"/>
  <c r="M127" i="6"/>
  <c r="M133" i="6"/>
  <c r="M139" i="6"/>
  <c r="M145" i="6"/>
  <c r="M151" i="6"/>
  <c r="M157" i="6"/>
  <c r="M163" i="6"/>
  <c r="M169" i="6"/>
  <c r="M175" i="6"/>
  <c r="M181" i="6"/>
  <c r="M187" i="6"/>
  <c r="M193" i="6"/>
  <c r="M199" i="6"/>
  <c r="M205" i="6"/>
  <c r="M211" i="6"/>
  <c r="M14" i="6"/>
  <c r="M20" i="6"/>
  <c r="M26" i="6"/>
  <c r="M32" i="6"/>
  <c r="M38" i="6"/>
  <c r="M44" i="6"/>
  <c r="M50" i="6"/>
  <c r="M56" i="6"/>
  <c r="M62" i="6"/>
  <c r="M68" i="6"/>
  <c r="M74" i="6"/>
  <c r="M80" i="6"/>
  <c r="M86" i="6"/>
  <c r="M92" i="6"/>
  <c r="M98" i="6"/>
  <c r="M104" i="6"/>
  <c r="M110" i="6"/>
  <c r="M116" i="6"/>
  <c r="M122" i="6"/>
  <c r="M128" i="6"/>
  <c r="M134" i="6"/>
  <c r="M140" i="6"/>
  <c r="M146" i="6"/>
  <c r="M152" i="6"/>
  <c r="M158" i="6"/>
  <c r="M164" i="6"/>
  <c r="M170" i="6"/>
  <c r="M176" i="6"/>
  <c r="M182" i="6"/>
  <c r="M188" i="6"/>
  <c r="M194" i="6"/>
  <c r="M200" i="6"/>
  <c r="M206" i="6"/>
  <c r="M15" i="6"/>
  <c r="M21" i="6"/>
  <c r="M55" i="6"/>
  <c r="M61" i="6"/>
  <c r="M67" i="6"/>
  <c r="M27" i="6"/>
  <c r="M33" i="6"/>
  <c r="M39" i="6"/>
  <c r="M45" i="6"/>
  <c r="M51" i="6"/>
  <c r="M57" i="6"/>
  <c r="M63" i="6"/>
  <c r="M69" i="6"/>
  <c r="M75" i="6"/>
  <c r="M81" i="6"/>
  <c r="M87" i="6"/>
  <c r="M93" i="6"/>
  <c r="M99" i="6"/>
  <c r="M105" i="6"/>
  <c r="M111" i="6"/>
  <c r="M117" i="6"/>
  <c r="M123" i="6"/>
  <c r="M129" i="6"/>
  <c r="M135" i="6"/>
  <c r="M141" i="6"/>
  <c r="M147" i="6"/>
  <c r="M153" i="6"/>
  <c r="M159" i="6"/>
  <c r="M165" i="6"/>
  <c r="M171" i="6"/>
  <c r="M177" i="6"/>
  <c r="M183" i="6"/>
  <c r="M189" i="6"/>
  <c r="M195" i="6"/>
  <c r="M201" i="6"/>
  <c r="M207" i="6"/>
  <c r="M16" i="6"/>
  <c r="M22" i="6"/>
  <c r="M28" i="6"/>
  <c r="M34" i="6"/>
  <c r="M40" i="6"/>
  <c r="M46" i="6"/>
  <c r="M52" i="6"/>
  <c r="M58" i="6"/>
  <c r="M64" i="6"/>
  <c r="M70" i="6"/>
  <c r="M76" i="6"/>
  <c r="M82" i="6"/>
  <c r="M88" i="6"/>
  <c r="M94" i="6"/>
  <c r="M100" i="6"/>
  <c r="M106" i="6"/>
  <c r="M112" i="6"/>
  <c r="M118" i="6"/>
  <c r="M124" i="6"/>
  <c r="M130" i="6"/>
  <c r="M136" i="6"/>
  <c r="M142" i="6"/>
  <c r="M148" i="6"/>
  <c r="M154" i="6"/>
  <c r="M160" i="6"/>
  <c r="M166" i="6"/>
  <c r="M172" i="6"/>
  <c r="M178" i="6"/>
  <c r="M184" i="6"/>
  <c r="M190" i="6"/>
  <c r="M196" i="6"/>
  <c r="M202" i="6"/>
  <c r="M208" i="6"/>
  <c r="M11" i="6"/>
  <c r="M17" i="6"/>
  <c r="M23" i="6"/>
  <c r="M29" i="6"/>
  <c r="M35" i="6"/>
  <c r="M41" i="6"/>
  <c r="M47" i="6"/>
  <c r="M53" i="6"/>
  <c r="M59" i="6"/>
  <c r="M65" i="6"/>
  <c r="M71" i="6"/>
  <c r="M77" i="6"/>
  <c r="M83" i="6"/>
  <c r="M89" i="6"/>
  <c r="M95" i="6"/>
  <c r="M101" i="6"/>
  <c r="M107" i="6"/>
  <c r="M113" i="6"/>
  <c r="M119" i="6"/>
  <c r="M125" i="6"/>
  <c r="M131" i="6"/>
  <c r="M137" i="6"/>
  <c r="M143" i="6"/>
  <c r="M149" i="6"/>
  <c r="M155" i="6"/>
  <c r="M161" i="6"/>
  <c r="M167" i="6"/>
  <c r="M173" i="6"/>
  <c r="M179" i="6"/>
  <c r="M185" i="6"/>
  <c r="M191" i="6"/>
  <c r="M197" i="6"/>
  <c r="M203" i="6"/>
  <c r="M209" i="6"/>
  <c r="M12" i="6"/>
  <c r="M18" i="6"/>
  <c r="M24" i="6"/>
  <c r="M30" i="6"/>
  <c r="M36" i="6"/>
  <c r="M42" i="6"/>
  <c r="M48" i="6"/>
  <c r="M54" i="6"/>
  <c r="M60" i="6"/>
  <c r="M66" i="6"/>
  <c r="M72" i="6"/>
  <c r="M78" i="6"/>
  <c r="M84" i="6"/>
  <c r="M90" i="6"/>
  <c r="M96" i="6"/>
  <c r="M102" i="6"/>
  <c r="M108" i="6"/>
  <c r="M114" i="6"/>
  <c r="M120" i="6"/>
  <c r="M126" i="6"/>
  <c r="M132" i="6"/>
  <c r="M138" i="6"/>
  <c r="M144" i="6"/>
  <c r="M150" i="6"/>
  <c r="M156" i="6"/>
  <c r="M162" i="6"/>
  <c r="M168" i="6"/>
  <c r="M174" i="6"/>
  <c r="M180" i="6"/>
  <c r="M186" i="6"/>
  <c r="M192" i="6"/>
  <c r="M198" i="6"/>
  <c r="M204" i="6"/>
  <c r="M210" i="6"/>
  <c r="M13" i="6"/>
  <c r="M19" i="6"/>
  <c r="M25" i="6"/>
  <c r="M31" i="6"/>
  <c r="M37" i="6"/>
  <c r="M43" i="6"/>
  <c r="M49" i="6"/>
  <c r="AA202" i="6"/>
  <c r="O83" i="6" l="1"/>
  <c r="Z83" i="6" s="1"/>
  <c r="O13" i="6"/>
  <c r="Z13" i="6" s="1"/>
  <c r="O121" i="6"/>
  <c r="Z121" i="6" s="1"/>
  <c r="O84" i="6"/>
  <c r="Z84" i="6" s="1"/>
  <c r="O46" i="6"/>
  <c r="Z46" i="6" s="1"/>
  <c r="O115" i="6"/>
  <c r="Z115" i="6" s="1"/>
  <c r="O11" i="6"/>
  <c r="Z11" i="6" s="1"/>
  <c r="O189" i="6"/>
  <c r="Z189" i="6" s="1"/>
  <c r="O45" i="6"/>
  <c r="Z45" i="6" s="1"/>
  <c r="O12" i="6"/>
  <c r="Z12" i="6" s="1"/>
  <c r="O153" i="6"/>
  <c r="Z153" i="6" s="1"/>
  <c r="O81" i="6"/>
  <c r="Z81" i="6" s="1"/>
  <c r="O132" i="6"/>
  <c r="Z132" i="6" s="1"/>
  <c r="O157" i="6"/>
  <c r="Z157" i="6" s="1"/>
  <c r="O82" i="6"/>
  <c r="Z82" i="6" s="1"/>
  <c r="O125" i="6"/>
  <c r="Z125" i="6" s="1"/>
  <c r="O90" i="6"/>
  <c r="Z90" i="6" s="1"/>
  <c r="O53" i="6"/>
  <c r="Z53" i="6" s="1"/>
  <c r="O190" i="6"/>
  <c r="Z190" i="6" s="1"/>
  <c r="O154" i="6"/>
  <c r="Z154" i="6" s="1"/>
  <c r="O118" i="6"/>
  <c r="Z118" i="6" s="1"/>
  <c r="O88" i="6"/>
  <c r="Z88" i="6" s="1"/>
  <c r="O47" i="6"/>
  <c r="Z47" i="6" s="1"/>
  <c r="O120" i="6"/>
  <c r="Z120" i="6" s="1"/>
  <c r="O119" i="6"/>
  <c r="Z119" i="6" s="1"/>
  <c r="O49" i="6"/>
  <c r="Z49" i="6" s="1"/>
  <c r="O66" i="6"/>
  <c r="Z66" i="6" s="1"/>
  <c r="O123" i="6"/>
  <c r="Z123" i="6" s="1"/>
  <c r="O192" i="6"/>
  <c r="Z192" i="6" s="1"/>
  <c r="O156" i="6"/>
  <c r="Z156" i="6" s="1"/>
  <c r="O178" i="6"/>
  <c r="Z178" i="6" s="1"/>
  <c r="O70" i="6"/>
  <c r="Z70" i="6" s="1"/>
  <c r="O64" i="6"/>
  <c r="Z64" i="6" s="1"/>
  <c r="O158" i="6"/>
  <c r="Z158" i="6" s="1"/>
  <c r="O116" i="6"/>
  <c r="Z116" i="6" s="1"/>
  <c r="O147" i="6"/>
  <c r="Z147" i="6" s="1"/>
  <c r="O29" i="6"/>
  <c r="Z29" i="6" s="1"/>
  <c r="O161" i="6"/>
  <c r="Z161" i="6" s="1"/>
  <c r="O165" i="6"/>
  <c r="Z165" i="6" s="1"/>
  <c r="O92" i="6"/>
  <c r="Z92" i="6" s="1"/>
  <c r="O55" i="6"/>
  <c r="Z55" i="6" s="1"/>
  <c r="O86" i="6"/>
  <c r="Z86" i="6" s="1"/>
  <c r="O159" i="6"/>
  <c r="Z159" i="6" s="1"/>
  <c r="O99" i="6"/>
  <c r="Z99" i="6" s="1"/>
  <c r="O177" i="6"/>
  <c r="Z177" i="6" s="1"/>
  <c r="O104" i="6"/>
  <c r="Z104" i="6" s="1"/>
  <c r="O102" i="6"/>
  <c r="Z102" i="6" s="1"/>
  <c r="O206" i="6"/>
  <c r="Z206" i="6" s="1"/>
  <c r="O27" i="6"/>
  <c r="Z27" i="6" s="1"/>
  <c r="O52" i="6"/>
  <c r="Z52" i="6" s="1"/>
  <c r="O44" i="6"/>
  <c r="Z44" i="6" s="1"/>
  <c r="O128" i="6"/>
  <c r="Z128" i="6" s="1"/>
  <c r="O89" i="6"/>
  <c r="Z89" i="6" s="1"/>
  <c r="O85" i="6"/>
  <c r="Z85" i="6" s="1"/>
  <c r="O79" i="6"/>
  <c r="Z79" i="6" s="1"/>
  <c r="O180" i="6"/>
  <c r="Z180" i="6" s="1"/>
  <c r="O179" i="6"/>
  <c r="Z179" i="6" s="1"/>
  <c r="O100" i="6"/>
  <c r="Z100" i="6" s="1"/>
  <c r="O62" i="6"/>
  <c r="Z62" i="6" s="1"/>
  <c r="O164" i="6"/>
  <c r="Z164" i="6" s="1"/>
  <c r="O131" i="6"/>
  <c r="Z131" i="6" s="1"/>
  <c r="O197" i="6"/>
  <c r="Z197" i="6" s="1"/>
  <c r="O188" i="6"/>
  <c r="Z188" i="6" s="1"/>
  <c r="O145" i="6"/>
  <c r="Z145" i="6" s="1"/>
  <c r="O181" i="6"/>
  <c r="Z181" i="6" s="1"/>
  <c r="O143" i="6"/>
  <c r="Z143" i="6" s="1"/>
  <c r="O65" i="6"/>
  <c r="Z65" i="6" s="1"/>
  <c r="O31" i="6"/>
  <c r="Z31" i="6" s="1"/>
  <c r="O30" i="6"/>
  <c r="Z30" i="6" s="1"/>
  <c r="O137" i="6"/>
  <c r="Z137" i="6" s="1"/>
  <c r="O207" i="6"/>
  <c r="Z207" i="6" s="1"/>
  <c r="O134" i="6"/>
  <c r="Z134" i="6" s="1"/>
  <c r="O199" i="6"/>
  <c r="Z199" i="6" s="1"/>
  <c r="O97" i="6"/>
  <c r="Z97" i="6" s="1"/>
  <c r="O126" i="6"/>
  <c r="Z126" i="6" s="1"/>
  <c r="O20" i="6"/>
  <c r="Z20" i="6" s="1"/>
  <c r="O130" i="6"/>
  <c r="Z130" i="6" s="1"/>
  <c r="O107" i="6"/>
  <c r="Z107" i="6" s="1"/>
  <c r="O21" i="6"/>
  <c r="Z21" i="6" s="1"/>
  <c r="O56" i="6"/>
  <c r="Z56" i="6" s="1"/>
  <c r="O124" i="6"/>
  <c r="Z124" i="6" s="1"/>
  <c r="O87" i="6"/>
  <c r="Z87" i="6" s="1"/>
  <c r="O36" i="6"/>
  <c r="Z36" i="6" s="1"/>
  <c r="O14" i="6"/>
  <c r="Z14" i="6" s="1"/>
  <c r="O22" i="6"/>
  <c r="Z22" i="6" s="1"/>
  <c r="O95" i="6"/>
  <c r="Z95" i="6" s="1"/>
  <c r="O160" i="6"/>
  <c r="Z160" i="6" s="1"/>
  <c r="O18" i="6"/>
  <c r="Z18" i="6" s="1"/>
  <c r="O198" i="6"/>
  <c r="Z198" i="6" s="1"/>
  <c r="O17" i="6"/>
  <c r="Z17" i="6" s="1"/>
  <c r="O51" i="6"/>
  <c r="Z51" i="6" s="1"/>
  <c r="O50" i="6"/>
  <c r="Z50" i="6" s="1"/>
  <c r="O203" i="6"/>
  <c r="Z203" i="6" s="1"/>
  <c r="O195" i="6"/>
  <c r="Z195" i="6" s="1"/>
  <c r="O149" i="6"/>
  <c r="Z149" i="6" s="1"/>
  <c r="O98" i="6"/>
  <c r="Z98" i="6" s="1"/>
  <c r="O205" i="6"/>
  <c r="Z205" i="6" s="1"/>
  <c r="O135" i="6"/>
  <c r="Z135" i="6" s="1"/>
  <c r="O74" i="6"/>
  <c r="Z74" i="6" s="1"/>
  <c r="O71" i="6"/>
  <c r="Z71" i="6" s="1"/>
  <c r="O209" i="6"/>
  <c r="Z209" i="6" s="1"/>
  <c r="O80" i="6"/>
  <c r="Z80" i="6" s="1"/>
  <c r="O61" i="6"/>
  <c r="Z61" i="6" s="1"/>
  <c r="O168" i="6"/>
  <c r="Z168" i="6" s="1"/>
  <c r="O23" i="6"/>
  <c r="Z23" i="6" s="1"/>
  <c r="O201" i="6"/>
  <c r="Z201" i="6" s="1"/>
  <c r="O196" i="6"/>
  <c r="Z196" i="6" s="1"/>
  <c r="O141" i="6"/>
  <c r="Z141" i="6" s="1"/>
  <c r="O59" i="6"/>
  <c r="Z59" i="6" s="1"/>
  <c r="O152" i="6"/>
  <c r="Z152" i="6" s="1"/>
  <c r="O77" i="6"/>
  <c r="Z77" i="6" s="1"/>
  <c r="O112" i="6"/>
  <c r="Z112" i="6" s="1"/>
  <c r="O76" i="6"/>
  <c r="Z76" i="6" s="1"/>
  <c r="O150" i="6"/>
  <c r="Z150" i="6" s="1"/>
  <c r="O114" i="6"/>
  <c r="Z114" i="6" s="1"/>
  <c r="O184" i="6"/>
  <c r="Z184" i="6" s="1"/>
  <c r="O113" i="6"/>
  <c r="Z113" i="6" s="1"/>
  <c r="O75" i="6"/>
  <c r="Z75" i="6" s="1"/>
  <c r="O105" i="6"/>
  <c r="Z105" i="6" s="1"/>
  <c r="O34" i="6"/>
  <c r="Z34" i="6" s="1"/>
  <c r="O144" i="6"/>
  <c r="Z144" i="6" s="1"/>
  <c r="O67" i="6"/>
  <c r="Z67" i="6" s="1"/>
  <c r="O103" i="6"/>
  <c r="Z103" i="6" s="1"/>
  <c r="O32" i="6"/>
  <c r="Z32" i="6" s="1"/>
  <c r="O54" i="6"/>
  <c r="Z54" i="6" s="1"/>
  <c r="O194" i="6"/>
  <c r="Z194" i="6" s="1"/>
  <c r="O163" i="6"/>
  <c r="Z163" i="6" s="1"/>
  <c r="O162" i="6"/>
  <c r="Z162" i="6" s="1"/>
  <c r="O16" i="6"/>
  <c r="Z16" i="6" s="1"/>
  <c r="O191" i="6"/>
  <c r="Z191" i="6" s="1"/>
  <c r="O117" i="6"/>
  <c r="Z117" i="6" s="1"/>
  <c r="O91" i="6"/>
  <c r="Z91" i="6" s="1"/>
  <c r="O185" i="6"/>
  <c r="Z185" i="6" s="1"/>
  <c r="O148" i="6"/>
  <c r="Z148" i="6" s="1"/>
  <c r="O151" i="6"/>
  <c r="Z151" i="6" s="1"/>
  <c r="O40" i="6"/>
  <c r="Z40" i="6" s="1"/>
  <c r="O183" i="6"/>
  <c r="Z183" i="6" s="1"/>
  <c r="O39" i="6"/>
  <c r="Z39" i="6" s="1"/>
  <c r="O108" i="6"/>
  <c r="Z108" i="6" s="1"/>
  <c r="O111" i="6"/>
  <c r="Z111" i="6" s="1"/>
  <c r="O172" i="6"/>
  <c r="Z172" i="6" s="1"/>
  <c r="O101" i="6"/>
  <c r="Z101" i="6" s="1"/>
  <c r="O68" i="6"/>
  <c r="Z68" i="6" s="1"/>
  <c r="O170" i="6"/>
  <c r="Z170" i="6" s="1"/>
  <c r="O140" i="6"/>
  <c r="Z140" i="6" s="1"/>
  <c r="O136" i="6"/>
  <c r="Z136" i="6" s="1"/>
  <c r="O204" i="6"/>
  <c r="Z204" i="6" s="1"/>
  <c r="O202" i="6"/>
  <c r="Z202" i="6" s="1"/>
  <c r="O63" i="6"/>
  <c r="Z63" i="6" s="1"/>
  <c r="O109" i="6"/>
  <c r="Z109" i="6" s="1"/>
  <c r="O78" i="6"/>
  <c r="Z78" i="6" s="1"/>
  <c r="O182" i="6"/>
  <c r="Z182" i="6" s="1"/>
  <c r="O38" i="6"/>
  <c r="Z38" i="6" s="1"/>
  <c r="O72" i="6"/>
  <c r="Z72" i="6" s="1"/>
  <c r="O142" i="6"/>
  <c r="Z142" i="6" s="1"/>
  <c r="O175" i="6"/>
  <c r="Z175" i="6" s="1"/>
  <c r="O138" i="6"/>
  <c r="Z138" i="6" s="1"/>
  <c r="O173" i="6"/>
  <c r="Z173" i="6" s="1"/>
  <c r="O35" i="6"/>
  <c r="Z35" i="6" s="1"/>
  <c r="O169" i="6"/>
  <c r="Z169" i="6" s="1"/>
  <c r="O26" i="6"/>
  <c r="Z26" i="6" s="1"/>
  <c r="O25" i="6"/>
  <c r="Z25" i="6" s="1"/>
  <c r="O96" i="6"/>
  <c r="Z96" i="6" s="1"/>
  <c r="O58" i="6"/>
  <c r="Z58" i="6" s="1"/>
  <c r="O166" i="6"/>
  <c r="Z166" i="6" s="1"/>
  <c r="O37" i="6"/>
  <c r="Z37" i="6" s="1"/>
  <c r="O93" i="6"/>
  <c r="Z93" i="6" s="1"/>
  <c r="O200" i="6"/>
  <c r="Z200" i="6" s="1"/>
  <c r="O155" i="6"/>
  <c r="Z155" i="6" s="1"/>
  <c r="O15" i="6"/>
  <c r="Z15" i="6" s="1"/>
  <c r="O210" i="6"/>
  <c r="Z210" i="6" s="1"/>
  <c r="O146" i="6"/>
  <c r="Z146" i="6" s="1"/>
  <c r="O69" i="6"/>
  <c r="Z69" i="6" s="1"/>
  <c r="O28" i="6"/>
  <c r="Z28" i="6" s="1"/>
  <c r="O43" i="6"/>
  <c r="Z43" i="6" s="1"/>
  <c r="O60" i="6"/>
  <c r="Z60" i="6" s="1"/>
  <c r="O24" i="6"/>
  <c r="Z24" i="6" s="1"/>
  <c r="O167" i="6"/>
  <c r="Z167" i="6" s="1"/>
  <c r="O19" i="6"/>
  <c r="Z19" i="6" s="1"/>
  <c r="O122" i="6"/>
  <c r="Z122" i="6" s="1"/>
  <c r="O129" i="6"/>
  <c r="Z129" i="6" s="1"/>
  <c r="O110" i="6"/>
  <c r="Z110" i="6" s="1"/>
  <c r="O42" i="6"/>
  <c r="Z42" i="6" s="1"/>
  <c r="O186" i="6"/>
  <c r="Z186" i="6" s="1"/>
  <c r="O73" i="6"/>
  <c r="Z73" i="6" s="1"/>
  <c r="O139" i="6"/>
  <c r="Z139" i="6" s="1"/>
  <c r="O33" i="6"/>
  <c r="Z33" i="6" s="1"/>
  <c r="O174" i="6"/>
  <c r="Z174" i="6" s="1"/>
  <c r="O187" i="6"/>
  <c r="Z187" i="6" s="1"/>
  <c r="O176" i="6"/>
  <c r="Z176" i="6" s="1"/>
  <c r="O41" i="6"/>
  <c r="Z41" i="6" s="1"/>
  <c r="O106" i="6"/>
  <c r="Z106" i="6" s="1"/>
  <c r="O211" i="6"/>
  <c r="Z211" i="6" s="1"/>
  <c r="O208" i="6"/>
  <c r="Z208" i="6" s="1"/>
  <c r="O171" i="6"/>
  <c r="Z171" i="6" s="1"/>
  <c r="O133" i="6"/>
  <c r="Z133" i="6" s="1"/>
  <c r="O57" i="6"/>
  <c r="Z57" i="6" s="1"/>
  <c r="O94" i="6"/>
  <c r="Z94" i="6" s="1"/>
  <c r="O127" i="6"/>
  <c r="Z127" i="6" s="1"/>
  <c r="O48" i="6"/>
  <c r="Z48" i="6" s="1"/>
  <c r="O193" i="6"/>
  <c r="Z193" i="6" s="1"/>
  <c r="AB202" i="6"/>
  <c r="AC202" i="6"/>
  <c r="AA6" i="6" l="1"/>
  <c r="AA71" i="6" s="1"/>
  <c r="AA96" i="6" l="1"/>
  <c r="AB96" i="6" s="1"/>
  <c r="AA146" i="6"/>
  <c r="AB146" i="6" s="1"/>
  <c r="AA46" i="6"/>
  <c r="AB46" i="6" s="1"/>
  <c r="AA171" i="6"/>
  <c r="AB171" i="6" s="1"/>
  <c r="AA18" i="6"/>
  <c r="AB18" i="6" s="1"/>
  <c r="AA201" i="6"/>
  <c r="AC201" i="6" s="1"/>
  <c r="AA121" i="6"/>
  <c r="AB121" i="6" s="1"/>
  <c r="AB71" i="6"/>
  <c r="AC71" i="6"/>
  <c r="AC96" i="6" l="1"/>
  <c r="AB201" i="6"/>
  <c r="AC146" i="6"/>
  <c r="AC121" i="6"/>
  <c r="AC46" i="6"/>
  <c r="AC18" i="6"/>
  <c r="AC171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34F2E1D-236E-456F-B3E7-E4BE47B7D8D6}" keepAlive="1" name="Query - chars" description="Connection to the 'chars' query in the workbook." type="5" refreshedVersion="6" background="1" saveData="1">
    <dbPr connection="Provider=Microsoft.Mashup.OleDb.1;Data Source=$Workbook$;Location=chars;Extended Properties=&quot;&quot;" command="SELECT * FROM [chars]"/>
  </connection>
  <connection id="2" xr16:uid="{422E4076-CDDD-4F22-9234-83A19E98212B}" keepAlive="1" name="Query - xmen" description="Connection to the 'xmen' query in the workbook." type="5" refreshedVersion="6" background="1" saveData="1">
    <dbPr connection="Provider=Microsoft.Mashup.OleDb.1;Data Source=$Workbook$;Location=xmen;Extended Properties=&quot;&quot;" command="SELECT * FROM [xmen]"/>
  </connection>
  <connection id="3" xr16:uid="{378AE2F3-27E7-4759-9547-F91A1DC5D8A6}" name="Query - xmen for chart" description="Connection to the 'xmen for chart' query in the workbook." type="100" refreshedVersion="6" minRefreshableVersion="5">
    <extLst>
      <ext xmlns:x15="http://schemas.microsoft.com/office/spreadsheetml/2010/11/main" uri="{DE250136-89BD-433C-8126-D09CA5730AF9}">
        <x15:connection id="9092c216-3223-46f3-aca2-ecf7d994cc90">
          <x15:oledbPr connection="Provider=Microsoft.Mashup.OleDb.1;Data Source=$Workbook$;Location=&quot;xmen for chart&quot;;Extended Properties=&quot;&quot;">
            <x15:dbTables>
              <x15:dbTable name="xmen for chart"/>
            </x15:dbTables>
          </x15:oledbPr>
        </x15:connection>
      </ext>
    </extLst>
  </connection>
  <connection id="4" xr16:uid="{FEA706DA-41F2-4050-9D33-BD5E5E706F03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<sst xmlns="http://schemas.openxmlformats.org/spreadsheetml/2006/main" count="6570" uniqueCount="104">
  <si>
    <t>issue</t>
  </si>
  <si>
    <t>costume</t>
  </si>
  <si>
    <t>character</t>
  </si>
  <si>
    <t>speech</t>
  </si>
  <si>
    <t>thought</t>
  </si>
  <si>
    <t>narrative</t>
  </si>
  <si>
    <t>depicted</t>
  </si>
  <si>
    <t>Costume</t>
  </si>
  <si>
    <t>Editor narration</t>
  </si>
  <si>
    <t>Omnipresent narration</t>
  </si>
  <si>
    <t>Professor X = Charles Xavier (no costume)*</t>
  </si>
  <si>
    <t>Wolverine = Logan</t>
  </si>
  <si>
    <t>Cyclops = Scott Summers</t>
  </si>
  <si>
    <t>Marvel Girl/Phoenix = Jean Grey</t>
  </si>
  <si>
    <t>Storm = Ororo Munroe</t>
  </si>
  <si>
    <t>Colossus = Peter (Piotr) Rasputin</t>
  </si>
  <si>
    <t>Nightcrawler = Kurt Wagner</t>
  </si>
  <si>
    <t>Banshee = Sean Cassidy</t>
  </si>
  <si>
    <t>Angel = Warren Worthington</t>
  </si>
  <si>
    <t>Ariel/Sprite/Shadowcat = Kitty Pryde</t>
  </si>
  <si>
    <t>Magneto = Erik Magnus*</t>
  </si>
  <si>
    <t>Phoenix(2) = Rachel Summers</t>
  </si>
  <si>
    <t>Rogue = Name Unknown</t>
  </si>
  <si>
    <t>Mystique = Name Unknown*</t>
  </si>
  <si>
    <t>Binary/Ms Marvel = Carol Danvers*</t>
  </si>
  <si>
    <t>Longshot = (unknown real name)</t>
  </si>
  <si>
    <t>Dazzler = Alison Blaire</t>
  </si>
  <si>
    <t>Psylocke = Elizabeth (Betsy) Braddock</t>
  </si>
  <si>
    <t>Moira MacTaggert (scientist helper)*</t>
  </si>
  <si>
    <t>Havok = Alex Summers</t>
  </si>
  <si>
    <t>Jubilee = Jubilation Lee</t>
  </si>
  <si>
    <t>Forge = Name Unknown*</t>
  </si>
  <si>
    <t>Gambit = Name Unknown</t>
  </si>
  <si>
    <t>Non-Costume</t>
  </si>
  <si>
    <t>x</t>
  </si>
  <si>
    <t xml:space="preserve">Professor X </t>
  </si>
  <si>
    <t xml:space="preserve">Wolverine </t>
  </si>
  <si>
    <t xml:space="preserve">Cyclops </t>
  </si>
  <si>
    <t xml:space="preserve">Marvel Girl/Phoenix </t>
  </si>
  <si>
    <t xml:space="preserve">Storm </t>
  </si>
  <si>
    <t xml:space="preserve">Colossus </t>
  </si>
  <si>
    <t xml:space="preserve">Nightcrawler </t>
  </si>
  <si>
    <t xml:space="preserve">Banshee </t>
  </si>
  <si>
    <t xml:space="preserve">Angel </t>
  </si>
  <si>
    <t xml:space="preserve">Ariel/Sprite/Shadowcat </t>
  </si>
  <si>
    <t xml:space="preserve">Magneto </t>
  </si>
  <si>
    <t xml:space="preserve">Phoenix(2) </t>
  </si>
  <si>
    <t xml:space="preserve">Rogue </t>
  </si>
  <si>
    <t xml:space="preserve">Mystique </t>
  </si>
  <si>
    <t xml:space="preserve">Binary/Ms Marvel </t>
  </si>
  <si>
    <t xml:space="preserve">Longshot </t>
  </si>
  <si>
    <t xml:space="preserve">Dazzler </t>
  </si>
  <si>
    <t xml:space="preserve">Psylocke </t>
  </si>
  <si>
    <t xml:space="preserve">Havok </t>
  </si>
  <si>
    <t xml:space="preserve">Jubilee </t>
  </si>
  <si>
    <t xml:space="preserve">Forge </t>
  </si>
  <si>
    <t xml:space="preserve">Gambit </t>
  </si>
  <si>
    <t>Appearances</t>
  </si>
  <si>
    <t>Total</t>
  </si>
  <si>
    <t>Gambit</t>
  </si>
  <si>
    <t>Magneto</t>
  </si>
  <si>
    <t>Nightcrawler</t>
  </si>
  <si>
    <t>Storm</t>
  </si>
  <si>
    <t>Wolverine</t>
  </si>
  <si>
    <t>Cyclops</t>
  </si>
  <si>
    <t>Colossus</t>
  </si>
  <si>
    <t>Banshee</t>
  </si>
  <si>
    <t>Havok</t>
  </si>
  <si>
    <t>Professor X</t>
  </si>
  <si>
    <t>Marvel Girl/Phoenix</t>
  </si>
  <si>
    <t>Ariel/Sprite/Shadowcat</t>
  </si>
  <si>
    <t>Dazzler</t>
  </si>
  <si>
    <t>Angel</t>
  </si>
  <si>
    <t>Mystique</t>
  </si>
  <si>
    <t>Phoenix(2)</t>
  </si>
  <si>
    <t>Binary/Ms Marvel</t>
  </si>
  <si>
    <t>Rogue</t>
  </si>
  <si>
    <t>Forge</t>
  </si>
  <si>
    <t>Psylocke</t>
  </si>
  <si>
    <t>Longshot</t>
  </si>
  <si>
    <t>Jubilee</t>
  </si>
  <si>
    <t>Rand</t>
  </si>
  <si>
    <t>Smoothed Data</t>
  </si>
  <si>
    <t>Issue</t>
  </si>
  <si>
    <t>Offset</t>
  </si>
  <si>
    <t>Min rand</t>
  </si>
  <si>
    <t>Max rand</t>
  </si>
  <si>
    <t>Smoothing size</t>
  </si>
  <si>
    <t>Top</t>
  </si>
  <si>
    <t>Top line</t>
  </si>
  <si>
    <t>Label Line</t>
  </si>
  <si>
    <t>Labels</t>
  </si>
  <si>
    <t>Label Location</t>
  </si>
  <si>
    <t>Error bar</t>
  </si>
  <si>
    <t>Depicted</t>
  </si>
  <si>
    <t>Speech Bubbles</t>
  </si>
  <si>
    <t>Thought Bubbles</t>
  </si>
  <si>
    <t>Selection</t>
  </si>
  <si>
    <t>Options</t>
  </si>
  <si>
    <t>Data from: https://github.com/Z3tt/TidyTuesday/tree/master/plots/2020_27</t>
  </si>
  <si>
    <t>X</t>
  </si>
  <si>
    <t>Column1</t>
  </si>
  <si>
    <t>Data Matrix</t>
  </si>
  <si>
    <t>Narrative Statements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</si>
</sst>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 tint="0.499984740745262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 tint="0.499984740745262"/>
      <name val="Calibri"/>
      <family val="2"/>
      <scheme val="minor"/>
    </font>
    <font>
      <u/>
      <sz val="9"/>
      <color theme="10"/>
      <name val="Calibri"/>
      <family val="2"/>
      <scheme val="minor"/>
    </font>
    <font>
      <sz val="8"/>
      <color theme="1" tint="0.499984740745262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rgb="FF000000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1" xfId="0" applyBorder="1"/>
    <xf numFmtId="0" fontId="1" fillId="3" borderId="1" xfId="0" applyFont="1" applyFill="1" applyBorder="1"/>
    <xf numFmtId="0" fontId="3" fillId="0" borderId="0" xfId="0" applyFont="1"/>
    <xf numFmtId="0" fontId="5" fillId="0" borderId="0" xfId="1" applyFont="1"/>
    <xf numFmtId="0" fontId="6" fillId="0" borderId="0" xfId="1" applyFont="1" applyAlignment="1">
      <alignment horizontal="center" vertical="center"/>
    </xf>
    <xf numFmtId="0" fontId="0" fillId="4" borderId="0" xfId="0" applyFill="1"/>
    <xf numFmtId="0" fontId="7" fillId="0" borderId="0" xfId="0" applyFont="1"/>
    <xf numFmtId="0" fontId="8" fillId="2" borderId="0" xfId="0" applyFont="1" applyFill="1"/>
    <xf numFmtId="0" fontId="8" fillId="0" borderId="0" xfId="0" applyFont="1"/>
    <xf numFmtId="0" fontId="0" fillId="5" borderId="0" xfId="0" applyFill="1"/>
    <xf numFmtId="0" fontId="9" fillId="5" borderId="0" xfId="0" applyFont="1" applyFill="1"/>
    <xf numFmtId="0" fontId="0" fillId="6" borderId="0" xfId="0" applyFill="1"/>
    <xf numFmtId="0" fontId="1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9">
    <dxf>
      <font>
        <b/>
        <i val="0"/>
        <color theme="1"/>
      </font>
      <fill>
        <patternFill>
          <bgColor theme="6" tint="0.39994506668294322"/>
        </patternFill>
      </fill>
    </dxf>
    <dxf>
      <font>
        <b/>
        <i val="0"/>
        <color theme="1"/>
      </font>
      <fill>
        <patternFill>
          <bgColor theme="6" tint="0.39994506668294322"/>
        </patternFill>
      </fill>
    </dxf>
    <dxf>
      <font>
        <b/>
        <i val="0"/>
        <color theme="1"/>
      </font>
      <fill>
        <patternFill>
          <bgColor theme="6" tint="0.39994506668294322"/>
        </patternFill>
      </fill>
    </dxf>
    <dxf>
      <font>
        <b/>
        <i val="0"/>
        <color theme="1"/>
      </font>
      <fill>
        <patternFill>
          <bgColor theme="6" tint="0.3999450666829432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54514C"/>
      <color rgb="FFB0ADA8"/>
      <color rgb="FF8A2085"/>
      <color rgb="FF1478A0"/>
      <color rgb="FF64C8E8"/>
      <color rgb="FFB52020"/>
      <color rgb="FFF28B8B"/>
      <color rgb="FFB8860B"/>
      <color rgb="FFF5C842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powerPivotData" Target="model/item.data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0"/>
          <c:order val="0"/>
          <c:tx>
            <c:strRef>
              <c:f>Matrix!$O$10</c:f>
              <c:strCache>
                <c:ptCount val="1"/>
                <c:pt idx="0">
                  <c:v>Rand</c:v>
                </c:pt>
              </c:strCache>
            </c:strRef>
          </c:tx>
          <c:spPr>
            <a:noFill/>
            <a:ln>
              <a:noFill/>
            </a:ln>
            <a:effectLst/>
          </c:spPr>
          <c:cat>
            <c:numRef>
              <c:f>Matrix!$B$11:$B$211</c:f>
              <c:numCache>
                <c:formatCode>General</c:formatCode>
                <c:ptCount val="201"/>
                <c:pt idx="0">
                  <c:v>83</c:v>
                </c:pt>
                <c:pt idx="1">
                  <c:v>85</c:v>
                </c:pt>
                <c:pt idx="2">
                  <c:v>87</c:v>
                </c:pt>
                <c:pt idx="3">
                  <c:v>89</c:v>
                </c:pt>
                <c:pt idx="4">
                  <c:v>91</c:v>
                </c:pt>
                <c:pt idx="5">
                  <c:v>93</c:v>
                </c:pt>
                <c:pt idx="6">
                  <c:v>95</c:v>
                </c:pt>
                <c:pt idx="7">
                  <c:v>97</c:v>
                </c:pt>
                <c:pt idx="8">
                  <c:v>98</c:v>
                </c:pt>
                <c:pt idx="9">
                  <c:v>99</c:v>
                </c:pt>
                <c:pt idx="10">
                  <c:v>100</c:v>
                </c:pt>
                <c:pt idx="11">
                  <c:v>101</c:v>
                </c:pt>
                <c:pt idx="12">
                  <c:v>102</c:v>
                </c:pt>
                <c:pt idx="13">
                  <c:v>103</c:v>
                </c:pt>
                <c:pt idx="14">
                  <c:v>104</c:v>
                </c:pt>
                <c:pt idx="15">
                  <c:v>105</c:v>
                </c:pt>
                <c:pt idx="16">
                  <c:v>106</c:v>
                </c:pt>
                <c:pt idx="17">
                  <c:v>107</c:v>
                </c:pt>
                <c:pt idx="18">
                  <c:v>108</c:v>
                </c:pt>
                <c:pt idx="19">
                  <c:v>109</c:v>
                </c:pt>
                <c:pt idx="20">
                  <c:v>110</c:v>
                </c:pt>
                <c:pt idx="21">
                  <c:v>111</c:v>
                </c:pt>
                <c:pt idx="22">
                  <c:v>112</c:v>
                </c:pt>
                <c:pt idx="23">
                  <c:v>113</c:v>
                </c:pt>
                <c:pt idx="24">
                  <c:v>114</c:v>
                </c:pt>
                <c:pt idx="25">
                  <c:v>115</c:v>
                </c:pt>
                <c:pt idx="26">
                  <c:v>116</c:v>
                </c:pt>
                <c:pt idx="27">
                  <c:v>117</c:v>
                </c:pt>
                <c:pt idx="28">
                  <c:v>118</c:v>
                </c:pt>
                <c:pt idx="29">
                  <c:v>119</c:v>
                </c:pt>
                <c:pt idx="30">
                  <c:v>120</c:v>
                </c:pt>
                <c:pt idx="31">
                  <c:v>121</c:v>
                </c:pt>
                <c:pt idx="32">
                  <c:v>122</c:v>
                </c:pt>
                <c:pt idx="33">
                  <c:v>123</c:v>
                </c:pt>
                <c:pt idx="34">
                  <c:v>124</c:v>
                </c:pt>
                <c:pt idx="35">
                  <c:v>125</c:v>
                </c:pt>
                <c:pt idx="36">
                  <c:v>126</c:v>
                </c:pt>
                <c:pt idx="37">
                  <c:v>127</c:v>
                </c:pt>
                <c:pt idx="38">
                  <c:v>128</c:v>
                </c:pt>
                <c:pt idx="39">
                  <c:v>129</c:v>
                </c:pt>
                <c:pt idx="40">
                  <c:v>130</c:v>
                </c:pt>
                <c:pt idx="41">
                  <c:v>131</c:v>
                </c:pt>
                <c:pt idx="42">
                  <c:v>132</c:v>
                </c:pt>
                <c:pt idx="43">
                  <c:v>133</c:v>
                </c:pt>
                <c:pt idx="44">
                  <c:v>134</c:v>
                </c:pt>
                <c:pt idx="45">
                  <c:v>135</c:v>
                </c:pt>
                <c:pt idx="46">
                  <c:v>136</c:v>
                </c:pt>
                <c:pt idx="47">
                  <c:v>137</c:v>
                </c:pt>
                <c:pt idx="48">
                  <c:v>138</c:v>
                </c:pt>
                <c:pt idx="49">
                  <c:v>139</c:v>
                </c:pt>
                <c:pt idx="50">
                  <c:v>140</c:v>
                </c:pt>
                <c:pt idx="51">
                  <c:v>141</c:v>
                </c:pt>
                <c:pt idx="52">
                  <c:v>142</c:v>
                </c:pt>
                <c:pt idx="53">
                  <c:v>143</c:v>
                </c:pt>
                <c:pt idx="54">
                  <c:v>144</c:v>
                </c:pt>
                <c:pt idx="55">
                  <c:v>145</c:v>
                </c:pt>
                <c:pt idx="56">
                  <c:v>146</c:v>
                </c:pt>
                <c:pt idx="57">
                  <c:v>147</c:v>
                </c:pt>
                <c:pt idx="58">
                  <c:v>148</c:v>
                </c:pt>
                <c:pt idx="59">
                  <c:v>149</c:v>
                </c:pt>
                <c:pt idx="60">
                  <c:v>150</c:v>
                </c:pt>
                <c:pt idx="61">
                  <c:v>151</c:v>
                </c:pt>
                <c:pt idx="62">
                  <c:v>152</c:v>
                </c:pt>
                <c:pt idx="63">
                  <c:v>153</c:v>
                </c:pt>
                <c:pt idx="64">
                  <c:v>154</c:v>
                </c:pt>
                <c:pt idx="65">
                  <c:v>155</c:v>
                </c:pt>
                <c:pt idx="66">
                  <c:v>156</c:v>
                </c:pt>
                <c:pt idx="67">
                  <c:v>157</c:v>
                </c:pt>
                <c:pt idx="68">
                  <c:v>158</c:v>
                </c:pt>
                <c:pt idx="69">
                  <c:v>159</c:v>
                </c:pt>
                <c:pt idx="70">
                  <c:v>160</c:v>
                </c:pt>
                <c:pt idx="71">
                  <c:v>161</c:v>
                </c:pt>
                <c:pt idx="72">
                  <c:v>162</c:v>
                </c:pt>
                <c:pt idx="73">
                  <c:v>163</c:v>
                </c:pt>
                <c:pt idx="74">
                  <c:v>164</c:v>
                </c:pt>
                <c:pt idx="75">
                  <c:v>165</c:v>
                </c:pt>
                <c:pt idx="76">
                  <c:v>166</c:v>
                </c:pt>
                <c:pt idx="77">
                  <c:v>167</c:v>
                </c:pt>
                <c:pt idx="78">
                  <c:v>168</c:v>
                </c:pt>
                <c:pt idx="79">
                  <c:v>169</c:v>
                </c:pt>
                <c:pt idx="80">
                  <c:v>170</c:v>
                </c:pt>
                <c:pt idx="81">
                  <c:v>171</c:v>
                </c:pt>
                <c:pt idx="82">
                  <c:v>172</c:v>
                </c:pt>
                <c:pt idx="83">
                  <c:v>173</c:v>
                </c:pt>
                <c:pt idx="84">
                  <c:v>174</c:v>
                </c:pt>
                <c:pt idx="85">
                  <c:v>175</c:v>
                </c:pt>
                <c:pt idx="86">
                  <c:v>176</c:v>
                </c:pt>
                <c:pt idx="87">
                  <c:v>177</c:v>
                </c:pt>
                <c:pt idx="88">
                  <c:v>178</c:v>
                </c:pt>
                <c:pt idx="89">
                  <c:v>179</c:v>
                </c:pt>
                <c:pt idx="90">
                  <c:v>180</c:v>
                </c:pt>
                <c:pt idx="91">
                  <c:v>181</c:v>
                </c:pt>
                <c:pt idx="92">
                  <c:v>182</c:v>
                </c:pt>
                <c:pt idx="93">
                  <c:v>183</c:v>
                </c:pt>
                <c:pt idx="94">
                  <c:v>184</c:v>
                </c:pt>
                <c:pt idx="95">
                  <c:v>185</c:v>
                </c:pt>
                <c:pt idx="96">
                  <c:v>186</c:v>
                </c:pt>
                <c:pt idx="97">
                  <c:v>187</c:v>
                </c:pt>
                <c:pt idx="98">
                  <c:v>188</c:v>
                </c:pt>
                <c:pt idx="99">
                  <c:v>189</c:v>
                </c:pt>
                <c:pt idx="100">
                  <c:v>190</c:v>
                </c:pt>
                <c:pt idx="101">
                  <c:v>191</c:v>
                </c:pt>
                <c:pt idx="102">
                  <c:v>192</c:v>
                </c:pt>
                <c:pt idx="103">
                  <c:v>193</c:v>
                </c:pt>
                <c:pt idx="104">
                  <c:v>194</c:v>
                </c:pt>
                <c:pt idx="105">
                  <c:v>195</c:v>
                </c:pt>
                <c:pt idx="106">
                  <c:v>196</c:v>
                </c:pt>
                <c:pt idx="107">
                  <c:v>197</c:v>
                </c:pt>
                <c:pt idx="108">
                  <c:v>198</c:v>
                </c:pt>
                <c:pt idx="109">
                  <c:v>199</c:v>
                </c:pt>
                <c:pt idx="110">
                  <c:v>200</c:v>
                </c:pt>
                <c:pt idx="111">
                  <c:v>201</c:v>
                </c:pt>
                <c:pt idx="112">
                  <c:v>202</c:v>
                </c:pt>
                <c:pt idx="113">
                  <c:v>203</c:v>
                </c:pt>
                <c:pt idx="114">
                  <c:v>204</c:v>
                </c:pt>
                <c:pt idx="115">
                  <c:v>205</c:v>
                </c:pt>
                <c:pt idx="116">
                  <c:v>206</c:v>
                </c:pt>
                <c:pt idx="117">
                  <c:v>207</c:v>
                </c:pt>
                <c:pt idx="118">
                  <c:v>208</c:v>
                </c:pt>
                <c:pt idx="119">
                  <c:v>209</c:v>
                </c:pt>
                <c:pt idx="120">
                  <c:v>210</c:v>
                </c:pt>
                <c:pt idx="121">
                  <c:v>211</c:v>
                </c:pt>
                <c:pt idx="122">
                  <c:v>212</c:v>
                </c:pt>
                <c:pt idx="123">
                  <c:v>213</c:v>
                </c:pt>
                <c:pt idx="124">
                  <c:v>214</c:v>
                </c:pt>
                <c:pt idx="125">
                  <c:v>215</c:v>
                </c:pt>
                <c:pt idx="126">
                  <c:v>216</c:v>
                </c:pt>
                <c:pt idx="127">
                  <c:v>217</c:v>
                </c:pt>
                <c:pt idx="128">
                  <c:v>218</c:v>
                </c:pt>
                <c:pt idx="129">
                  <c:v>219</c:v>
                </c:pt>
                <c:pt idx="130">
                  <c:v>220</c:v>
                </c:pt>
                <c:pt idx="131">
                  <c:v>221</c:v>
                </c:pt>
                <c:pt idx="132">
                  <c:v>222</c:v>
                </c:pt>
                <c:pt idx="133">
                  <c:v>223</c:v>
                </c:pt>
                <c:pt idx="134">
                  <c:v>224</c:v>
                </c:pt>
                <c:pt idx="135">
                  <c:v>225</c:v>
                </c:pt>
                <c:pt idx="136">
                  <c:v>226</c:v>
                </c:pt>
                <c:pt idx="137">
                  <c:v>227</c:v>
                </c:pt>
                <c:pt idx="138">
                  <c:v>228</c:v>
                </c:pt>
                <c:pt idx="139">
                  <c:v>229</c:v>
                </c:pt>
                <c:pt idx="140">
                  <c:v>230</c:v>
                </c:pt>
                <c:pt idx="141">
                  <c:v>231</c:v>
                </c:pt>
                <c:pt idx="142">
                  <c:v>232</c:v>
                </c:pt>
                <c:pt idx="143">
                  <c:v>233</c:v>
                </c:pt>
                <c:pt idx="144">
                  <c:v>234</c:v>
                </c:pt>
                <c:pt idx="145">
                  <c:v>235</c:v>
                </c:pt>
                <c:pt idx="146">
                  <c:v>236</c:v>
                </c:pt>
                <c:pt idx="147">
                  <c:v>237</c:v>
                </c:pt>
                <c:pt idx="148">
                  <c:v>238</c:v>
                </c:pt>
                <c:pt idx="149">
                  <c:v>239</c:v>
                </c:pt>
                <c:pt idx="150">
                  <c:v>240</c:v>
                </c:pt>
                <c:pt idx="151">
                  <c:v>241</c:v>
                </c:pt>
                <c:pt idx="152">
                  <c:v>242</c:v>
                </c:pt>
                <c:pt idx="153">
                  <c:v>243</c:v>
                </c:pt>
                <c:pt idx="154">
                  <c:v>244</c:v>
                </c:pt>
                <c:pt idx="155">
                  <c:v>245</c:v>
                </c:pt>
                <c:pt idx="156">
                  <c:v>246</c:v>
                </c:pt>
                <c:pt idx="157">
                  <c:v>247</c:v>
                </c:pt>
                <c:pt idx="158">
                  <c:v>248</c:v>
                </c:pt>
                <c:pt idx="159">
                  <c:v>249</c:v>
                </c:pt>
                <c:pt idx="160">
                  <c:v>250</c:v>
                </c:pt>
                <c:pt idx="161">
                  <c:v>251</c:v>
                </c:pt>
                <c:pt idx="162">
                  <c:v>252</c:v>
                </c:pt>
                <c:pt idx="163">
                  <c:v>253</c:v>
                </c:pt>
                <c:pt idx="164">
                  <c:v>254</c:v>
                </c:pt>
                <c:pt idx="165">
                  <c:v>255</c:v>
                </c:pt>
                <c:pt idx="166">
                  <c:v>256</c:v>
                </c:pt>
                <c:pt idx="167">
                  <c:v>257</c:v>
                </c:pt>
                <c:pt idx="168">
                  <c:v>258</c:v>
                </c:pt>
                <c:pt idx="169">
                  <c:v>259</c:v>
                </c:pt>
                <c:pt idx="170">
                  <c:v>260</c:v>
                </c:pt>
                <c:pt idx="171">
                  <c:v>261</c:v>
                </c:pt>
                <c:pt idx="172">
                  <c:v>262</c:v>
                </c:pt>
                <c:pt idx="173">
                  <c:v>263</c:v>
                </c:pt>
                <c:pt idx="174">
                  <c:v>264</c:v>
                </c:pt>
                <c:pt idx="175">
                  <c:v>265</c:v>
                </c:pt>
                <c:pt idx="176">
                  <c:v>266</c:v>
                </c:pt>
                <c:pt idx="177">
                  <c:v>267</c:v>
                </c:pt>
                <c:pt idx="178">
                  <c:v>268</c:v>
                </c:pt>
                <c:pt idx="179">
                  <c:v>269</c:v>
                </c:pt>
                <c:pt idx="180">
                  <c:v>270</c:v>
                </c:pt>
                <c:pt idx="181">
                  <c:v>271</c:v>
                </c:pt>
                <c:pt idx="182">
                  <c:v>272</c:v>
                </c:pt>
                <c:pt idx="183">
                  <c:v>273</c:v>
                </c:pt>
                <c:pt idx="184">
                  <c:v>274</c:v>
                </c:pt>
                <c:pt idx="185">
                  <c:v>275</c:v>
                </c:pt>
                <c:pt idx="186">
                  <c:v>276</c:v>
                </c:pt>
                <c:pt idx="187">
                  <c:v>277</c:v>
                </c:pt>
                <c:pt idx="188">
                  <c:v>278</c:v>
                </c:pt>
                <c:pt idx="189">
                  <c:v>279</c:v>
                </c:pt>
                <c:pt idx="190">
                  <c:v>280</c:v>
                </c:pt>
                <c:pt idx="191">
                  <c:v>282</c:v>
                </c:pt>
                <c:pt idx="192">
                  <c:v>284</c:v>
                </c:pt>
                <c:pt idx="193">
                  <c:v>286</c:v>
                </c:pt>
                <c:pt idx="194">
                  <c:v>288</c:v>
                </c:pt>
                <c:pt idx="195">
                  <c:v>290</c:v>
                </c:pt>
                <c:pt idx="196">
                  <c:v>292</c:v>
                </c:pt>
                <c:pt idx="197">
                  <c:v>294</c:v>
                </c:pt>
                <c:pt idx="198">
                  <c:v>296</c:v>
                </c:pt>
                <c:pt idx="199">
                  <c:v>298</c:v>
                </c:pt>
                <c:pt idx="200">
                  <c:v>300</c:v>
                </c:pt>
              </c:numCache>
            </c:numRef>
          </c:cat>
          <c:val>
            <c:numRef>
              <c:f>Matrix!$O$11:$O$211</c:f>
              <c:numCache>
                <c:formatCode>General</c:formatCode>
                <c:ptCount val="201"/>
                <c:pt idx="0">
                  <c:v>162</c:v>
                </c:pt>
                <c:pt idx="1">
                  <c:v>164</c:v>
                </c:pt>
                <c:pt idx="2">
                  <c:v>165.83333333333334</c:v>
                </c:pt>
                <c:pt idx="3">
                  <c:v>163.57142857142858</c:v>
                </c:pt>
                <c:pt idx="4">
                  <c:v>161.75</c:v>
                </c:pt>
                <c:pt idx="5">
                  <c:v>159.375</c:v>
                </c:pt>
                <c:pt idx="6">
                  <c:v>157.625</c:v>
                </c:pt>
                <c:pt idx="7">
                  <c:v>154.125</c:v>
                </c:pt>
                <c:pt idx="8">
                  <c:v>156.125</c:v>
                </c:pt>
                <c:pt idx="9">
                  <c:v>155</c:v>
                </c:pt>
                <c:pt idx="10">
                  <c:v>152.875</c:v>
                </c:pt>
                <c:pt idx="11">
                  <c:v>152.75</c:v>
                </c:pt>
                <c:pt idx="12">
                  <c:v>152.375</c:v>
                </c:pt>
                <c:pt idx="13">
                  <c:v>152.25</c:v>
                </c:pt>
                <c:pt idx="14">
                  <c:v>153.125</c:v>
                </c:pt>
                <c:pt idx="15">
                  <c:v>156.875</c:v>
                </c:pt>
                <c:pt idx="16">
                  <c:v>155.875</c:v>
                </c:pt>
                <c:pt idx="17">
                  <c:v>156</c:v>
                </c:pt>
                <c:pt idx="18">
                  <c:v>156.25</c:v>
                </c:pt>
                <c:pt idx="19">
                  <c:v>157.875</c:v>
                </c:pt>
                <c:pt idx="20">
                  <c:v>161.25</c:v>
                </c:pt>
                <c:pt idx="21">
                  <c:v>161.75</c:v>
                </c:pt>
                <c:pt idx="22">
                  <c:v>164</c:v>
                </c:pt>
                <c:pt idx="23">
                  <c:v>161.375</c:v>
                </c:pt>
                <c:pt idx="24">
                  <c:v>161</c:v>
                </c:pt>
                <c:pt idx="25">
                  <c:v>161.25</c:v>
                </c:pt>
                <c:pt idx="26">
                  <c:v>161.625</c:v>
                </c:pt>
                <c:pt idx="27">
                  <c:v>160.75</c:v>
                </c:pt>
                <c:pt idx="28">
                  <c:v>158.75</c:v>
                </c:pt>
                <c:pt idx="29">
                  <c:v>160</c:v>
                </c:pt>
                <c:pt idx="30">
                  <c:v>160.125</c:v>
                </c:pt>
                <c:pt idx="31">
                  <c:v>161.125</c:v>
                </c:pt>
                <c:pt idx="32">
                  <c:v>163.25</c:v>
                </c:pt>
                <c:pt idx="33">
                  <c:v>164</c:v>
                </c:pt>
                <c:pt idx="34">
                  <c:v>162.625</c:v>
                </c:pt>
                <c:pt idx="35">
                  <c:v>162.625</c:v>
                </c:pt>
                <c:pt idx="36">
                  <c:v>162.375</c:v>
                </c:pt>
                <c:pt idx="37">
                  <c:v>163</c:v>
                </c:pt>
                <c:pt idx="38">
                  <c:v>162.5</c:v>
                </c:pt>
                <c:pt idx="39">
                  <c:v>164</c:v>
                </c:pt>
                <c:pt idx="40">
                  <c:v>162</c:v>
                </c:pt>
                <c:pt idx="41">
                  <c:v>160.625</c:v>
                </c:pt>
                <c:pt idx="42">
                  <c:v>161.375</c:v>
                </c:pt>
                <c:pt idx="43">
                  <c:v>163</c:v>
                </c:pt>
                <c:pt idx="44">
                  <c:v>161.125</c:v>
                </c:pt>
                <c:pt idx="45">
                  <c:v>161.5</c:v>
                </c:pt>
                <c:pt idx="46">
                  <c:v>158.625</c:v>
                </c:pt>
                <c:pt idx="47">
                  <c:v>158.375</c:v>
                </c:pt>
                <c:pt idx="48">
                  <c:v>160.375</c:v>
                </c:pt>
                <c:pt idx="49">
                  <c:v>159.5</c:v>
                </c:pt>
                <c:pt idx="50">
                  <c:v>158.125</c:v>
                </c:pt>
                <c:pt idx="51">
                  <c:v>156.5</c:v>
                </c:pt>
                <c:pt idx="52">
                  <c:v>160.75</c:v>
                </c:pt>
                <c:pt idx="53">
                  <c:v>161.375</c:v>
                </c:pt>
                <c:pt idx="54">
                  <c:v>163.25</c:v>
                </c:pt>
                <c:pt idx="55">
                  <c:v>161.875</c:v>
                </c:pt>
                <c:pt idx="56">
                  <c:v>162.625</c:v>
                </c:pt>
                <c:pt idx="57">
                  <c:v>162.875</c:v>
                </c:pt>
                <c:pt idx="58">
                  <c:v>166.1875</c:v>
                </c:pt>
                <c:pt idx="59">
                  <c:v>165.5625</c:v>
                </c:pt>
                <c:pt idx="60">
                  <c:v>163.5625</c:v>
                </c:pt>
                <c:pt idx="61">
                  <c:v>162.6875</c:v>
                </c:pt>
                <c:pt idx="62">
                  <c:v>161</c:v>
                </c:pt>
                <c:pt idx="63">
                  <c:v>160.625</c:v>
                </c:pt>
                <c:pt idx="64">
                  <c:v>158.25</c:v>
                </c:pt>
                <c:pt idx="65">
                  <c:v>159.5</c:v>
                </c:pt>
                <c:pt idx="66">
                  <c:v>156.0625</c:v>
                </c:pt>
                <c:pt idx="67">
                  <c:v>156.4375</c:v>
                </c:pt>
                <c:pt idx="68">
                  <c:v>155.4375</c:v>
                </c:pt>
                <c:pt idx="69">
                  <c:v>143.625</c:v>
                </c:pt>
                <c:pt idx="70">
                  <c:v>143</c:v>
                </c:pt>
                <c:pt idx="71">
                  <c:v>143.375</c:v>
                </c:pt>
                <c:pt idx="72">
                  <c:v>145.125</c:v>
                </c:pt>
                <c:pt idx="73">
                  <c:v>142.3125</c:v>
                </c:pt>
                <c:pt idx="74">
                  <c:v>144.5625</c:v>
                </c:pt>
                <c:pt idx="75">
                  <c:v>146.4375</c:v>
                </c:pt>
                <c:pt idx="76">
                  <c:v>149.1875</c:v>
                </c:pt>
                <c:pt idx="77">
                  <c:v>161.625</c:v>
                </c:pt>
                <c:pt idx="78">
                  <c:v>163.5625</c:v>
                </c:pt>
                <c:pt idx="79">
                  <c:v>161.375</c:v>
                </c:pt>
                <c:pt idx="80">
                  <c:v>158.6875</c:v>
                </c:pt>
                <c:pt idx="81">
                  <c:v>161.6875</c:v>
                </c:pt>
                <c:pt idx="82">
                  <c:v>160.5625</c:v>
                </c:pt>
                <c:pt idx="83">
                  <c:v>160.5625</c:v>
                </c:pt>
                <c:pt idx="84">
                  <c:v>159.0625</c:v>
                </c:pt>
                <c:pt idx="85">
                  <c:v>159.1875</c:v>
                </c:pt>
                <c:pt idx="86">
                  <c:v>158.9375</c:v>
                </c:pt>
                <c:pt idx="87">
                  <c:v>160.9375</c:v>
                </c:pt>
                <c:pt idx="88">
                  <c:v>164.125</c:v>
                </c:pt>
                <c:pt idx="89">
                  <c:v>162.5625</c:v>
                </c:pt>
                <c:pt idx="90">
                  <c:v>163.4375</c:v>
                </c:pt>
                <c:pt idx="91">
                  <c:v>161.8125</c:v>
                </c:pt>
                <c:pt idx="92">
                  <c:v>160.125</c:v>
                </c:pt>
                <c:pt idx="93">
                  <c:v>159</c:v>
                </c:pt>
                <c:pt idx="94">
                  <c:v>159.125</c:v>
                </c:pt>
                <c:pt idx="95">
                  <c:v>159.8125</c:v>
                </c:pt>
                <c:pt idx="96">
                  <c:v>158.1875</c:v>
                </c:pt>
                <c:pt idx="97">
                  <c:v>157.1875</c:v>
                </c:pt>
                <c:pt idx="98">
                  <c:v>155.3125</c:v>
                </c:pt>
                <c:pt idx="99">
                  <c:v>154.375</c:v>
                </c:pt>
                <c:pt idx="100">
                  <c:v>156.75</c:v>
                </c:pt>
                <c:pt idx="101">
                  <c:v>155.375</c:v>
                </c:pt>
                <c:pt idx="102">
                  <c:v>155.5</c:v>
                </c:pt>
                <c:pt idx="103">
                  <c:v>154.5</c:v>
                </c:pt>
                <c:pt idx="104">
                  <c:v>153.5</c:v>
                </c:pt>
                <c:pt idx="105">
                  <c:v>153.625</c:v>
                </c:pt>
                <c:pt idx="106">
                  <c:v>154.375</c:v>
                </c:pt>
                <c:pt idx="107">
                  <c:v>157</c:v>
                </c:pt>
                <c:pt idx="108">
                  <c:v>157.4375</c:v>
                </c:pt>
                <c:pt idx="109">
                  <c:v>158.3125</c:v>
                </c:pt>
                <c:pt idx="110">
                  <c:v>158.0625</c:v>
                </c:pt>
                <c:pt idx="111">
                  <c:v>157.8125</c:v>
                </c:pt>
                <c:pt idx="112">
                  <c:v>157.5625</c:v>
                </c:pt>
                <c:pt idx="113">
                  <c:v>160.3125</c:v>
                </c:pt>
                <c:pt idx="114">
                  <c:v>160.4375</c:v>
                </c:pt>
                <c:pt idx="115">
                  <c:v>159.5625</c:v>
                </c:pt>
                <c:pt idx="116">
                  <c:v>157.75</c:v>
                </c:pt>
                <c:pt idx="117">
                  <c:v>156.8125</c:v>
                </c:pt>
                <c:pt idx="118">
                  <c:v>157.1875</c:v>
                </c:pt>
                <c:pt idx="119">
                  <c:v>157.6875</c:v>
                </c:pt>
                <c:pt idx="120">
                  <c:v>156.9375</c:v>
                </c:pt>
                <c:pt idx="121">
                  <c:v>155.1875</c:v>
                </c:pt>
                <c:pt idx="122">
                  <c:v>155.25</c:v>
                </c:pt>
                <c:pt idx="123">
                  <c:v>153.3125</c:v>
                </c:pt>
                <c:pt idx="124">
                  <c:v>155.75</c:v>
                </c:pt>
                <c:pt idx="125">
                  <c:v>155.6875</c:v>
                </c:pt>
                <c:pt idx="126">
                  <c:v>156.1875</c:v>
                </c:pt>
                <c:pt idx="127">
                  <c:v>155.0625</c:v>
                </c:pt>
                <c:pt idx="128">
                  <c:v>155.9375</c:v>
                </c:pt>
                <c:pt idx="129">
                  <c:v>157.5625</c:v>
                </c:pt>
                <c:pt idx="130">
                  <c:v>159.125</c:v>
                </c:pt>
                <c:pt idx="131">
                  <c:v>159</c:v>
                </c:pt>
                <c:pt idx="132">
                  <c:v>158.625</c:v>
                </c:pt>
                <c:pt idx="133">
                  <c:v>157.75</c:v>
                </c:pt>
                <c:pt idx="134">
                  <c:v>156.875</c:v>
                </c:pt>
                <c:pt idx="135">
                  <c:v>159.5</c:v>
                </c:pt>
                <c:pt idx="136">
                  <c:v>161.125</c:v>
                </c:pt>
                <c:pt idx="137">
                  <c:v>158.75</c:v>
                </c:pt>
                <c:pt idx="138">
                  <c:v>156.25</c:v>
                </c:pt>
                <c:pt idx="139">
                  <c:v>156.5</c:v>
                </c:pt>
                <c:pt idx="140">
                  <c:v>155.625</c:v>
                </c:pt>
                <c:pt idx="141">
                  <c:v>157.5625</c:v>
                </c:pt>
                <c:pt idx="142">
                  <c:v>157.75</c:v>
                </c:pt>
                <c:pt idx="143">
                  <c:v>155</c:v>
                </c:pt>
                <c:pt idx="144">
                  <c:v>154.625</c:v>
                </c:pt>
                <c:pt idx="145">
                  <c:v>156.5</c:v>
                </c:pt>
                <c:pt idx="146">
                  <c:v>157.25</c:v>
                </c:pt>
                <c:pt idx="147">
                  <c:v>160</c:v>
                </c:pt>
                <c:pt idx="148">
                  <c:v>160.875</c:v>
                </c:pt>
                <c:pt idx="149">
                  <c:v>159.1875</c:v>
                </c:pt>
                <c:pt idx="150">
                  <c:v>158.625</c:v>
                </c:pt>
                <c:pt idx="151">
                  <c:v>161.75</c:v>
                </c:pt>
                <c:pt idx="152">
                  <c:v>161.25</c:v>
                </c:pt>
                <c:pt idx="153">
                  <c:v>161.625</c:v>
                </c:pt>
                <c:pt idx="154">
                  <c:v>162.5</c:v>
                </c:pt>
                <c:pt idx="155">
                  <c:v>159.5</c:v>
                </c:pt>
                <c:pt idx="156">
                  <c:v>159.375</c:v>
                </c:pt>
                <c:pt idx="157">
                  <c:v>159.375</c:v>
                </c:pt>
                <c:pt idx="158">
                  <c:v>156.5</c:v>
                </c:pt>
                <c:pt idx="159">
                  <c:v>153.25</c:v>
                </c:pt>
                <c:pt idx="160">
                  <c:v>152.875</c:v>
                </c:pt>
                <c:pt idx="161">
                  <c:v>150.125</c:v>
                </c:pt>
                <c:pt idx="162">
                  <c:v>151.25</c:v>
                </c:pt>
                <c:pt idx="163">
                  <c:v>154.875</c:v>
                </c:pt>
                <c:pt idx="164">
                  <c:v>154.875</c:v>
                </c:pt>
                <c:pt idx="165">
                  <c:v>156.25</c:v>
                </c:pt>
                <c:pt idx="166">
                  <c:v>159.875</c:v>
                </c:pt>
                <c:pt idx="167">
                  <c:v>162</c:v>
                </c:pt>
                <c:pt idx="168">
                  <c:v>162.375</c:v>
                </c:pt>
                <c:pt idx="169">
                  <c:v>162.25</c:v>
                </c:pt>
                <c:pt idx="170">
                  <c:v>160.625</c:v>
                </c:pt>
                <c:pt idx="171">
                  <c:v>159.375</c:v>
                </c:pt>
                <c:pt idx="172">
                  <c:v>157.375</c:v>
                </c:pt>
                <c:pt idx="173">
                  <c:v>156.125</c:v>
                </c:pt>
                <c:pt idx="174">
                  <c:v>155.5</c:v>
                </c:pt>
                <c:pt idx="175">
                  <c:v>153.875</c:v>
                </c:pt>
                <c:pt idx="176">
                  <c:v>154.25</c:v>
                </c:pt>
                <c:pt idx="177">
                  <c:v>156.125</c:v>
                </c:pt>
                <c:pt idx="178">
                  <c:v>157</c:v>
                </c:pt>
                <c:pt idx="179">
                  <c:v>155.875</c:v>
                </c:pt>
                <c:pt idx="180">
                  <c:v>157.625</c:v>
                </c:pt>
                <c:pt idx="181">
                  <c:v>153.625</c:v>
                </c:pt>
                <c:pt idx="182">
                  <c:v>150</c:v>
                </c:pt>
                <c:pt idx="183">
                  <c:v>152.375</c:v>
                </c:pt>
                <c:pt idx="184">
                  <c:v>151</c:v>
                </c:pt>
                <c:pt idx="185">
                  <c:v>152.25</c:v>
                </c:pt>
                <c:pt idx="186">
                  <c:v>153.375</c:v>
                </c:pt>
                <c:pt idx="187">
                  <c:v>153.375</c:v>
                </c:pt>
                <c:pt idx="188">
                  <c:v>150.5</c:v>
                </c:pt>
                <c:pt idx="189">
                  <c:v>154.25</c:v>
                </c:pt>
                <c:pt idx="190">
                  <c:v>157.75</c:v>
                </c:pt>
                <c:pt idx="191">
                  <c:v>155</c:v>
                </c:pt>
                <c:pt idx="192">
                  <c:v>156.375</c:v>
                </c:pt>
                <c:pt idx="193">
                  <c:v>153.625</c:v>
                </c:pt>
                <c:pt idx="194">
                  <c:v>152.5</c:v>
                </c:pt>
                <c:pt idx="195">
                  <c:v>153.25</c:v>
                </c:pt>
                <c:pt idx="196">
                  <c:v>154.375</c:v>
                </c:pt>
                <c:pt idx="197">
                  <c:v>156.125</c:v>
                </c:pt>
                <c:pt idx="198">
                  <c:v>156.57142857142858</c:v>
                </c:pt>
                <c:pt idx="199">
                  <c:v>157.83333333333334</c:v>
                </c:pt>
                <c:pt idx="200">
                  <c:v>157.4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77-4BF5-A0BF-755925754142}"/>
            </c:ext>
          </c:extLst>
        </c:ser>
        <c:ser>
          <c:idx val="1"/>
          <c:order val="1"/>
          <c:tx>
            <c:strRef>
              <c:f>Matrix!$P$10</c:f>
              <c:strCache>
                <c:ptCount val="1"/>
                <c:pt idx="0">
                  <c:v>Storm (C)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cat>
            <c:numRef>
              <c:f>Matrix!$B$11:$B$211</c:f>
              <c:numCache>
                <c:formatCode>General</c:formatCode>
                <c:ptCount val="201"/>
                <c:pt idx="0">
                  <c:v>83</c:v>
                </c:pt>
                <c:pt idx="1">
                  <c:v>85</c:v>
                </c:pt>
                <c:pt idx="2">
                  <c:v>87</c:v>
                </c:pt>
                <c:pt idx="3">
                  <c:v>89</c:v>
                </c:pt>
                <c:pt idx="4">
                  <c:v>91</c:v>
                </c:pt>
                <c:pt idx="5">
                  <c:v>93</c:v>
                </c:pt>
                <c:pt idx="6">
                  <c:v>95</c:v>
                </c:pt>
                <c:pt idx="7">
                  <c:v>97</c:v>
                </c:pt>
                <c:pt idx="8">
                  <c:v>98</c:v>
                </c:pt>
                <c:pt idx="9">
                  <c:v>99</c:v>
                </c:pt>
                <c:pt idx="10">
                  <c:v>100</c:v>
                </c:pt>
                <c:pt idx="11">
                  <c:v>101</c:v>
                </c:pt>
                <c:pt idx="12">
                  <c:v>102</c:v>
                </c:pt>
                <c:pt idx="13">
                  <c:v>103</c:v>
                </c:pt>
                <c:pt idx="14">
                  <c:v>104</c:v>
                </c:pt>
                <c:pt idx="15">
                  <c:v>105</c:v>
                </c:pt>
                <c:pt idx="16">
                  <c:v>106</c:v>
                </c:pt>
                <c:pt idx="17">
                  <c:v>107</c:v>
                </c:pt>
                <c:pt idx="18">
                  <c:v>108</c:v>
                </c:pt>
                <c:pt idx="19">
                  <c:v>109</c:v>
                </c:pt>
                <c:pt idx="20">
                  <c:v>110</c:v>
                </c:pt>
                <c:pt idx="21">
                  <c:v>111</c:v>
                </c:pt>
                <c:pt idx="22">
                  <c:v>112</c:v>
                </c:pt>
                <c:pt idx="23">
                  <c:v>113</c:v>
                </c:pt>
                <c:pt idx="24">
                  <c:v>114</c:v>
                </c:pt>
                <c:pt idx="25">
                  <c:v>115</c:v>
                </c:pt>
                <c:pt idx="26">
                  <c:v>116</c:v>
                </c:pt>
                <c:pt idx="27">
                  <c:v>117</c:v>
                </c:pt>
                <c:pt idx="28">
                  <c:v>118</c:v>
                </c:pt>
                <c:pt idx="29">
                  <c:v>119</c:v>
                </c:pt>
                <c:pt idx="30">
                  <c:v>120</c:v>
                </c:pt>
                <c:pt idx="31">
                  <c:v>121</c:v>
                </c:pt>
                <c:pt idx="32">
                  <c:v>122</c:v>
                </c:pt>
                <c:pt idx="33">
                  <c:v>123</c:v>
                </c:pt>
                <c:pt idx="34">
                  <c:v>124</c:v>
                </c:pt>
                <c:pt idx="35">
                  <c:v>125</c:v>
                </c:pt>
                <c:pt idx="36">
                  <c:v>126</c:v>
                </c:pt>
                <c:pt idx="37">
                  <c:v>127</c:v>
                </c:pt>
                <c:pt idx="38">
                  <c:v>128</c:v>
                </c:pt>
                <c:pt idx="39">
                  <c:v>129</c:v>
                </c:pt>
                <c:pt idx="40">
                  <c:v>130</c:v>
                </c:pt>
                <c:pt idx="41">
                  <c:v>131</c:v>
                </c:pt>
                <c:pt idx="42">
                  <c:v>132</c:v>
                </c:pt>
                <c:pt idx="43">
                  <c:v>133</c:v>
                </c:pt>
                <c:pt idx="44">
                  <c:v>134</c:v>
                </c:pt>
                <c:pt idx="45">
                  <c:v>135</c:v>
                </c:pt>
                <c:pt idx="46">
                  <c:v>136</c:v>
                </c:pt>
                <c:pt idx="47">
                  <c:v>137</c:v>
                </c:pt>
                <c:pt idx="48">
                  <c:v>138</c:v>
                </c:pt>
                <c:pt idx="49">
                  <c:v>139</c:v>
                </c:pt>
                <c:pt idx="50">
                  <c:v>140</c:v>
                </c:pt>
                <c:pt idx="51">
                  <c:v>141</c:v>
                </c:pt>
                <c:pt idx="52">
                  <c:v>142</c:v>
                </c:pt>
                <c:pt idx="53">
                  <c:v>143</c:v>
                </c:pt>
                <c:pt idx="54">
                  <c:v>144</c:v>
                </c:pt>
                <c:pt idx="55">
                  <c:v>145</c:v>
                </c:pt>
                <c:pt idx="56">
                  <c:v>146</c:v>
                </c:pt>
                <c:pt idx="57">
                  <c:v>147</c:v>
                </c:pt>
                <c:pt idx="58">
                  <c:v>148</c:v>
                </c:pt>
                <c:pt idx="59">
                  <c:v>149</c:v>
                </c:pt>
                <c:pt idx="60">
                  <c:v>150</c:v>
                </c:pt>
                <c:pt idx="61">
                  <c:v>151</c:v>
                </c:pt>
                <c:pt idx="62">
                  <c:v>152</c:v>
                </c:pt>
                <c:pt idx="63">
                  <c:v>153</c:v>
                </c:pt>
                <c:pt idx="64">
                  <c:v>154</c:v>
                </c:pt>
                <c:pt idx="65">
                  <c:v>155</c:v>
                </c:pt>
                <c:pt idx="66">
                  <c:v>156</c:v>
                </c:pt>
                <c:pt idx="67">
                  <c:v>157</c:v>
                </c:pt>
                <c:pt idx="68">
                  <c:v>158</c:v>
                </c:pt>
                <c:pt idx="69">
                  <c:v>159</c:v>
                </c:pt>
                <c:pt idx="70">
                  <c:v>160</c:v>
                </c:pt>
                <c:pt idx="71">
                  <c:v>161</c:v>
                </c:pt>
                <c:pt idx="72">
                  <c:v>162</c:v>
                </c:pt>
                <c:pt idx="73">
                  <c:v>163</c:v>
                </c:pt>
                <c:pt idx="74">
                  <c:v>164</c:v>
                </c:pt>
                <c:pt idx="75">
                  <c:v>165</c:v>
                </c:pt>
                <c:pt idx="76">
                  <c:v>166</c:v>
                </c:pt>
                <c:pt idx="77">
                  <c:v>167</c:v>
                </c:pt>
                <c:pt idx="78">
                  <c:v>168</c:v>
                </c:pt>
                <c:pt idx="79">
                  <c:v>169</c:v>
                </c:pt>
                <c:pt idx="80">
                  <c:v>170</c:v>
                </c:pt>
                <c:pt idx="81">
                  <c:v>171</c:v>
                </c:pt>
                <c:pt idx="82">
                  <c:v>172</c:v>
                </c:pt>
                <c:pt idx="83">
                  <c:v>173</c:v>
                </c:pt>
                <c:pt idx="84">
                  <c:v>174</c:v>
                </c:pt>
                <c:pt idx="85">
                  <c:v>175</c:v>
                </c:pt>
                <c:pt idx="86">
                  <c:v>176</c:v>
                </c:pt>
                <c:pt idx="87">
                  <c:v>177</c:v>
                </c:pt>
                <c:pt idx="88">
                  <c:v>178</c:v>
                </c:pt>
                <c:pt idx="89">
                  <c:v>179</c:v>
                </c:pt>
                <c:pt idx="90">
                  <c:v>180</c:v>
                </c:pt>
                <c:pt idx="91">
                  <c:v>181</c:v>
                </c:pt>
                <c:pt idx="92">
                  <c:v>182</c:v>
                </c:pt>
                <c:pt idx="93">
                  <c:v>183</c:v>
                </c:pt>
                <c:pt idx="94">
                  <c:v>184</c:v>
                </c:pt>
                <c:pt idx="95">
                  <c:v>185</c:v>
                </c:pt>
                <c:pt idx="96">
                  <c:v>186</c:v>
                </c:pt>
                <c:pt idx="97">
                  <c:v>187</c:v>
                </c:pt>
                <c:pt idx="98">
                  <c:v>188</c:v>
                </c:pt>
                <c:pt idx="99">
                  <c:v>189</c:v>
                </c:pt>
                <c:pt idx="100">
                  <c:v>190</c:v>
                </c:pt>
                <c:pt idx="101">
                  <c:v>191</c:v>
                </c:pt>
                <c:pt idx="102">
                  <c:v>192</c:v>
                </c:pt>
                <c:pt idx="103">
                  <c:v>193</c:v>
                </c:pt>
                <c:pt idx="104">
                  <c:v>194</c:v>
                </c:pt>
                <c:pt idx="105">
                  <c:v>195</c:v>
                </c:pt>
                <c:pt idx="106">
                  <c:v>196</c:v>
                </c:pt>
                <c:pt idx="107">
                  <c:v>197</c:v>
                </c:pt>
                <c:pt idx="108">
                  <c:v>198</c:v>
                </c:pt>
                <c:pt idx="109">
                  <c:v>199</c:v>
                </c:pt>
                <c:pt idx="110">
                  <c:v>200</c:v>
                </c:pt>
                <c:pt idx="111">
                  <c:v>201</c:v>
                </c:pt>
                <c:pt idx="112">
                  <c:v>202</c:v>
                </c:pt>
                <c:pt idx="113">
                  <c:v>203</c:v>
                </c:pt>
                <c:pt idx="114">
                  <c:v>204</c:v>
                </c:pt>
                <c:pt idx="115">
                  <c:v>205</c:v>
                </c:pt>
                <c:pt idx="116">
                  <c:v>206</c:v>
                </c:pt>
                <c:pt idx="117">
                  <c:v>207</c:v>
                </c:pt>
                <c:pt idx="118">
                  <c:v>208</c:v>
                </c:pt>
                <c:pt idx="119">
                  <c:v>209</c:v>
                </c:pt>
                <c:pt idx="120">
                  <c:v>210</c:v>
                </c:pt>
                <c:pt idx="121">
                  <c:v>211</c:v>
                </c:pt>
                <c:pt idx="122">
                  <c:v>212</c:v>
                </c:pt>
                <c:pt idx="123">
                  <c:v>213</c:v>
                </c:pt>
                <c:pt idx="124">
                  <c:v>214</c:v>
                </c:pt>
                <c:pt idx="125">
                  <c:v>215</c:v>
                </c:pt>
                <c:pt idx="126">
                  <c:v>216</c:v>
                </c:pt>
                <c:pt idx="127">
                  <c:v>217</c:v>
                </c:pt>
                <c:pt idx="128">
                  <c:v>218</c:v>
                </c:pt>
                <c:pt idx="129">
                  <c:v>219</c:v>
                </c:pt>
                <c:pt idx="130">
                  <c:v>220</c:v>
                </c:pt>
                <c:pt idx="131">
                  <c:v>221</c:v>
                </c:pt>
                <c:pt idx="132">
                  <c:v>222</c:v>
                </c:pt>
                <c:pt idx="133">
                  <c:v>223</c:v>
                </c:pt>
                <c:pt idx="134">
                  <c:v>224</c:v>
                </c:pt>
                <c:pt idx="135">
                  <c:v>225</c:v>
                </c:pt>
                <c:pt idx="136">
                  <c:v>226</c:v>
                </c:pt>
                <c:pt idx="137">
                  <c:v>227</c:v>
                </c:pt>
                <c:pt idx="138">
                  <c:v>228</c:v>
                </c:pt>
                <c:pt idx="139">
                  <c:v>229</c:v>
                </c:pt>
                <c:pt idx="140">
                  <c:v>230</c:v>
                </c:pt>
                <c:pt idx="141">
                  <c:v>231</c:v>
                </c:pt>
                <c:pt idx="142">
                  <c:v>232</c:v>
                </c:pt>
                <c:pt idx="143">
                  <c:v>233</c:v>
                </c:pt>
                <c:pt idx="144">
                  <c:v>234</c:v>
                </c:pt>
                <c:pt idx="145">
                  <c:v>235</c:v>
                </c:pt>
                <c:pt idx="146">
                  <c:v>236</c:v>
                </c:pt>
                <c:pt idx="147">
                  <c:v>237</c:v>
                </c:pt>
                <c:pt idx="148">
                  <c:v>238</c:v>
                </c:pt>
                <c:pt idx="149">
                  <c:v>239</c:v>
                </c:pt>
                <c:pt idx="150">
                  <c:v>240</c:v>
                </c:pt>
                <c:pt idx="151">
                  <c:v>241</c:v>
                </c:pt>
                <c:pt idx="152">
                  <c:v>242</c:v>
                </c:pt>
                <c:pt idx="153">
                  <c:v>243</c:v>
                </c:pt>
                <c:pt idx="154">
                  <c:v>244</c:v>
                </c:pt>
                <c:pt idx="155">
                  <c:v>245</c:v>
                </c:pt>
                <c:pt idx="156">
                  <c:v>246</c:v>
                </c:pt>
                <c:pt idx="157">
                  <c:v>247</c:v>
                </c:pt>
                <c:pt idx="158">
                  <c:v>248</c:v>
                </c:pt>
                <c:pt idx="159">
                  <c:v>249</c:v>
                </c:pt>
                <c:pt idx="160">
                  <c:v>250</c:v>
                </c:pt>
                <c:pt idx="161">
                  <c:v>251</c:v>
                </c:pt>
                <c:pt idx="162">
                  <c:v>252</c:v>
                </c:pt>
                <c:pt idx="163">
                  <c:v>253</c:v>
                </c:pt>
                <c:pt idx="164">
                  <c:v>254</c:v>
                </c:pt>
                <c:pt idx="165">
                  <c:v>255</c:v>
                </c:pt>
                <c:pt idx="166">
                  <c:v>256</c:v>
                </c:pt>
                <c:pt idx="167">
                  <c:v>257</c:v>
                </c:pt>
                <c:pt idx="168">
                  <c:v>258</c:v>
                </c:pt>
                <c:pt idx="169">
                  <c:v>259</c:v>
                </c:pt>
                <c:pt idx="170">
                  <c:v>260</c:v>
                </c:pt>
                <c:pt idx="171">
                  <c:v>261</c:v>
                </c:pt>
                <c:pt idx="172">
                  <c:v>262</c:v>
                </c:pt>
                <c:pt idx="173">
                  <c:v>263</c:v>
                </c:pt>
                <c:pt idx="174">
                  <c:v>264</c:v>
                </c:pt>
                <c:pt idx="175">
                  <c:v>265</c:v>
                </c:pt>
                <c:pt idx="176">
                  <c:v>266</c:v>
                </c:pt>
                <c:pt idx="177">
                  <c:v>267</c:v>
                </c:pt>
                <c:pt idx="178">
                  <c:v>268</c:v>
                </c:pt>
                <c:pt idx="179">
                  <c:v>269</c:v>
                </c:pt>
                <c:pt idx="180">
                  <c:v>270</c:v>
                </c:pt>
                <c:pt idx="181">
                  <c:v>271</c:v>
                </c:pt>
                <c:pt idx="182">
                  <c:v>272</c:v>
                </c:pt>
                <c:pt idx="183">
                  <c:v>273</c:v>
                </c:pt>
                <c:pt idx="184">
                  <c:v>274</c:v>
                </c:pt>
                <c:pt idx="185">
                  <c:v>275</c:v>
                </c:pt>
                <c:pt idx="186">
                  <c:v>276</c:v>
                </c:pt>
                <c:pt idx="187">
                  <c:v>277</c:v>
                </c:pt>
                <c:pt idx="188">
                  <c:v>278</c:v>
                </c:pt>
                <c:pt idx="189">
                  <c:v>279</c:v>
                </c:pt>
                <c:pt idx="190">
                  <c:v>280</c:v>
                </c:pt>
                <c:pt idx="191">
                  <c:v>282</c:v>
                </c:pt>
                <c:pt idx="192">
                  <c:v>284</c:v>
                </c:pt>
                <c:pt idx="193">
                  <c:v>286</c:v>
                </c:pt>
                <c:pt idx="194">
                  <c:v>288</c:v>
                </c:pt>
                <c:pt idx="195">
                  <c:v>290</c:v>
                </c:pt>
                <c:pt idx="196">
                  <c:v>292</c:v>
                </c:pt>
                <c:pt idx="197">
                  <c:v>294</c:v>
                </c:pt>
                <c:pt idx="198">
                  <c:v>296</c:v>
                </c:pt>
                <c:pt idx="199">
                  <c:v>298</c:v>
                </c:pt>
                <c:pt idx="200">
                  <c:v>300</c:v>
                </c:pt>
              </c:numCache>
            </c:numRef>
          </c:cat>
          <c:val>
            <c:numRef>
              <c:f>Matrix!$P$11:$P$211</c:f>
              <c:numCache>
                <c:formatCode>General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0.25</c:v>
                </c:pt>
                <c:pt idx="57">
                  <c:v>0.25</c:v>
                </c:pt>
                <c:pt idx="58">
                  <c:v>0.25</c:v>
                </c:pt>
                <c:pt idx="59">
                  <c:v>0.25</c:v>
                </c:pt>
                <c:pt idx="60">
                  <c:v>0.25</c:v>
                </c:pt>
                <c:pt idx="61">
                  <c:v>0.25</c:v>
                </c:pt>
                <c:pt idx="62">
                  <c:v>0.25</c:v>
                </c:pt>
                <c:pt idx="63">
                  <c:v>0.25</c:v>
                </c:pt>
                <c:pt idx="64">
                  <c:v>0.25</c:v>
                </c:pt>
                <c:pt idx="65">
                  <c:v>0.25</c:v>
                </c:pt>
                <c:pt idx="66">
                  <c:v>0.25</c:v>
                </c:pt>
                <c:pt idx="67">
                  <c:v>0.25</c:v>
                </c:pt>
                <c:pt idx="68">
                  <c:v>0.25</c:v>
                </c:pt>
                <c:pt idx="69">
                  <c:v>0.25</c:v>
                </c:pt>
                <c:pt idx="70">
                  <c:v>0.25</c:v>
                </c:pt>
                <c:pt idx="71">
                  <c:v>0.25</c:v>
                </c:pt>
                <c:pt idx="72">
                  <c:v>0</c:v>
                </c:pt>
                <c:pt idx="73">
                  <c:v>2.125</c:v>
                </c:pt>
                <c:pt idx="74">
                  <c:v>2.125</c:v>
                </c:pt>
                <c:pt idx="75">
                  <c:v>2.125</c:v>
                </c:pt>
                <c:pt idx="76">
                  <c:v>2.125</c:v>
                </c:pt>
                <c:pt idx="77">
                  <c:v>2.125</c:v>
                </c:pt>
                <c:pt idx="78">
                  <c:v>2.125</c:v>
                </c:pt>
                <c:pt idx="79">
                  <c:v>2.125</c:v>
                </c:pt>
                <c:pt idx="80">
                  <c:v>2.125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0.125</c:v>
                </c:pt>
                <c:pt idx="93">
                  <c:v>0.125</c:v>
                </c:pt>
                <c:pt idx="94">
                  <c:v>0.125</c:v>
                </c:pt>
                <c:pt idx="95">
                  <c:v>0.125</c:v>
                </c:pt>
                <c:pt idx="96">
                  <c:v>0.125</c:v>
                </c:pt>
                <c:pt idx="97">
                  <c:v>0.125</c:v>
                </c:pt>
                <c:pt idx="98">
                  <c:v>0.125</c:v>
                </c:pt>
                <c:pt idx="99">
                  <c:v>0.125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1.125</c:v>
                </c:pt>
                <c:pt idx="116">
                  <c:v>1.25</c:v>
                </c:pt>
                <c:pt idx="117">
                  <c:v>1.25</c:v>
                </c:pt>
                <c:pt idx="118">
                  <c:v>0.25</c:v>
                </c:pt>
                <c:pt idx="119">
                  <c:v>0.25</c:v>
                </c:pt>
                <c:pt idx="120">
                  <c:v>0.5</c:v>
                </c:pt>
                <c:pt idx="121">
                  <c:v>0.5</c:v>
                </c:pt>
                <c:pt idx="122">
                  <c:v>1.125</c:v>
                </c:pt>
                <c:pt idx="123">
                  <c:v>1</c:v>
                </c:pt>
                <c:pt idx="124">
                  <c:v>0.875</c:v>
                </c:pt>
                <c:pt idx="125">
                  <c:v>0.875</c:v>
                </c:pt>
                <c:pt idx="126">
                  <c:v>0.875</c:v>
                </c:pt>
                <c:pt idx="127">
                  <c:v>0.875</c:v>
                </c:pt>
                <c:pt idx="128">
                  <c:v>0.625</c:v>
                </c:pt>
                <c:pt idx="129">
                  <c:v>0.625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0.125</c:v>
                </c:pt>
                <c:pt idx="142">
                  <c:v>0.25</c:v>
                </c:pt>
                <c:pt idx="143">
                  <c:v>0.25</c:v>
                </c:pt>
                <c:pt idx="144">
                  <c:v>0.25</c:v>
                </c:pt>
                <c:pt idx="145">
                  <c:v>0.5</c:v>
                </c:pt>
                <c:pt idx="146">
                  <c:v>0.5</c:v>
                </c:pt>
                <c:pt idx="147">
                  <c:v>0.5</c:v>
                </c:pt>
                <c:pt idx="148">
                  <c:v>0.5</c:v>
                </c:pt>
                <c:pt idx="149">
                  <c:v>0.375</c:v>
                </c:pt>
                <c:pt idx="150">
                  <c:v>0.25</c:v>
                </c:pt>
                <c:pt idx="151">
                  <c:v>0.25</c:v>
                </c:pt>
                <c:pt idx="152">
                  <c:v>0.25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77-4BF5-A0BF-755925754142}"/>
            </c:ext>
          </c:extLst>
        </c:ser>
        <c:ser>
          <c:idx val="2"/>
          <c:order val="2"/>
          <c:tx>
            <c:strRef>
              <c:f>Matrix!$Q$10</c:f>
              <c:strCache>
                <c:ptCount val="1"/>
                <c:pt idx="0">
                  <c:v>Storm (N)</c:v>
                </c:pt>
              </c:strCache>
            </c:strRef>
          </c:tx>
          <c:spPr>
            <a:solidFill>
              <a:schemeClr val="tx1">
                <a:lumMod val="65000"/>
                <a:lumOff val="35000"/>
              </a:schemeClr>
            </a:solidFill>
            <a:ln>
              <a:noFill/>
            </a:ln>
            <a:effectLst/>
          </c:spPr>
          <c:cat>
            <c:numRef>
              <c:f>Matrix!$B$11:$B$211</c:f>
              <c:numCache>
                <c:formatCode>General</c:formatCode>
                <c:ptCount val="201"/>
                <c:pt idx="0">
                  <c:v>83</c:v>
                </c:pt>
                <c:pt idx="1">
                  <c:v>85</c:v>
                </c:pt>
                <c:pt idx="2">
                  <c:v>87</c:v>
                </c:pt>
                <c:pt idx="3">
                  <c:v>89</c:v>
                </c:pt>
                <c:pt idx="4">
                  <c:v>91</c:v>
                </c:pt>
                <c:pt idx="5">
                  <c:v>93</c:v>
                </c:pt>
                <c:pt idx="6">
                  <c:v>95</c:v>
                </c:pt>
                <c:pt idx="7">
                  <c:v>97</c:v>
                </c:pt>
                <c:pt idx="8">
                  <c:v>98</c:v>
                </c:pt>
                <c:pt idx="9">
                  <c:v>99</c:v>
                </c:pt>
                <c:pt idx="10">
                  <c:v>100</c:v>
                </c:pt>
                <c:pt idx="11">
                  <c:v>101</c:v>
                </c:pt>
                <c:pt idx="12">
                  <c:v>102</c:v>
                </c:pt>
                <c:pt idx="13">
                  <c:v>103</c:v>
                </c:pt>
                <c:pt idx="14">
                  <c:v>104</c:v>
                </c:pt>
                <c:pt idx="15">
                  <c:v>105</c:v>
                </c:pt>
                <c:pt idx="16">
                  <c:v>106</c:v>
                </c:pt>
                <c:pt idx="17">
                  <c:v>107</c:v>
                </c:pt>
                <c:pt idx="18">
                  <c:v>108</c:v>
                </c:pt>
                <c:pt idx="19">
                  <c:v>109</c:v>
                </c:pt>
                <c:pt idx="20">
                  <c:v>110</c:v>
                </c:pt>
                <c:pt idx="21">
                  <c:v>111</c:v>
                </c:pt>
                <c:pt idx="22">
                  <c:v>112</c:v>
                </c:pt>
                <c:pt idx="23">
                  <c:v>113</c:v>
                </c:pt>
                <c:pt idx="24">
                  <c:v>114</c:v>
                </c:pt>
                <c:pt idx="25">
                  <c:v>115</c:v>
                </c:pt>
                <c:pt idx="26">
                  <c:v>116</c:v>
                </c:pt>
                <c:pt idx="27">
                  <c:v>117</c:v>
                </c:pt>
                <c:pt idx="28">
                  <c:v>118</c:v>
                </c:pt>
                <c:pt idx="29">
                  <c:v>119</c:v>
                </c:pt>
                <c:pt idx="30">
                  <c:v>120</c:v>
                </c:pt>
                <c:pt idx="31">
                  <c:v>121</c:v>
                </c:pt>
                <c:pt idx="32">
                  <c:v>122</c:v>
                </c:pt>
                <c:pt idx="33">
                  <c:v>123</c:v>
                </c:pt>
                <c:pt idx="34">
                  <c:v>124</c:v>
                </c:pt>
                <c:pt idx="35">
                  <c:v>125</c:v>
                </c:pt>
                <c:pt idx="36">
                  <c:v>126</c:v>
                </c:pt>
                <c:pt idx="37">
                  <c:v>127</c:v>
                </c:pt>
                <c:pt idx="38">
                  <c:v>128</c:v>
                </c:pt>
                <c:pt idx="39">
                  <c:v>129</c:v>
                </c:pt>
                <c:pt idx="40">
                  <c:v>130</c:v>
                </c:pt>
                <c:pt idx="41">
                  <c:v>131</c:v>
                </c:pt>
                <c:pt idx="42">
                  <c:v>132</c:v>
                </c:pt>
                <c:pt idx="43">
                  <c:v>133</c:v>
                </c:pt>
                <c:pt idx="44">
                  <c:v>134</c:v>
                </c:pt>
                <c:pt idx="45">
                  <c:v>135</c:v>
                </c:pt>
                <c:pt idx="46">
                  <c:v>136</c:v>
                </c:pt>
                <c:pt idx="47">
                  <c:v>137</c:v>
                </c:pt>
                <c:pt idx="48">
                  <c:v>138</c:v>
                </c:pt>
                <c:pt idx="49">
                  <c:v>139</c:v>
                </c:pt>
                <c:pt idx="50">
                  <c:v>140</c:v>
                </c:pt>
                <c:pt idx="51">
                  <c:v>141</c:v>
                </c:pt>
                <c:pt idx="52">
                  <c:v>142</c:v>
                </c:pt>
                <c:pt idx="53">
                  <c:v>143</c:v>
                </c:pt>
                <c:pt idx="54">
                  <c:v>144</c:v>
                </c:pt>
                <c:pt idx="55">
                  <c:v>145</c:v>
                </c:pt>
                <c:pt idx="56">
                  <c:v>146</c:v>
                </c:pt>
                <c:pt idx="57">
                  <c:v>147</c:v>
                </c:pt>
                <c:pt idx="58">
                  <c:v>148</c:v>
                </c:pt>
                <c:pt idx="59">
                  <c:v>149</c:v>
                </c:pt>
                <c:pt idx="60">
                  <c:v>150</c:v>
                </c:pt>
                <c:pt idx="61">
                  <c:v>151</c:v>
                </c:pt>
                <c:pt idx="62">
                  <c:v>152</c:v>
                </c:pt>
                <c:pt idx="63">
                  <c:v>153</c:v>
                </c:pt>
                <c:pt idx="64">
                  <c:v>154</c:v>
                </c:pt>
                <c:pt idx="65">
                  <c:v>155</c:v>
                </c:pt>
                <c:pt idx="66">
                  <c:v>156</c:v>
                </c:pt>
                <c:pt idx="67">
                  <c:v>157</c:v>
                </c:pt>
                <c:pt idx="68">
                  <c:v>158</c:v>
                </c:pt>
                <c:pt idx="69">
                  <c:v>159</c:v>
                </c:pt>
                <c:pt idx="70">
                  <c:v>160</c:v>
                </c:pt>
                <c:pt idx="71">
                  <c:v>161</c:v>
                </c:pt>
                <c:pt idx="72">
                  <c:v>162</c:v>
                </c:pt>
                <c:pt idx="73">
                  <c:v>163</c:v>
                </c:pt>
                <c:pt idx="74">
                  <c:v>164</c:v>
                </c:pt>
                <c:pt idx="75">
                  <c:v>165</c:v>
                </c:pt>
                <c:pt idx="76">
                  <c:v>166</c:v>
                </c:pt>
                <c:pt idx="77">
                  <c:v>167</c:v>
                </c:pt>
                <c:pt idx="78">
                  <c:v>168</c:v>
                </c:pt>
                <c:pt idx="79">
                  <c:v>169</c:v>
                </c:pt>
                <c:pt idx="80">
                  <c:v>170</c:v>
                </c:pt>
                <c:pt idx="81">
                  <c:v>171</c:v>
                </c:pt>
                <c:pt idx="82">
                  <c:v>172</c:v>
                </c:pt>
                <c:pt idx="83">
                  <c:v>173</c:v>
                </c:pt>
                <c:pt idx="84">
                  <c:v>174</c:v>
                </c:pt>
                <c:pt idx="85">
                  <c:v>175</c:v>
                </c:pt>
                <c:pt idx="86">
                  <c:v>176</c:v>
                </c:pt>
                <c:pt idx="87">
                  <c:v>177</c:v>
                </c:pt>
                <c:pt idx="88">
                  <c:v>178</c:v>
                </c:pt>
                <c:pt idx="89">
                  <c:v>179</c:v>
                </c:pt>
                <c:pt idx="90">
                  <c:v>180</c:v>
                </c:pt>
                <c:pt idx="91">
                  <c:v>181</c:v>
                </c:pt>
                <c:pt idx="92">
                  <c:v>182</c:v>
                </c:pt>
                <c:pt idx="93">
                  <c:v>183</c:v>
                </c:pt>
                <c:pt idx="94">
                  <c:v>184</c:v>
                </c:pt>
                <c:pt idx="95">
                  <c:v>185</c:v>
                </c:pt>
                <c:pt idx="96">
                  <c:v>186</c:v>
                </c:pt>
                <c:pt idx="97">
                  <c:v>187</c:v>
                </c:pt>
                <c:pt idx="98">
                  <c:v>188</c:v>
                </c:pt>
                <c:pt idx="99">
                  <c:v>189</c:v>
                </c:pt>
                <c:pt idx="100">
                  <c:v>190</c:v>
                </c:pt>
                <c:pt idx="101">
                  <c:v>191</c:v>
                </c:pt>
                <c:pt idx="102">
                  <c:v>192</c:v>
                </c:pt>
                <c:pt idx="103">
                  <c:v>193</c:v>
                </c:pt>
                <c:pt idx="104">
                  <c:v>194</c:v>
                </c:pt>
                <c:pt idx="105">
                  <c:v>195</c:v>
                </c:pt>
                <c:pt idx="106">
                  <c:v>196</c:v>
                </c:pt>
                <c:pt idx="107">
                  <c:v>197</c:v>
                </c:pt>
                <c:pt idx="108">
                  <c:v>198</c:v>
                </c:pt>
                <c:pt idx="109">
                  <c:v>199</c:v>
                </c:pt>
                <c:pt idx="110">
                  <c:v>200</c:v>
                </c:pt>
                <c:pt idx="111">
                  <c:v>201</c:v>
                </c:pt>
                <c:pt idx="112">
                  <c:v>202</c:v>
                </c:pt>
                <c:pt idx="113">
                  <c:v>203</c:v>
                </c:pt>
                <c:pt idx="114">
                  <c:v>204</c:v>
                </c:pt>
                <c:pt idx="115">
                  <c:v>205</c:v>
                </c:pt>
                <c:pt idx="116">
                  <c:v>206</c:v>
                </c:pt>
                <c:pt idx="117">
                  <c:v>207</c:v>
                </c:pt>
                <c:pt idx="118">
                  <c:v>208</c:v>
                </c:pt>
                <c:pt idx="119">
                  <c:v>209</c:v>
                </c:pt>
                <c:pt idx="120">
                  <c:v>210</c:v>
                </c:pt>
                <c:pt idx="121">
                  <c:v>211</c:v>
                </c:pt>
                <c:pt idx="122">
                  <c:v>212</c:v>
                </c:pt>
                <c:pt idx="123">
                  <c:v>213</c:v>
                </c:pt>
                <c:pt idx="124">
                  <c:v>214</c:v>
                </c:pt>
                <c:pt idx="125">
                  <c:v>215</c:v>
                </c:pt>
                <c:pt idx="126">
                  <c:v>216</c:v>
                </c:pt>
                <c:pt idx="127">
                  <c:v>217</c:v>
                </c:pt>
                <c:pt idx="128">
                  <c:v>218</c:v>
                </c:pt>
                <c:pt idx="129">
                  <c:v>219</c:v>
                </c:pt>
                <c:pt idx="130">
                  <c:v>220</c:v>
                </c:pt>
                <c:pt idx="131">
                  <c:v>221</c:v>
                </c:pt>
                <c:pt idx="132">
                  <c:v>222</c:v>
                </c:pt>
                <c:pt idx="133">
                  <c:v>223</c:v>
                </c:pt>
                <c:pt idx="134">
                  <c:v>224</c:v>
                </c:pt>
                <c:pt idx="135">
                  <c:v>225</c:v>
                </c:pt>
                <c:pt idx="136">
                  <c:v>226</c:v>
                </c:pt>
                <c:pt idx="137">
                  <c:v>227</c:v>
                </c:pt>
                <c:pt idx="138">
                  <c:v>228</c:v>
                </c:pt>
                <c:pt idx="139">
                  <c:v>229</c:v>
                </c:pt>
                <c:pt idx="140">
                  <c:v>230</c:v>
                </c:pt>
                <c:pt idx="141">
                  <c:v>231</c:v>
                </c:pt>
                <c:pt idx="142">
                  <c:v>232</c:v>
                </c:pt>
                <c:pt idx="143">
                  <c:v>233</c:v>
                </c:pt>
                <c:pt idx="144">
                  <c:v>234</c:v>
                </c:pt>
                <c:pt idx="145">
                  <c:v>235</c:v>
                </c:pt>
                <c:pt idx="146">
                  <c:v>236</c:v>
                </c:pt>
                <c:pt idx="147">
                  <c:v>237</c:v>
                </c:pt>
                <c:pt idx="148">
                  <c:v>238</c:v>
                </c:pt>
                <c:pt idx="149">
                  <c:v>239</c:v>
                </c:pt>
                <c:pt idx="150">
                  <c:v>240</c:v>
                </c:pt>
                <c:pt idx="151">
                  <c:v>241</c:v>
                </c:pt>
                <c:pt idx="152">
                  <c:v>242</c:v>
                </c:pt>
                <c:pt idx="153">
                  <c:v>243</c:v>
                </c:pt>
                <c:pt idx="154">
                  <c:v>244</c:v>
                </c:pt>
                <c:pt idx="155">
                  <c:v>245</c:v>
                </c:pt>
                <c:pt idx="156">
                  <c:v>246</c:v>
                </c:pt>
                <c:pt idx="157">
                  <c:v>247</c:v>
                </c:pt>
                <c:pt idx="158">
                  <c:v>248</c:v>
                </c:pt>
                <c:pt idx="159">
                  <c:v>249</c:v>
                </c:pt>
                <c:pt idx="160">
                  <c:v>250</c:v>
                </c:pt>
                <c:pt idx="161">
                  <c:v>251</c:v>
                </c:pt>
                <c:pt idx="162">
                  <c:v>252</c:v>
                </c:pt>
                <c:pt idx="163">
                  <c:v>253</c:v>
                </c:pt>
                <c:pt idx="164">
                  <c:v>254</c:v>
                </c:pt>
                <c:pt idx="165">
                  <c:v>255</c:v>
                </c:pt>
                <c:pt idx="166">
                  <c:v>256</c:v>
                </c:pt>
                <c:pt idx="167">
                  <c:v>257</c:v>
                </c:pt>
                <c:pt idx="168">
                  <c:v>258</c:v>
                </c:pt>
                <c:pt idx="169">
                  <c:v>259</c:v>
                </c:pt>
                <c:pt idx="170">
                  <c:v>260</c:v>
                </c:pt>
                <c:pt idx="171">
                  <c:v>261</c:v>
                </c:pt>
                <c:pt idx="172">
                  <c:v>262</c:v>
                </c:pt>
                <c:pt idx="173">
                  <c:v>263</c:v>
                </c:pt>
                <c:pt idx="174">
                  <c:v>264</c:v>
                </c:pt>
                <c:pt idx="175">
                  <c:v>265</c:v>
                </c:pt>
                <c:pt idx="176">
                  <c:v>266</c:v>
                </c:pt>
                <c:pt idx="177">
                  <c:v>267</c:v>
                </c:pt>
                <c:pt idx="178">
                  <c:v>268</c:v>
                </c:pt>
                <c:pt idx="179">
                  <c:v>269</c:v>
                </c:pt>
                <c:pt idx="180">
                  <c:v>270</c:v>
                </c:pt>
                <c:pt idx="181">
                  <c:v>271</c:v>
                </c:pt>
                <c:pt idx="182">
                  <c:v>272</c:v>
                </c:pt>
                <c:pt idx="183">
                  <c:v>273</c:v>
                </c:pt>
                <c:pt idx="184">
                  <c:v>274</c:v>
                </c:pt>
                <c:pt idx="185">
                  <c:v>275</c:v>
                </c:pt>
                <c:pt idx="186">
                  <c:v>276</c:v>
                </c:pt>
                <c:pt idx="187">
                  <c:v>277</c:v>
                </c:pt>
                <c:pt idx="188">
                  <c:v>278</c:v>
                </c:pt>
                <c:pt idx="189">
                  <c:v>279</c:v>
                </c:pt>
                <c:pt idx="190">
                  <c:v>280</c:v>
                </c:pt>
                <c:pt idx="191">
                  <c:v>282</c:v>
                </c:pt>
                <c:pt idx="192">
                  <c:v>284</c:v>
                </c:pt>
                <c:pt idx="193">
                  <c:v>286</c:v>
                </c:pt>
                <c:pt idx="194">
                  <c:v>288</c:v>
                </c:pt>
                <c:pt idx="195">
                  <c:v>290</c:v>
                </c:pt>
                <c:pt idx="196">
                  <c:v>292</c:v>
                </c:pt>
                <c:pt idx="197">
                  <c:v>294</c:v>
                </c:pt>
                <c:pt idx="198">
                  <c:v>296</c:v>
                </c:pt>
                <c:pt idx="199">
                  <c:v>298</c:v>
                </c:pt>
                <c:pt idx="200">
                  <c:v>300</c:v>
                </c:pt>
              </c:numCache>
            </c:numRef>
          </c:cat>
          <c:val>
            <c:numRef>
              <c:f>Matrix!$Q$11:$Q$211</c:f>
              <c:numCache>
                <c:formatCode>General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0.125</c:v>
                </c:pt>
                <c:pt idx="59">
                  <c:v>0.125</c:v>
                </c:pt>
                <c:pt idx="60">
                  <c:v>0.125</c:v>
                </c:pt>
                <c:pt idx="61">
                  <c:v>0.125</c:v>
                </c:pt>
                <c:pt idx="62">
                  <c:v>0.125</c:v>
                </c:pt>
                <c:pt idx="63">
                  <c:v>0.125</c:v>
                </c:pt>
                <c:pt idx="64">
                  <c:v>0.125</c:v>
                </c:pt>
                <c:pt idx="65">
                  <c:v>0.125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0.625</c:v>
                </c:pt>
                <c:pt idx="88">
                  <c:v>0.625</c:v>
                </c:pt>
                <c:pt idx="89">
                  <c:v>0.625</c:v>
                </c:pt>
                <c:pt idx="90">
                  <c:v>0.625</c:v>
                </c:pt>
                <c:pt idx="91">
                  <c:v>0.625</c:v>
                </c:pt>
                <c:pt idx="92">
                  <c:v>0.625</c:v>
                </c:pt>
                <c:pt idx="93">
                  <c:v>0.625</c:v>
                </c:pt>
                <c:pt idx="94">
                  <c:v>0.875</c:v>
                </c:pt>
                <c:pt idx="95">
                  <c:v>0.25</c:v>
                </c:pt>
                <c:pt idx="96">
                  <c:v>0.25</c:v>
                </c:pt>
                <c:pt idx="97">
                  <c:v>0.25</c:v>
                </c:pt>
                <c:pt idx="98">
                  <c:v>0.25</c:v>
                </c:pt>
                <c:pt idx="99">
                  <c:v>0.25</c:v>
                </c:pt>
                <c:pt idx="100">
                  <c:v>0.25</c:v>
                </c:pt>
                <c:pt idx="101">
                  <c:v>0.25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6</c:v>
                </c:pt>
                <c:pt idx="106">
                  <c:v>6</c:v>
                </c:pt>
                <c:pt idx="107">
                  <c:v>6</c:v>
                </c:pt>
                <c:pt idx="108">
                  <c:v>6</c:v>
                </c:pt>
                <c:pt idx="109">
                  <c:v>6</c:v>
                </c:pt>
                <c:pt idx="110">
                  <c:v>6</c:v>
                </c:pt>
                <c:pt idx="111">
                  <c:v>6</c:v>
                </c:pt>
                <c:pt idx="112">
                  <c:v>6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77-4BF5-A0BF-755925754142}"/>
            </c:ext>
          </c:extLst>
        </c:ser>
        <c:ser>
          <c:idx val="3"/>
          <c:order val="3"/>
          <c:tx>
            <c:strRef>
              <c:f>Matrix!$R$10</c:f>
              <c:strCache>
                <c:ptCount val="1"/>
                <c:pt idx="0">
                  <c:v>Nightcrawler (C)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cat>
            <c:numRef>
              <c:f>Matrix!$B$11:$B$211</c:f>
              <c:numCache>
                <c:formatCode>General</c:formatCode>
                <c:ptCount val="201"/>
                <c:pt idx="0">
                  <c:v>83</c:v>
                </c:pt>
                <c:pt idx="1">
                  <c:v>85</c:v>
                </c:pt>
                <c:pt idx="2">
                  <c:v>87</c:v>
                </c:pt>
                <c:pt idx="3">
                  <c:v>89</c:v>
                </c:pt>
                <c:pt idx="4">
                  <c:v>91</c:v>
                </c:pt>
                <c:pt idx="5">
                  <c:v>93</c:v>
                </c:pt>
                <c:pt idx="6">
                  <c:v>95</c:v>
                </c:pt>
                <c:pt idx="7">
                  <c:v>97</c:v>
                </c:pt>
                <c:pt idx="8">
                  <c:v>98</c:v>
                </c:pt>
                <c:pt idx="9">
                  <c:v>99</c:v>
                </c:pt>
                <c:pt idx="10">
                  <c:v>100</c:v>
                </c:pt>
                <c:pt idx="11">
                  <c:v>101</c:v>
                </c:pt>
                <c:pt idx="12">
                  <c:v>102</c:v>
                </c:pt>
                <c:pt idx="13">
                  <c:v>103</c:v>
                </c:pt>
                <c:pt idx="14">
                  <c:v>104</c:v>
                </c:pt>
                <c:pt idx="15">
                  <c:v>105</c:v>
                </c:pt>
                <c:pt idx="16">
                  <c:v>106</c:v>
                </c:pt>
                <c:pt idx="17">
                  <c:v>107</c:v>
                </c:pt>
                <c:pt idx="18">
                  <c:v>108</c:v>
                </c:pt>
                <c:pt idx="19">
                  <c:v>109</c:v>
                </c:pt>
                <c:pt idx="20">
                  <c:v>110</c:v>
                </c:pt>
                <c:pt idx="21">
                  <c:v>111</c:v>
                </c:pt>
                <c:pt idx="22">
                  <c:v>112</c:v>
                </c:pt>
                <c:pt idx="23">
                  <c:v>113</c:v>
                </c:pt>
                <c:pt idx="24">
                  <c:v>114</c:v>
                </c:pt>
                <c:pt idx="25">
                  <c:v>115</c:v>
                </c:pt>
                <c:pt idx="26">
                  <c:v>116</c:v>
                </c:pt>
                <c:pt idx="27">
                  <c:v>117</c:v>
                </c:pt>
                <c:pt idx="28">
                  <c:v>118</c:v>
                </c:pt>
                <c:pt idx="29">
                  <c:v>119</c:v>
                </c:pt>
                <c:pt idx="30">
                  <c:v>120</c:v>
                </c:pt>
                <c:pt idx="31">
                  <c:v>121</c:v>
                </c:pt>
                <c:pt idx="32">
                  <c:v>122</c:v>
                </c:pt>
                <c:pt idx="33">
                  <c:v>123</c:v>
                </c:pt>
                <c:pt idx="34">
                  <c:v>124</c:v>
                </c:pt>
                <c:pt idx="35">
                  <c:v>125</c:v>
                </c:pt>
                <c:pt idx="36">
                  <c:v>126</c:v>
                </c:pt>
                <c:pt idx="37">
                  <c:v>127</c:v>
                </c:pt>
                <c:pt idx="38">
                  <c:v>128</c:v>
                </c:pt>
                <c:pt idx="39">
                  <c:v>129</c:v>
                </c:pt>
                <c:pt idx="40">
                  <c:v>130</c:v>
                </c:pt>
                <c:pt idx="41">
                  <c:v>131</c:v>
                </c:pt>
                <c:pt idx="42">
                  <c:v>132</c:v>
                </c:pt>
                <c:pt idx="43">
                  <c:v>133</c:v>
                </c:pt>
                <c:pt idx="44">
                  <c:v>134</c:v>
                </c:pt>
                <c:pt idx="45">
                  <c:v>135</c:v>
                </c:pt>
                <c:pt idx="46">
                  <c:v>136</c:v>
                </c:pt>
                <c:pt idx="47">
                  <c:v>137</c:v>
                </c:pt>
                <c:pt idx="48">
                  <c:v>138</c:v>
                </c:pt>
                <c:pt idx="49">
                  <c:v>139</c:v>
                </c:pt>
                <c:pt idx="50">
                  <c:v>140</c:v>
                </c:pt>
                <c:pt idx="51">
                  <c:v>141</c:v>
                </c:pt>
                <c:pt idx="52">
                  <c:v>142</c:v>
                </c:pt>
                <c:pt idx="53">
                  <c:v>143</c:v>
                </c:pt>
                <c:pt idx="54">
                  <c:v>144</c:v>
                </c:pt>
                <c:pt idx="55">
                  <c:v>145</c:v>
                </c:pt>
                <c:pt idx="56">
                  <c:v>146</c:v>
                </c:pt>
                <c:pt idx="57">
                  <c:v>147</c:v>
                </c:pt>
                <c:pt idx="58">
                  <c:v>148</c:v>
                </c:pt>
                <c:pt idx="59">
                  <c:v>149</c:v>
                </c:pt>
                <c:pt idx="60">
                  <c:v>150</c:v>
                </c:pt>
                <c:pt idx="61">
                  <c:v>151</c:v>
                </c:pt>
                <c:pt idx="62">
                  <c:v>152</c:v>
                </c:pt>
                <c:pt idx="63">
                  <c:v>153</c:v>
                </c:pt>
                <c:pt idx="64">
                  <c:v>154</c:v>
                </c:pt>
                <c:pt idx="65">
                  <c:v>155</c:v>
                </c:pt>
                <c:pt idx="66">
                  <c:v>156</c:v>
                </c:pt>
                <c:pt idx="67">
                  <c:v>157</c:v>
                </c:pt>
                <c:pt idx="68">
                  <c:v>158</c:v>
                </c:pt>
                <c:pt idx="69">
                  <c:v>159</c:v>
                </c:pt>
                <c:pt idx="70">
                  <c:v>160</c:v>
                </c:pt>
                <c:pt idx="71">
                  <c:v>161</c:v>
                </c:pt>
                <c:pt idx="72">
                  <c:v>162</c:v>
                </c:pt>
                <c:pt idx="73">
                  <c:v>163</c:v>
                </c:pt>
                <c:pt idx="74">
                  <c:v>164</c:v>
                </c:pt>
                <c:pt idx="75">
                  <c:v>165</c:v>
                </c:pt>
                <c:pt idx="76">
                  <c:v>166</c:v>
                </c:pt>
                <c:pt idx="77">
                  <c:v>167</c:v>
                </c:pt>
                <c:pt idx="78">
                  <c:v>168</c:v>
                </c:pt>
                <c:pt idx="79">
                  <c:v>169</c:v>
                </c:pt>
                <c:pt idx="80">
                  <c:v>170</c:v>
                </c:pt>
                <c:pt idx="81">
                  <c:v>171</c:v>
                </c:pt>
                <c:pt idx="82">
                  <c:v>172</c:v>
                </c:pt>
                <c:pt idx="83">
                  <c:v>173</c:v>
                </c:pt>
                <c:pt idx="84">
                  <c:v>174</c:v>
                </c:pt>
                <c:pt idx="85">
                  <c:v>175</c:v>
                </c:pt>
                <c:pt idx="86">
                  <c:v>176</c:v>
                </c:pt>
                <c:pt idx="87">
                  <c:v>177</c:v>
                </c:pt>
                <c:pt idx="88">
                  <c:v>178</c:v>
                </c:pt>
                <c:pt idx="89">
                  <c:v>179</c:v>
                </c:pt>
                <c:pt idx="90">
                  <c:v>180</c:v>
                </c:pt>
                <c:pt idx="91">
                  <c:v>181</c:v>
                </c:pt>
                <c:pt idx="92">
                  <c:v>182</c:v>
                </c:pt>
                <c:pt idx="93">
                  <c:v>183</c:v>
                </c:pt>
                <c:pt idx="94">
                  <c:v>184</c:v>
                </c:pt>
                <c:pt idx="95">
                  <c:v>185</c:v>
                </c:pt>
                <c:pt idx="96">
                  <c:v>186</c:v>
                </c:pt>
                <c:pt idx="97">
                  <c:v>187</c:v>
                </c:pt>
                <c:pt idx="98">
                  <c:v>188</c:v>
                </c:pt>
                <c:pt idx="99">
                  <c:v>189</c:v>
                </c:pt>
                <c:pt idx="100">
                  <c:v>190</c:v>
                </c:pt>
                <c:pt idx="101">
                  <c:v>191</c:v>
                </c:pt>
                <c:pt idx="102">
                  <c:v>192</c:v>
                </c:pt>
                <c:pt idx="103">
                  <c:v>193</c:v>
                </c:pt>
                <c:pt idx="104">
                  <c:v>194</c:v>
                </c:pt>
                <c:pt idx="105">
                  <c:v>195</c:v>
                </c:pt>
                <c:pt idx="106">
                  <c:v>196</c:v>
                </c:pt>
                <c:pt idx="107">
                  <c:v>197</c:v>
                </c:pt>
                <c:pt idx="108">
                  <c:v>198</c:v>
                </c:pt>
                <c:pt idx="109">
                  <c:v>199</c:v>
                </c:pt>
                <c:pt idx="110">
                  <c:v>200</c:v>
                </c:pt>
                <c:pt idx="111">
                  <c:v>201</c:v>
                </c:pt>
                <c:pt idx="112">
                  <c:v>202</c:v>
                </c:pt>
                <c:pt idx="113">
                  <c:v>203</c:v>
                </c:pt>
                <c:pt idx="114">
                  <c:v>204</c:v>
                </c:pt>
                <c:pt idx="115">
                  <c:v>205</c:v>
                </c:pt>
                <c:pt idx="116">
                  <c:v>206</c:v>
                </c:pt>
                <c:pt idx="117">
                  <c:v>207</c:v>
                </c:pt>
                <c:pt idx="118">
                  <c:v>208</c:v>
                </c:pt>
                <c:pt idx="119">
                  <c:v>209</c:v>
                </c:pt>
                <c:pt idx="120">
                  <c:v>210</c:v>
                </c:pt>
                <c:pt idx="121">
                  <c:v>211</c:v>
                </c:pt>
                <c:pt idx="122">
                  <c:v>212</c:v>
                </c:pt>
                <c:pt idx="123">
                  <c:v>213</c:v>
                </c:pt>
                <c:pt idx="124">
                  <c:v>214</c:v>
                </c:pt>
                <c:pt idx="125">
                  <c:v>215</c:v>
                </c:pt>
                <c:pt idx="126">
                  <c:v>216</c:v>
                </c:pt>
                <c:pt idx="127">
                  <c:v>217</c:v>
                </c:pt>
                <c:pt idx="128">
                  <c:v>218</c:v>
                </c:pt>
                <c:pt idx="129">
                  <c:v>219</c:v>
                </c:pt>
                <c:pt idx="130">
                  <c:v>220</c:v>
                </c:pt>
                <c:pt idx="131">
                  <c:v>221</c:v>
                </c:pt>
                <c:pt idx="132">
                  <c:v>222</c:v>
                </c:pt>
                <c:pt idx="133">
                  <c:v>223</c:v>
                </c:pt>
                <c:pt idx="134">
                  <c:v>224</c:v>
                </c:pt>
                <c:pt idx="135">
                  <c:v>225</c:v>
                </c:pt>
                <c:pt idx="136">
                  <c:v>226</c:v>
                </c:pt>
                <c:pt idx="137">
                  <c:v>227</c:v>
                </c:pt>
                <c:pt idx="138">
                  <c:v>228</c:v>
                </c:pt>
                <c:pt idx="139">
                  <c:v>229</c:v>
                </c:pt>
                <c:pt idx="140">
                  <c:v>230</c:v>
                </c:pt>
                <c:pt idx="141">
                  <c:v>231</c:v>
                </c:pt>
                <c:pt idx="142">
                  <c:v>232</c:v>
                </c:pt>
                <c:pt idx="143">
                  <c:v>233</c:v>
                </c:pt>
                <c:pt idx="144">
                  <c:v>234</c:v>
                </c:pt>
                <c:pt idx="145">
                  <c:v>235</c:v>
                </c:pt>
                <c:pt idx="146">
                  <c:v>236</c:v>
                </c:pt>
                <c:pt idx="147">
                  <c:v>237</c:v>
                </c:pt>
                <c:pt idx="148">
                  <c:v>238</c:v>
                </c:pt>
                <c:pt idx="149">
                  <c:v>239</c:v>
                </c:pt>
                <c:pt idx="150">
                  <c:v>240</c:v>
                </c:pt>
                <c:pt idx="151">
                  <c:v>241</c:v>
                </c:pt>
                <c:pt idx="152">
                  <c:v>242</c:v>
                </c:pt>
                <c:pt idx="153">
                  <c:v>243</c:v>
                </c:pt>
                <c:pt idx="154">
                  <c:v>244</c:v>
                </c:pt>
                <c:pt idx="155">
                  <c:v>245</c:v>
                </c:pt>
                <c:pt idx="156">
                  <c:v>246</c:v>
                </c:pt>
                <c:pt idx="157">
                  <c:v>247</c:v>
                </c:pt>
                <c:pt idx="158">
                  <c:v>248</c:v>
                </c:pt>
                <c:pt idx="159">
                  <c:v>249</c:v>
                </c:pt>
                <c:pt idx="160">
                  <c:v>250</c:v>
                </c:pt>
                <c:pt idx="161">
                  <c:v>251</c:v>
                </c:pt>
                <c:pt idx="162">
                  <c:v>252</c:v>
                </c:pt>
                <c:pt idx="163">
                  <c:v>253</c:v>
                </c:pt>
                <c:pt idx="164">
                  <c:v>254</c:v>
                </c:pt>
                <c:pt idx="165">
                  <c:v>255</c:v>
                </c:pt>
                <c:pt idx="166">
                  <c:v>256</c:v>
                </c:pt>
                <c:pt idx="167">
                  <c:v>257</c:v>
                </c:pt>
                <c:pt idx="168">
                  <c:v>258</c:v>
                </c:pt>
                <c:pt idx="169">
                  <c:v>259</c:v>
                </c:pt>
                <c:pt idx="170">
                  <c:v>260</c:v>
                </c:pt>
                <c:pt idx="171">
                  <c:v>261</c:v>
                </c:pt>
                <c:pt idx="172">
                  <c:v>262</c:v>
                </c:pt>
                <c:pt idx="173">
                  <c:v>263</c:v>
                </c:pt>
                <c:pt idx="174">
                  <c:v>264</c:v>
                </c:pt>
                <c:pt idx="175">
                  <c:v>265</c:v>
                </c:pt>
                <c:pt idx="176">
                  <c:v>266</c:v>
                </c:pt>
                <c:pt idx="177">
                  <c:v>267</c:v>
                </c:pt>
                <c:pt idx="178">
                  <c:v>268</c:v>
                </c:pt>
                <c:pt idx="179">
                  <c:v>269</c:v>
                </c:pt>
                <c:pt idx="180">
                  <c:v>270</c:v>
                </c:pt>
                <c:pt idx="181">
                  <c:v>271</c:v>
                </c:pt>
                <c:pt idx="182">
                  <c:v>272</c:v>
                </c:pt>
                <c:pt idx="183">
                  <c:v>273</c:v>
                </c:pt>
                <c:pt idx="184">
                  <c:v>274</c:v>
                </c:pt>
                <c:pt idx="185">
                  <c:v>275</c:v>
                </c:pt>
                <c:pt idx="186">
                  <c:v>276</c:v>
                </c:pt>
                <c:pt idx="187">
                  <c:v>277</c:v>
                </c:pt>
                <c:pt idx="188">
                  <c:v>278</c:v>
                </c:pt>
                <c:pt idx="189">
                  <c:v>279</c:v>
                </c:pt>
                <c:pt idx="190">
                  <c:v>280</c:v>
                </c:pt>
                <c:pt idx="191">
                  <c:v>282</c:v>
                </c:pt>
                <c:pt idx="192">
                  <c:v>284</c:v>
                </c:pt>
                <c:pt idx="193">
                  <c:v>286</c:v>
                </c:pt>
                <c:pt idx="194">
                  <c:v>288</c:v>
                </c:pt>
                <c:pt idx="195">
                  <c:v>290</c:v>
                </c:pt>
                <c:pt idx="196">
                  <c:v>292</c:v>
                </c:pt>
                <c:pt idx="197">
                  <c:v>294</c:v>
                </c:pt>
                <c:pt idx="198">
                  <c:v>296</c:v>
                </c:pt>
                <c:pt idx="199">
                  <c:v>298</c:v>
                </c:pt>
                <c:pt idx="200">
                  <c:v>300</c:v>
                </c:pt>
              </c:numCache>
            </c:numRef>
          </c:cat>
          <c:val>
            <c:numRef>
              <c:f>Matrix!$R$11:$R$211</c:f>
              <c:numCache>
                <c:formatCode>General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0.125</c:v>
                </c:pt>
                <c:pt idx="100">
                  <c:v>0.25</c:v>
                </c:pt>
                <c:pt idx="101">
                  <c:v>0.25</c:v>
                </c:pt>
                <c:pt idx="102">
                  <c:v>0.25</c:v>
                </c:pt>
                <c:pt idx="103">
                  <c:v>0.25</c:v>
                </c:pt>
                <c:pt idx="104">
                  <c:v>0.25</c:v>
                </c:pt>
                <c:pt idx="105">
                  <c:v>0.25</c:v>
                </c:pt>
                <c:pt idx="106">
                  <c:v>0.25</c:v>
                </c:pt>
                <c:pt idx="107">
                  <c:v>0.125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F77-4BF5-A0BF-755925754142}"/>
            </c:ext>
          </c:extLst>
        </c:ser>
        <c:ser>
          <c:idx val="4"/>
          <c:order val="4"/>
          <c:tx>
            <c:strRef>
              <c:f>Matrix!$S$10</c:f>
              <c:strCache>
                <c:ptCount val="1"/>
                <c:pt idx="0">
                  <c:v>Nightcrawler (N)</c:v>
                </c:pt>
              </c:strCache>
            </c:strRef>
          </c:tx>
          <c:spPr>
            <a:solidFill>
              <a:srgbClr val="00A1DA"/>
            </a:solidFill>
            <a:ln>
              <a:noFill/>
            </a:ln>
            <a:effectLst/>
          </c:spPr>
          <c:cat>
            <c:numRef>
              <c:f>Matrix!$B$11:$B$211</c:f>
              <c:numCache>
                <c:formatCode>General</c:formatCode>
                <c:ptCount val="201"/>
                <c:pt idx="0">
                  <c:v>83</c:v>
                </c:pt>
                <c:pt idx="1">
                  <c:v>85</c:v>
                </c:pt>
                <c:pt idx="2">
                  <c:v>87</c:v>
                </c:pt>
                <c:pt idx="3">
                  <c:v>89</c:v>
                </c:pt>
                <c:pt idx="4">
                  <c:v>91</c:v>
                </c:pt>
                <c:pt idx="5">
                  <c:v>93</c:v>
                </c:pt>
                <c:pt idx="6">
                  <c:v>95</c:v>
                </c:pt>
                <c:pt idx="7">
                  <c:v>97</c:v>
                </c:pt>
                <c:pt idx="8">
                  <c:v>98</c:v>
                </c:pt>
                <c:pt idx="9">
                  <c:v>99</c:v>
                </c:pt>
                <c:pt idx="10">
                  <c:v>100</c:v>
                </c:pt>
                <c:pt idx="11">
                  <c:v>101</c:v>
                </c:pt>
                <c:pt idx="12">
                  <c:v>102</c:v>
                </c:pt>
                <c:pt idx="13">
                  <c:v>103</c:v>
                </c:pt>
                <c:pt idx="14">
                  <c:v>104</c:v>
                </c:pt>
                <c:pt idx="15">
                  <c:v>105</c:v>
                </c:pt>
                <c:pt idx="16">
                  <c:v>106</c:v>
                </c:pt>
                <c:pt idx="17">
                  <c:v>107</c:v>
                </c:pt>
                <c:pt idx="18">
                  <c:v>108</c:v>
                </c:pt>
                <c:pt idx="19">
                  <c:v>109</c:v>
                </c:pt>
                <c:pt idx="20">
                  <c:v>110</c:v>
                </c:pt>
                <c:pt idx="21">
                  <c:v>111</c:v>
                </c:pt>
                <c:pt idx="22">
                  <c:v>112</c:v>
                </c:pt>
                <c:pt idx="23">
                  <c:v>113</c:v>
                </c:pt>
                <c:pt idx="24">
                  <c:v>114</c:v>
                </c:pt>
                <c:pt idx="25">
                  <c:v>115</c:v>
                </c:pt>
                <c:pt idx="26">
                  <c:v>116</c:v>
                </c:pt>
                <c:pt idx="27">
                  <c:v>117</c:v>
                </c:pt>
                <c:pt idx="28">
                  <c:v>118</c:v>
                </c:pt>
                <c:pt idx="29">
                  <c:v>119</c:v>
                </c:pt>
                <c:pt idx="30">
                  <c:v>120</c:v>
                </c:pt>
                <c:pt idx="31">
                  <c:v>121</c:v>
                </c:pt>
                <c:pt idx="32">
                  <c:v>122</c:v>
                </c:pt>
                <c:pt idx="33">
                  <c:v>123</c:v>
                </c:pt>
                <c:pt idx="34">
                  <c:v>124</c:v>
                </c:pt>
                <c:pt idx="35">
                  <c:v>125</c:v>
                </c:pt>
                <c:pt idx="36">
                  <c:v>126</c:v>
                </c:pt>
                <c:pt idx="37">
                  <c:v>127</c:v>
                </c:pt>
                <c:pt idx="38">
                  <c:v>128</c:v>
                </c:pt>
                <c:pt idx="39">
                  <c:v>129</c:v>
                </c:pt>
                <c:pt idx="40">
                  <c:v>130</c:v>
                </c:pt>
                <c:pt idx="41">
                  <c:v>131</c:v>
                </c:pt>
                <c:pt idx="42">
                  <c:v>132</c:v>
                </c:pt>
                <c:pt idx="43">
                  <c:v>133</c:v>
                </c:pt>
                <c:pt idx="44">
                  <c:v>134</c:v>
                </c:pt>
                <c:pt idx="45">
                  <c:v>135</c:v>
                </c:pt>
                <c:pt idx="46">
                  <c:v>136</c:v>
                </c:pt>
                <c:pt idx="47">
                  <c:v>137</c:v>
                </c:pt>
                <c:pt idx="48">
                  <c:v>138</c:v>
                </c:pt>
                <c:pt idx="49">
                  <c:v>139</c:v>
                </c:pt>
                <c:pt idx="50">
                  <c:v>140</c:v>
                </c:pt>
                <c:pt idx="51">
                  <c:v>141</c:v>
                </c:pt>
                <c:pt idx="52">
                  <c:v>142</c:v>
                </c:pt>
                <c:pt idx="53">
                  <c:v>143</c:v>
                </c:pt>
                <c:pt idx="54">
                  <c:v>144</c:v>
                </c:pt>
                <c:pt idx="55">
                  <c:v>145</c:v>
                </c:pt>
                <c:pt idx="56">
                  <c:v>146</c:v>
                </c:pt>
                <c:pt idx="57">
                  <c:v>147</c:v>
                </c:pt>
                <c:pt idx="58">
                  <c:v>148</c:v>
                </c:pt>
                <c:pt idx="59">
                  <c:v>149</c:v>
                </c:pt>
                <c:pt idx="60">
                  <c:v>150</c:v>
                </c:pt>
                <c:pt idx="61">
                  <c:v>151</c:v>
                </c:pt>
                <c:pt idx="62">
                  <c:v>152</c:v>
                </c:pt>
                <c:pt idx="63">
                  <c:v>153</c:v>
                </c:pt>
                <c:pt idx="64">
                  <c:v>154</c:v>
                </c:pt>
                <c:pt idx="65">
                  <c:v>155</c:v>
                </c:pt>
                <c:pt idx="66">
                  <c:v>156</c:v>
                </c:pt>
                <c:pt idx="67">
                  <c:v>157</c:v>
                </c:pt>
                <c:pt idx="68">
                  <c:v>158</c:v>
                </c:pt>
                <c:pt idx="69">
                  <c:v>159</c:v>
                </c:pt>
                <c:pt idx="70">
                  <c:v>160</c:v>
                </c:pt>
                <c:pt idx="71">
                  <c:v>161</c:v>
                </c:pt>
                <c:pt idx="72">
                  <c:v>162</c:v>
                </c:pt>
                <c:pt idx="73">
                  <c:v>163</c:v>
                </c:pt>
                <c:pt idx="74">
                  <c:v>164</c:v>
                </c:pt>
                <c:pt idx="75">
                  <c:v>165</c:v>
                </c:pt>
                <c:pt idx="76">
                  <c:v>166</c:v>
                </c:pt>
                <c:pt idx="77">
                  <c:v>167</c:v>
                </c:pt>
                <c:pt idx="78">
                  <c:v>168</c:v>
                </c:pt>
                <c:pt idx="79">
                  <c:v>169</c:v>
                </c:pt>
                <c:pt idx="80">
                  <c:v>170</c:v>
                </c:pt>
                <c:pt idx="81">
                  <c:v>171</c:v>
                </c:pt>
                <c:pt idx="82">
                  <c:v>172</c:v>
                </c:pt>
                <c:pt idx="83">
                  <c:v>173</c:v>
                </c:pt>
                <c:pt idx="84">
                  <c:v>174</c:v>
                </c:pt>
                <c:pt idx="85">
                  <c:v>175</c:v>
                </c:pt>
                <c:pt idx="86">
                  <c:v>176</c:v>
                </c:pt>
                <c:pt idx="87">
                  <c:v>177</c:v>
                </c:pt>
                <c:pt idx="88">
                  <c:v>178</c:v>
                </c:pt>
                <c:pt idx="89">
                  <c:v>179</c:v>
                </c:pt>
                <c:pt idx="90">
                  <c:v>180</c:v>
                </c:pt>
                <c:pt idx="91">
                  <c:v>181</c:v>
                </c:pt>
                <c:pt idx="92">
                  <c:v>182</c:v>
                </c:pt>
                <c:pt idx="93">
                  <c:v>183</c:v>
                </c:pt>
                <c:pt idx="94">
                  <c:v>184</c:v>
                </c:pt>
                <c:pt idx="95">
                  <c:v>185</c:v>
                </c:pt>
                <c:pt idx="96">
                  <c:v>186</c:v>
                </c:pt>
                <c:pt idx="97">
                  <c:v>187</c:v>
                </c:pt>
                <c:pt idx="98">
                  <c:v>188</c:v>
                </c:pt>
                <c:pt idx="99">
                  <c:v>189</c:v>
                </c:pt>
                <c:pt idx="100">
                  <c:v>190</c:v>
                </c:pt>
                <c:pt idx="101">
                  <c:v>191</c:v>
                </c:pt>
                <c:pt idx="102">
                  <c:v>192</c:v>
                </c:pt>
                <c:pt idx="103">
                  <c:v>193</c:v>
                </c:pt>
                <c:pt idx="104">
                  <c:v>194</c:v>
                </c:pt>
                <c:pt idx="105">
                  <c:v>195</c:v>
                </c:pt>
                <c:pt idx="106">
                  <c:v>196</c:v>
                </c:pt>
                <c:pt idx="107">
                  <c:v>197</c:v>
                </c:pt>
                <c:pt idx="108">
                  <c:v>198</c:v>
                </c:pt>
                <c:pt idx="109">
                  <c:v>199</c:v>
                </c:pt>
                <c:pt idx="110">
                  <c:v>200</c:v>
                </c:pt>
                <c:pt idx="111">
                  <c:v>201</c:v>
                </c:pt>
                <c:pt idx="112">
                  <c:v>202</c:v>
                </c:pt>
                <c:pt idx="113">
                  <c:v>203</c:v>
                </c:pt>
                <c:pt idx="114">
                  <c:v>204</c:v>
                </c:pt>
                <c:pt idx="115">
                  <c:v>205</c:v>
                </c:pt>
                <c:pt idx="116">
                  <c:v>206</c:v>
                </c:pt>
                <c:pt idx="117">
                  <c:v>207</c:v>
                </c:pt>
                <c:pt idx="118">
                  <c:v>208</c:v>
                </c:pt>
                <c:pt idx="119">
                  <c:v>209</c:v>
                </c:pt>
                <c:pt idx="120">
                  <c:v>210</c:v>
                </c:pt>
                <c:pt idx="121">
                  <c:v>211</c:v>
                </c:pt>
                <c:pt idx="122">
                  <c:v>212</c:v>
                </c:pt>
                <c:pt idx="123">
                  <c:v>213</c:v>
                </c:pt>
                <c:pt idx="124">
                  <c:v>214</c:v>
                </c:pt>
                <c:pt idx="125">
                  <c:v>215</c:v>
                </c:pt>
                <c:pt idx="126">
                  <c:v>216</c:v>
                </c:pt>
                <c:pt idx="127">
                  <c:v>217</c:v>
                </c:pt>
                <c:pt idx="128">
                  <c:v>218</c:v>
                </c:pt>
                <c:pt idx="129">
                  <c:v>219</c:v>
                </c:pt>
                <c:pt idx="130">
                  <c:v>220</c:v>
                </c:pt>
                <c:pt idx="131">
                  <c:v>221</c:v>
                </c:pt>
                <c:pt idx="132">
                  <c:v>222</c:v>
                </c:pt>
                <c:pt idx="133">
                  <c:v>223</c:v>
                </c:pt>
                <c:pt idx="134">
                  <c:v>224</c:v>
                </c:pt>
                <c:pt idx="135">
                  <c:v>225</c:v>
                </c:pt>
                <c:pt idx="136">
                  <c:v>226</c:v>
                </c:pt>
                <c:pt idx="137">
                  <c:v>227</c:v>
                </c:pt>
                <c:pt idx="138">
                  <c:v>228</c:v>
                </c:pt>
                <c:pt idx="139">
                  <c:v>229</c:v>
                </c:pt>
                <c:pt idx="140">
                  <c:v>230</c:v>
                </c:pt>
                <c:pt idx="141">
                  <c:v>231</c:v>
                </c:pt>
                <c:pt idx="142">
                  <c:v>232</c:v>
                </c:pt>
                <c:pt idx="143">
                  <c:v>233</c:v>
                </c:pt>
                <c:pt idx="144">
                  <c:v>234</c:v>
                </c:pt>
                <c:pt idx="145">
                  <c:v>235</c:v>
                </c:pt>
                <c:pt idx="146">
                  <c:v>236</c:v>
                </c:pt>
                <c:pt idx="147">
                  <c:v>237</c:v>
                </c:pt>
                <c:pt idx="148">
                  <c:v>238</c:v>
                </c:pt>
                <c:pt idx="149">
                  <c:v>239</c:v>
                </c:pt>
                <c:pt idx="150">
                  <c:v>240</c:v>
                </c:pt>
                <c:pt idx="151">
                  <c:v>241</c:v>
                </c:pt>
                <c:pt idx="152">
                  <c:v>242</c:v>
                </c:pt>
                <c:pt idx="153">
                  <c:v>243</c:v>
                </c:pt>
                <c:pt idx="154">
                  <c:v>244</c:v>
                </c:pt>
                <c:pt idx="155">
                  <c:v>245</c:v>
                </c:pt>
                <c:pt idx="156">
                  <c:v>246</c:v>
                </c:pt>
                <c:pt idx="157">
                  <c:v>247</c:v>
                </c:pt>
                <c:pt idx="158">
                  <c:v>248</c:v>
                </c:pt>
                <c:pt idx="159">
                  <c:v>249</c:v>
                </c:pt>
                <c:pt idx="160">
                  <c:v>250</c:v>
                </c:pt>
                <c:pt idx="161">
                  <c:v>251</c:v>
                </c:pt>
                <c:pt idx="162">
                  <c:v>252</c:v>
                </c:pt>
                <c:pt idx="163">
                  <c:v>253</c:v>
                </c:pt>
                <c:pt idx="164">
                  <c:v>254</c:v>
                </c:pt>
                <c:pt idx="165">
                  <c:v>255</c:v>
                </c:pt>
                <c:pt idx="166">
                  <c:v>256</c:v>
                </c:pt>
                <c:pt idx="167">
                  <c:v>257</c:v>
                </c:pt>
                <c:pt idx="168">
                  <c:v>258</c:v>
                </c:pt>
                <c:pt idx="169">
                  <c:v>259</c:v>
                </c:pt>
                <c:pt idx="170">
                  <c:v>260</c:v>
                </c:pt>
                <c:pt idx="171">
                  <c:v>261</c:v>
                </c:pt>
                <c:pt idx="172">
                  <c:v>262</c:v>
                </c:pt>
                <c:pt idx="173">
                  <c:v>263</c:v>
                </c:pt>
                <c:pt idx="174">
                  <c:v>264</c:v>
                </c:pt>
                <c:pt idx="175">
                  <c:v>265</c:v>
                </c:pt>
                <c:pt idx="176">
                  <c:v>266</c:v>
                </c:pt>
                <c:pt idx="177">
                  <c:v>267</c:v>
                </c:pt>
                <c:pt idx="178">
                  <c:v>268</c:v>
                </c:pt>
                <c:pt idx="179">
                  <c:v>269</c:v>
                </c:pt>
                <c:pt idx="180">
                  <c:v>270</c:v>
                </c:pt>
                <c:pt idx="181">
                  <c:v>271</c:v>
                </c:pt>
                <c:pt idx="182">
                  <c:v>272</c:v>
                </c:pt>
                <c:pt idx="183">
                  <c:v>273</c:v>
                </c:pt>
                <c:pt idx="184">
                  <c:v>274</c:v>
                </c:pt>
                <c:pt idx="185">
                  <c:v>275</c:v>
                </c:pt>
                <c:pt idx="186">
                  <c:v>276</c:v>
                </c:pt>
                <c:pt idx="187">
                  <c:v>277</c:v>
                </c:pt>
                <c:pt idx="188">
                  <c:v>278</c:v>
                </c:pt>
                <c:pt idx="189">
                  <c:v>279</c:v>
                </c:pt>
                <c:pt idx="190">
                  <c:v>280</c:v>
                </c:pt>
                <c:pt idx="191">
                  <c:v>282</c:v>
                </c:pt>
                <c:pt idx="192">
                  <c:v>284</c:v>
                </c:pt>
                <c:pt idx="193">
                  <c:v>286</c:v>
                </c:pt>
                <c:pt idx="194">
                  <c:v>288</c:v>
                </c:pt>
                <c:pt idx="195">
                  <c:v>290</c:v>
                </c:pt>
                <c:pt idx="196">
                  <c:v>292</c:v>
                </c:pt>
                <c:pt idx="197">
                  <c:v>294</c:v>
                </c:pt>
                <c:pt idx="198">
                  <c:v>296</c:v>
                </c:pt>
                <c:pt idx="199">
                  <c:v>298</c:v>
                </c:pt>
                <c:pt idx="200">
                  <c:v>300</c:v>
                </c:pt>
              </c:numCache>
            </c:numRef>
          </c:cat>
          <c:val>
            <c:numRef>
              <c:f>Matrix!$S$11:$S$211</c:f>
              <c:numCache>
                <c:formatCode>General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0.375</c:v>
                </c:pt>
                <c:pt idx="82">
                  <c:v>0.375</c:v>
                </c:pt>
                <c:pt idx="83">
                  <c:v>0.375</c:v>
                </c:pt>
                <c:pt idx="84">
                  <c:v>0.375</c:v>
                </c:pt>
                <c:pt idx="85">
                  <c:v>0.375</c:v>
                </c:pt>
                <c:pt idx="86">
                  <c:v>0.375</c:v>
                </c:pt>
                <c:pt idx="87">
                  <c:v>0.375</c:v>
                </c:pt>
                <c:pt idx="88">
                  <c:v>0.375</c:v>
                </c:pt>
                <c:pt idx="89">
                  <c:v>0</c:v>
                </c:pt>
                <c:pt idx="90">
                  <c:v>0.125</c:v>
                </c:pt>
                <c:pt idx="91">
                  <c:v>0.125</c:v>
                </c:pt>
                <c:pt idx="92">
                  <c:v>0.125</c:v>
                </c:pt>
                <c:pt idx="93">
                  <c:v>0.125</c:v>
                </c:pt>
                <c:pt idx="94">
                  <c:v>0.125</c:v>
                </c:pt>
                <c:pt idx="95">
                  <c:v>0.125</c:v>
                </c:pt>
                <c:pt idx="96">
                  <c:v>0.125</c:v>
                </c:pt>
                <c:pt idx="97">
                  <c:v>0.125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F77-4BF5-A0BF-755925754142}"/>
            </c:ext>
          </c:extLst>
        </c:ser>
        <c:ser>
          <c:idx val="5"/>
          <c:order val="5"/>
          <c:tx>
            <c:strRef>
              <c:f>Matrix!$T$10</c:f>
              <c:strCache>
                <c:ptCount val="1"/>
                <c:pt idx="0">
                  <c:v>Gambit (C)</c:v>
                </c:pt>
              </c:strCache>
            </c:strRef>
          </c:tx>
          <c:spPr>
            <a:solidFill>
              <a:srgbClr val="FF33CC"/>
            </a:solidFill>
            <a:ln>
              <a:noFill/>
            </a:ln>
            <a:effectLst/>
          </c:spPr>
          <c:cat>
            <c:numRef>
              <c:f>Matrix!$B$11:$B$211</c:f>
              <c:numCache>
                <c:formatCode>General</c:formatCode>
                <c:ptCount val="201"/>
                <c:pt idx="0">
                  <c:v>83</c:v>
                </c:pt>
                <c:pt idx="1">
                  <c:v>85</c:v>
                </c:pt>
                <c:pt idx="2">
                  <c:v>87</c:v>
                </c:pt>
                <c:pt idx="3">
                  <c:v>89</c:v>
                </c:pt>
                <c:pt idx="4">
                  <c:v>91</c:v>
                </c:pt>
                <c:pt idx="5">
                  <c:v>93</c:v>
                </c:pt>
                <c:pt idx="6">
                  <c:v>95</c:v>
                </c:pt>
                <c:pt idx="7">
                  <c:v>97</c:v>
                </c:pt>
                <c:pt idx="8">
                  <c:v>98</c:v>
                </c:pt>
                <c:pt idx="9">
                  <c:v>99</c:v>
                </c:pt>
                <c:pt idx="10">
                  <c:v>100</c:v>
                </c:pt>
                <c:pt idx="11">
                  <c:v>101</c:v>
                </c:pt>
                <c:pt idx="12">
                  <c:v>102</c:v>
                </c:pt>
                <c:pt idx="13">
                  <c:v>103</c:v>
                </c:pt>
                <c:pt idx="14">
                  <c:v>104</c:v>
                </c:pt>
                <c:pt idx="15">
                  <c:v>105</c:v>
                </c:pt>
                <c:pt idx="16">
                  <c:v>106</c:v>
                </c:pt>
                <c:pt idx="17">
                  <c:v>107</c:v>
                </c:pt>
                <c:pt idx="18">
                  <c:v>108</c:v>
                </c:pt>
                <c:pt idx="19">
                  <c:v>109</c:v>
                </c:pt>
                <c:pt idx="20">
                  <c:v>110</c:v>
                </c:pt>
                <c:pt idx="21">
                  <c:v>111</c:v>
                </c:pt>
                <c:pt idx="22">
                  <c:v>112</c:v>
                </c:pt>
                <c:pt idx="23">
                  <c:v>113</c:v>
                </c:pt>
                <c:pt idx="24">
                  <c:v>114</c:v>
                </c:pt>
                <c:pt idx="25">
                  <c:v>115</c:v>
                </c:pt>
                <c:pt idx="26">
                  <c:v>116</c:v>
                </c:pt>
                <c:pt idx="27">
                  <c:v>117</c:v>
                </c:pt>
                <c:pt idx="28">
                  <c:v>118</c:v>
                </c:pt>
                <c:pt idx="29">
                  <c:v>119</c:v>
                </c:pt>
                <c:pt idx="30">
                  <c:v>120</c:v>
                </c:pt>
                <c:pt idx="31">
                  <c:v>121</c:v>
                </c:pt>
                <c:pt idx="32">
                  <c:v>122</c:v>
                </c:pt>
                <c:pt idx="33">
                  <c:v>123</c:v>
                </c:pt>
                <c:pt idx="34">
                  <c:v>124</c:v>
                </c:pt>
                <c:pt idx="35">
                  <c:v>125</c:v>
                </c:pt>
                <c:pt idx="36">
                  <c:v>126</c:v>
                </c:pt>
                <c:pt idx="37">
                  <c:v>127</c:v>
                </c:pt>
                <c:pt idx="38">
                  <c:v>128</c:v>
                </c:pt>
                <c:pt idx="39">
                  <c:v>129</c:v>
                </c:pt>
                <c:pt idx="40">
                  <c:v>130</c:v>
                </c:pt>
                <c:pt idx="41">
                  <c:v>131</c:v>
                </c:pt>
                <c:pt idx="42">
                  <c:v>132</c:v>
                </c:pt>
                <c:pt idx="43">
                  <c:v>133</c:v>
                </c:pt>
                <c:pt idx="44">
                  <c:v>134</c:v>
                </c:pt>
                <c:pt idx="45">
                  <c:v>135</c:v>
                </c:pt>
                <c:pt idx="46">
                  <c:v>136</c:v>
                </c:pt>
                <c:pt idx="47">
                  <c:v>137</c:v>
                </c:pt>
                <c:pt idx="48">
                  <c:v>138</c:v>
                </c:pt>
                <c:pt idx="49">
                  <c:v>139</c:v>
                </c:pt>
                <c:pt idx="50">
                  <c:v>140</c:v>
                </c:pt>
                <c:pt idx="51">
                  <c:v>141</c:v>
                </c:pt>
                <c:pt idx="52">
                  <c:v>142</c:v>
                </c:pt>
                <c:pt idx="53">
                  <c:v>143</c:v>
                </c:pt>
                <c:pt idx="54">
                  <c:v>144</c:v>
                </c:pt>
                <c:pt idx="55">
                  <c:v>145</c:v>
                </c:pt>
                <c:pt idx="56">
                  <c:v>146</c:v>
                </c:pt>
                <c:pt idx="57">
                  <c:v>147</c:v>
                </c:pt>
                <c:pt idx="58">
                  <c:v>148</c:v>
                </c:pt>
                <c:pt idx="59">
                  <c:v>149</c:v>
                </c:pt>
                <c:pt idx="60">
                  <c:v>150</c:v>
                </c:pt>
                <c:pt idx="61">
                  <c:v>151</c:v>
                </c:pt>
                <c:pt idx="62">
                  <c:v>152</c:v>
                </c:pt>
                <c:pt idx="63">
                  <c:v>153</c:v>
                </c:pt>
                <c:pt idx="64">
                  <c:v>154</c:v>
                </c:pt>
                <c:pt idx="65">
                  <c:v>155</c:v>
                </c:pt>
                <c:pt idx="66">
                  <c:v>156</c:v>
                </c:pt>
                <c:pt idx="67">
                  <c:v>157</c:v>
                </c:pt>
                <c:pt idx="68">
                  <c:v>158</c:v>
                </c:pt>
                <c:pt idx="69">
                  <c:v>159</c:v>
                </c:pt>
                <c:pt idx="70">
                  <c:v>160</c:v>
                </c:pt>
                <c:pt idx="71">
                  <c:v>161</c:v>
                </c:pt>
                <c:pt idx="72">
                  <c:v>162</c:v>
                </c:pt>
                <c:pt idx="73">
                  <c:v>163</c:v>
                </c:pt>
                <c:pt idx="74">
                  <c:v>164</c:v>
                </c:pt>
                <c:pt idx="75">
                  <c:v>165</c:v>
                </c:pt>
                <c:pt idx="76">
                  <c:v>166</c:v>
                </c:pt>
                <c:pt idx="77">
                  <c:v>167</c:v>
                </c:pt>
                <c:pt idx="78">
                  <c:v>168</c:v>
                </c:pt>
                <c:pt idx="79">
                  <c:v>169</c:v>
                </c:pt>
                <c:pt idx="80">
                  <c:v>170</c:v>
                </c:pt>
                <c:pt idx="81">
                  <c:v>171</c:v>
                </c:pt>
                <c:pt idx="82">
                  <c:v>172</c:v>
                </c:pt>
                <c:pt idx="83">
                  <c:v>173</c:v>
                </c:pt>
                <c:pt idx="84">
                  <c:v>174</c:v>
                </c:pt>
                <c:pt idx="85">
                  <c:v>175</c:v>
                </c:pt>
                <c:pt idx="86">
                  <c:v>176</c:v>
                </c:pt>
                <c:pt idx="87">
                  <c:v>177</c:v>
                </c:pt>
                <c:pt idx="88">
                  <c:v>178</c:v>
                </c:pt>
                <c:pt idx="89">
                  <c:v>179</c:v>
                </c:pt>
                <c:pt idx="90">
                  <c:v>180</c:v>
                </c:pt>
                <c:pt idx="91">
                  <c:v>181</c:v>
                </c:pt>
                <c:pt idx="92">
                  <c:v>182</c:v>
                </c:pt>
                <c:pt idx="93">
                  <c:v>183</c:v>
                </c:pt>
                <c:pt idx="94">
                  <c:v>184</c:v>
                </c:pt>
                <c:pt idx="95">
                  <c:v>185</c:v>
                </c:pt>
                <c:pt idx="96">
                  <c:v>186</c:v>
                </c:pt>
                <c:pt idx="97">
                  <c:v>187</c:v>
                </c:pt>
                <c:pt idx="98">
                  <c:v>188</c:v>
                </c:pt>
                <c:pt idx="99">
                  <c:v>189</c:v>
                </c:pt>
                <c:pt idx="100">
                  <c:v>190</c:v>
                </c:pt>
                <c:pt idx="101">
                  <c:v>191</c:v>
                </c:pt>
                <c:pt idx="102">
                  <c:v>192</c:v>
                </c:pt>
                <c:pt idx="103">
                  <c:v>193</c:v>
                </c:pt>
                <c:pt idx="104">
                  <c:v>194</c:v>
                </c:pt>
                <c:pt idx="105">
                  <c:v>195</c:v>
                </c:pt>
                <c:pt idx="106">
                  <c:v>196</c:v>
                </c:pt>
                <c:pt idx="107">
                  <c:v>197</c:v>
                </c:pt>
                <c:pt idx="108">
                  <c:v>198</c:v>
                </c:pt>
                <c:pt idx="109">
                  <c:v>199</c:v>
                </c:pt>
                <c:pt idx="110">
                  <c:v>200</c:v>
                </c:pt>
                <c:pt idx="111">
                  <c:v>201</c:v>
                </c:pt>
                <c:pt idx="112">
                  <c:v>202</c:v>
                </c:pt>
                <c:pt idx="113">
                  <c:v>203</c:v>
                </c:pt>
                <c:pt idx="114">
                  <c:v>204</c:v>
                </c:pt>
                <c:pt idx="115">
                  <c:v>205</c:v>
                </c:pt>
                <c:pt idx="116">
                  <c:v>206</c:v>
                </c:pt>
                <c:pt idx="117">
                  <c:v>207</c:v>
                </c:pt>
                <c:pt idx="118">
                  <c:v>208</c:v>
                </c:pt>
                <c:pt idx="119">
                  <c:v>209</c:v>
                </c:pt>
                <c:pt idx="120">
                  <c:v>210</c:v>
                </c:pt>
                <c:pt idx="121">
                  <c:v>211</c:v>
                </c:pt>
                <c:pt idx="122">
                  <c:v>212</c:v>
                </c:pt>
                <c:pt idx="123">
                  <c:v>213</c:v>
                </c:pt>
                <c:pt idx="124">
                  <c:v>214</c:v>
                </c:pt>
                <c:pt idx="125">
                  <c:v>215</c:v>
                </c:pt>
                <c:pt idx="126">
                  <c:v>216</c:v>
                </c:pt>
                <c:pt idx="127">
                  <c:v>217</c:v>
                </c:pt>
                <c:pt idx="128">
                  <c:v>218</c:v>
                </c:pt>
                <c:pt idx="129">
                  <c:v>219</c:v>
                </c:pt>
                <c:pt idx="130">
                  <c:v>220</c:v>
                </c:pt>
                <c:pt idx="131">
                  <c:v>221</c:v>
                </c:pt>
                <c:pt idx="132">
                  <c:v>222</c:v>
                </c:pt>
                <c:pt idx="133">
                  <c:v>223</c:v>
                </c:pt>
                <c:pt idx="134">
                  <c:v>224</c:v>
                </c:pt>
                <c:pt idx="135">
                  <c:v>225</c:v>
                </c:pt>
                <c:pt idx="136">
                  <c:v>226</c:v>
                </c:pt>
                <c:pt idx="137">
                  <c:v>227</c:v>
                </c:pt>
                <c:pt idx="138">
                  <c:v>228</c:v>
                </c:pt>
                <c:pt idx="139">
                  <c:v>229</c:v>
                </c:pt>
                <c:pt idx="140">
                  <c:v>230</c:v>
                </c:pt>
                <c:pt idx="141">
                  <c:v>231</c:v>
                </c:pt>
                <c:pt idx="142">
                  <c:v>232</c:v>
                </c:pt>
                <c:pt idx="143">
                  <c:v>233</c:v>
                </c:pt>
                <c:pt idx="144">
                  <c:v>234</c:v>
                </c:pt>
                <c:pt idx="145">
                  <c:v>235</c:v>
                </c:pt>
                <c:pt idx="146">
                  <c:v>236</c:v>
                </c:pt>
                <c:pt idx="147">
                  <c:v>237</c:v>
                </c:pt>
                <c:pt idx="148">
                  <c:v>238</c:v>
                </c:pt>
                <c:pt idx="149">
                  <c:v>239</c:v>
                </c:pt>
                <c:pt idx="150">
                  <c:v>240</c:v>
                </c:pt>
                <c:pt idx="151">
                  <c:v>241</c:v>
                </c:pt>
                <c:pt idx="152">
                  <c:v>242</c:v>
                </c:pt>
                <c:pt idx="153">
                  <c:v>243</c:v>
                </c:pt>
                <c:pt idx="154">
                  <c:v>244</c:v>
                </c:pt>
                <c:pt idx="155">
                  <c:v>245</c:v>
                </c:pt>
                <c:pt idx="156">
                  <c:v>246</c:v>
                </c:pt>
                <c:pt idx="157">
                  <c:v>247</c:v>
                </c:pt>
                <c:pt idx="158">
                  <c:v>248</c:v>
                </c:pt>
                <c:pt idx="159">
                  <c:v>249</c:v>
                </c:pt>
                <c:pt idx="160">
                  <c:v>250</c:v>
                </c:pt>
                <c:pt idx="161">
                  <c:v>251</c:v>
                </c:pt>
                <c:pt idx="162">
                  <c:v>252</c:v>
                </c:pt>
                <c:pt idx="163">
                  <c:v>253</c:v>
                </c:pt>
                <c:pt idx="164">
                  <c:v>254</c:v>
                </c:pt>
                <c:pt idx="165">
                  <c:v>255</c:v>
                </c:pt>
                <c:pt idx="166">
                  <c:v>256</c:v>
                </c:pt>
                <c:pt idx="167">
                  <c:v>257</c:v>
                </c:pt>
                <c:pt idx="168">
                  <c:v>258</c:v>
                </c:pt>
                <c:pt idx="169">
                  <c:v>259</c:v>
                </c:pt>
                <c:pt idx="170">
                  <c:v>260</c:v>
                </c:pt>
                <c:pt idx="171">
                  <c:v>261</c:v>
                </c:pt>
                <c:pt idx="172">
                  <c:v>262</c:v>
                </c:pt>
                <c:pt idx="173">
                  <c:v>263</c:v>
                </c:pt>
                <c:pt idx="174">
                  <c:v>264</c:v>
                </c:pt>
                <c:pt idx="175">
                  <c:v>265</c:v>
                </c:pt>
                <c:pt idx="176">
                  <c:v>266</c:v>
                </c:pt>
                <c:pt idx="177">
                  <c:v>267</c:v>
                </c:pt>
                <c:pt idx="178">
                  <c:v>268</c:v>
                </c:pt>
                <c:pt idx="179">
                  <c:v>269</c:v>
                </c:pt>
                <c:pt idx="180">
                  <c:v>270</c:v>
                </c:pt>
                <c:pt idx="181">
                  <c:v>271</c:v>
                </c:pt>
                <c:pt idx="182">
                  <c:v>272</c:v>
                </c:pt>
                <c:pt idx="183">
                  <c:v>273</c:v>
                </c:pt>
                <c:pt idx="184">
                  <c:v>274</c:v>
                </c:pt>
                <c:pt idx="185">
                  <c:v>275</c:v>
                </c:pt>
                <c:pt idx="186">
                  <c:v>276</c:v>
                </c:pt>
                <c:pt idx="187">
                  <c:v>277</c:v>
                </c:pt>
                <c:pt idx="188">
                  <c:v>278</c:v>
                </c:pt>
                <c:pt idx="189">
                  <c:v>279</c:v>
                </c:pt>
                <c:pt idx="190">
                  <c:v>280</c:v>
                </c:pt>
                <c:pt idx="191">
                  <c:v>282</c:v>
                </c:pt>
                <c:pt idx="192">
                  <c:v>284</c:v>
                </c:pt>
                <c:pt idx="193">
                  <c:v>286</c:v>
                </c:pt>
                <c:pt idx="194">
                  <c:v>288</c:v>
                </c:pt>
                <c:pt idx="195">
                  <c:v>290</c:v>
                </c:pt>
                <c:pt idx="196">
                  <c:v>292</c:v>
                </c:pt>
                <c:pt idx="197">
                  <c:v>294</c:v>
                </c:pt>
                <c:pt idx="198">
                  <c:v>296</c:v>
                </c:pt>
                <c:pt idx="199">
                  <c:v>298</c:v>
                </c:pt>
                <c:pt idx="200">
                  <c:v>300</c:v>
                </c:pt>
              </c:numCache>
            </c:numRef>
          </c:cat>
          <c:val>
            <c:numRef>
              <c:f>Matrix!$T$11:$T$211</c:f>
              <c:numCache>
                <c:formatCode>General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F77-4BF5-A0BF-755925754142}"/>
            </c:ext>
          </c:extLst>
        </c:ser>
        <c:ser>
          <c:idx val="6"/>
          <c:order val="6"/>
          <c:tx>
            <c:strRef>
              <c:f>Matrix!$U$10</c:f>
              <c:strCache>
                <c:ptCount val="1"/>
                <c:pt idx="0">
                  <c:v>Gambit (N)</c:v>
                </c:pt>
              </c:strCache>
            </c:strRef>
          </c:tx>
          <c:spPr>
            <a:solidFill>
              <a:srgbClr val="CC00FF"/>
            </a:solidFill>
            <a:ln>
              <a:noFill/>
            </a:ln>
            <a:effectLst/>
          </c:spPr>
          <c:cat>
            <c:numRef>
              <c:f>Matrix!$B$11:$B$211</c:f>
              <c:numCache>
                <c:formatCode>General</c:formatCode>
                <c:ptCount val="201"/>
                <c:pt idx="0">
                  <c:v>83</c:v>
                </c:pt>
                <c:pt idx="1">
                  <c:v>85</c:v>
                </c:pt>
                <c:pt idx="2">
                  <c:v>87</c:v>
                </c:pt>
                <c:pt idx="3">
                  <c:v>89</c:v>
                </c:pt>
                <c:pt idx="4">
                  <c:v>91</c:v>
                </c:pt>
                <c:pt idx="5">
                  <c:v>93</c:v>
                </c:pt>
                <c:pt idx="6">
                  <c:v>95</c:v>
                </c:pt>
                <c:pt idx="7">
                  <c:v>97</c:v>
                </c:pt>
                <c:pt idx="8">
                  <c:v>98</c:v>
                </c:pt>
                <c:pt idx="9">
                  <c:v>99</c:v>
                </c:pt>
                <c:pt idx="10">
                  <c:v>100</c:v>
                </c:pt>
                <c:pt idx="11">
                  <c:v>101</c:v>
                </c:pt>
                <c:pt idx="12">
                  <c:v>102</c:v>
                </c:pt>
                <c:pt idx="13">
                  <c:v>103</c:v>
                </c:pt>
                <c:pt idx="14">
                  <c:v>104</c:v>
                </c:pt>
                <c:pt idx="15">
                  <c:v>105</c:v>
                </c:pt>
                <c:pt idx="16">
                  <c:v>106</c:v>
                </c:pt>
                <c:pt idx="17">
                  <c:v>107</c:v>
                </c:pt>
                <c:pt idx="18">
                  <c:v>108</c:v>
                </c:pt>
                <c:pt idx="19">
                  <c:v>109</c:v>
                </c:pt>
                <c:pt idx="20">
                  <c:v>110</c:v>
                </c:pt>
                <c:pt idx="21">
                  <c:v>111</c:v>
                </c:pt>
                <c:pt idx="22">
                  <c:v>112</c:v>
                </c:pt>
                <c:pt idx="23">
                  <c:v>113</c:v>
                </c:pt>
                <c:pt idx="24">
                  <c:v>114</c:v>
                </c:pt>
                <c:pt idx="25">
                  <c:v>115</c:v>
                </c:pt>
                <c:pt idx="26">
                  <c:v>116</c:v>
                </c:pt>
                <c:pt idx="27">
                  <c:v>117</c:v>
                </c:pt>
                <c:pt idx="28">
                  <c:v>118</c:v>
                </c:pt>
                <c:pt idx="29">
                  <c:v>119</c:v>
                </c:pt>
                <c:pt idx="30">
                  <c:v>120</c:v>
                </c:pt>
                <c:pt idx="31">
                  <c:v>121</c:v>
                </c:pt>
                <c:pt idx="32">
                  <c:v>122</c:v>
                </c:pt>
                <c:pt idx="33">
                  <c:v>123</c:v>
                </c:pt>
                <c:pt idx="34">
                  <c:v>124</c:v>
                </c:pt>
                <c:pt idx="35">
                  <c:v>125</c:v>
                </c:pt>
                <c:pt idx="36">
                  <c:v>126</c:v>
                </c:pt>
                <c:pt idx="37">
                  <c:v>127</c:v>
                </c:pt>
                <c:pt idx="38">
                  <c:v>128</c:v>
                </c:pt>
                <c:pt idx="39">
                  <c:v>129</c:v>
                </c:pt>
                <c:pt idx="40">
                  <c:v>130</c:v>
                </c:pt>
                <c:pt idx="41">
                  <c:v>131</c:v>
                </c:pt>
                <c:pt idx="42">
                  <c:v>132</c:v>
                </c:pt>
                <c:pt idx="43">
                  <c:v>133</c:v>
                </c:pt>
                <c:pt idx="44">
                  <c:v>134</c:v>
                </c:pt>
                <c:pt idx="45">
                  <c:v>135</c:v>
                </c:pt>
                <c:pt idx="46">
                  <c:v>136</c:v>
                </c:pt>
                <c:pt idx="47">
                  <c:v>137</c:v>
                </c:pt>
                <c:pt idx="48">
                  <c:v>138</c:v>
                </c:pt>
                <c:pt idx="49">
                  <c:v>139</c:v>
                </c:pt>
                <c:pt idx="50">
                  <c:v>140</c:v>
                </c:pt>
                <c:pt idx="51">
                  <c:v>141</c:v>
                </c:pt>
                <c:pt idx="52">
                  <c:v>142</c:v>
                </c:pt>
                <c:pt idx="53">
                  <c:v>143</c:v>
                </c:pt>
                <c:pt idx="54">
                  <c:v>144</c:v>
                </c:pt>
                <c:pt idx="55">
                  <c:v>145</c:v>
                </c:pt>
                <c:pt idx="56">
                  <c:v>146</c:v>
                </c:pt>
                <c:pt idx="57">
                  <c:v>147</c:v>
                </c:pt>
                <c:pt idx="58">
                  <c:v>148</c:v>
                </c:pt>
                <c:pt idx="59">
                  <c:v>149</c:v>
                </c:pt>
                <c:pt idx="60">
                  <c:v>150</c:v>
                </c:pt>
                <c:pt idx="61">
                  <c:v>151</c:v>
                </c:pt>
                <c:pt idx="62">
                  <c:v>152</c:v>
                </c:pt>
                <c:pt idx="63">
                  <c:v>153</c:v>
                </c:pt>
                <c:pt idx="64">
                  <c:v>154</c:v>
                </c:pt>
                <c:pt idx="65">
                  <c:v>155</c:v>
                </c:pt>
                <c:pt idx="66">
                  <c:v>156</c:v>
                </c:pt>
                <c:pt idx="67">
                  <c:v>157</c:v>
                </c:pt>
                <c:pt idx="68">
                  <c:v>158</c:v>
                </c:pt>
                <c:pt idx="69">
                  <c:v>159</c:v>
                </c:pt>
                <c:pt idx="70">
                  <c:v>160</c:v>
                </c:pt>
                <c:pt idx="71">
                  <c:v>161</c:v>
                </c:pt>
                <c:pt idx="72">
                  <c:v>162</c:v>
                </c:pt>
                <c:pt idx="73">
                  <c:v>163</c:v>
                </c:pt>
                <c:pt idx="74">
                  <c:v>164</c:v>
                </c:pt>
                <c:pt idx="75">
                  <c:v>165</c:v>
                </c:pt>
                <c:pt idx="76">
                  <c:v>166</c:v>
                </c:pt>
                <c:pt idx="77">
                  <c:v>167</c:v>
                </c:pt>
                <c:pt idx="78">
                  <c:v>168</c:v>
                </c:pt>
                <c:pt idx="79">
                  <c:v>169</c:v>
                </c:pt>
                <c:pt idx="80">
                  <c:v>170</c:v>
                </c:pt>
                <c:pt idx="81">
                  <c:v>171</c:v>
                </c:pt>
                <c:pt idx="82">
                  <c:v>172</c:v>
                </c:pt>
                <c:pt idx="83">
                  <c:v>173</c:v>
                </c:pt>
                <c:pt idx="84">
                  <c:v>174</c:v>
                </c:pt>
                <c:pt idx="85">
                  <c:v>175</c:v>
                </c:pt>
                <c:pt idx="86">
                  <c:v>176</c:v>
                </c:pt>
                <c:pt idx="87">
                  <c:v>177</c:v>
                </c:pt>
                <c:pt idx="88">
                  <c:v>178</c:v>
                </c:pt>
                <c:pt idx="89">
                  <c:v>179</c:v>
                </c:pt>
                <c:pt idx="90">
                  <c:v>180</c:v>
                </c:pt>
                <c:pt idx="91">
                  <c:v>181</c:v>
                </c:pt>
                <c:pt idx="92">
                  <c:v>182</c:v>
                </c:pt>
                <c:pt idx="93">
                  <c:v>183</c:v>
                </c:pt>
                <c:pt idx="94">
                  <c:v>184</c:v>
                </c:pt>
                <c:pt idx="95">
                  <c:v>185</c:v>
                </c:pt>
                <c:pt idx="96">
                  <c:v>186</c:v>
                </c:pt>
                <c:pt idx="97">
                  <c:v>187</c:v>
                </c:pt>
                <c:pt idx="98">
                  <c:v>188</c:v>
                </c:pt>
                <c:pt idx="99">
                  <c:v>189</c:v>
                </c:pt>
                <c:pt idx="100">
                  <c:v>190</c:v>
                </c:pt>
                <c:pt idx="101">
                  <c:v>191</c:v>
                </c:pt>
                <c:pt idx="102">
                  <c:v>192</c:v>
                </c:pt>
                <c:pt idx="103">
                  <c:v>193</c:v>
                </c:pt>
                <c:pt idx="104">
                  <c:v>194</c:v>
                </c:pt>
                <c:pt idx="105">
                  <c:v>195</c:v>
                </c:pt>
                <c:pt idx="106">
                  <c:v>196</c:v>
                </c:pt>
                <c:pt idx="107">
                  <c:v>197</c:v>
                </c:pt>
                <c:pt idx="108">
                  <c:v>198</c:v>
                </c:pt>
                <c:pt idx="109">
                  <c:v>199</c:v>
                </c:pt>
                <c:pt idx="110">
                  <c:v>200</c:v>
                </c:pt>
                <c:pt idx="111">
                  <c:v>201</c:v>
                </c:pt>
                <c:pt idx="112">
                  <c:v>202</c:v>
                </c:pt>
                <c:pt idx="113">
                  <c:v>203</c:v>
                </c:pt>
                <c:pt idx="114">
                  <c:v>204</c:v>
                </c:pt>
                <c:pt idx="115">
                  <c:v>205</c:v>
                </c:pt>
                <c:pt idx="116">
                  <c:v>206</c:v>
                </c:pt>
                <c:pt idx="117">
                  <c:v>207</c:v>
                </c:pt>
                <c:pt idx="118">
                  <c:v>208</c:v>
                </c:pt>
                <c:pt idx="119">
                  <c:v>209</c:v>
                </c:pt>
                <c:pt idx="120">
                  <c:v>210</c:v>
                </c:pt>
                <c:pt idx="121">
                  <c:v>211</c:v>
                </c:pt>
                <c:pt idx="122">
                  <c:v>212</c:v>
                </c:pt>
                <c:pt idx="123">
                  <c:v>213</c:v>
                </c:pt>
                <c:pt idx="124">
                  <c:v>214</c:v>
                </c:pt>
                <c:pt idx="125">
                  <c:v>215</c:v>
                </c:pt>
                <c:pt idx="126">
                  <c:v>216</c:v>
                </c:pt>
                <c:pt idx="127">
                  <c:v>217</c:v>
                </c:pt>
                <c:pt idx="128">
                  <c:v>218</c:v>
                </c:pt>
                <c:pt idx="129">
                  <c:v>219</c:v>
                </c:pt>
                <c:pt idx="130">
                  <c:v>220</c:v>
                </c:pt>
                <c:pt idx="131">
                  <c:v>221</c:v>
                </c:pt>
                <c:pt idx="132">
                  <c:v>222</c:v>
                </c:pt>
                <c:pt idx="133">
                  <c:v>223</c:v>
                </c:pt>
                <c:pt idx="134">
                  <c:v>224</c:v>
                </c:pt>
                <c:pt idx="135">
                  <c:v>225</c:v>
                </c:pt>
                <c:pt idx="136">
                  <c:v>226</c:v>
                </c:pt>
                <c:pt idx="137">
                  <c:v>227</c:v>
                </c:pt>
                <c:pt idx="138">
                  <c:v>228</c:v>
                </c:pt>
                <c:pt idx="139">
                  <c:v>229</c:v>
                </c:pt>
                <c:pt idx="140">
                  <c:v>230</c:v>
                </c:pt>
                <c:pt idx="141">
                  <c:v>231</c:v>
                </c:pt>
                <c:pt idx="142">
                  <c:v>232</c:v>
                </c:pt>
                <c:pt idx="143">
                  <c:v>233</c:v>
                </c:pt>
                <c:pt idx="144">
                  <c:v>234</c:v>
                </c:pt>
                <c:pt idx="145">
                  <c:v>235</c:v>
                </c:pt>
                <c:pt idx="146">
                  <c:v>236</c:v>
                </c:pt>
                <c:pt idx="147">
                  <c:v>237</c:v>
                </c:pt>
                <c:pt idx="148">
                  <c:v>238</c:v>
                </c:pt>
                <c:pt idx="149">
                  <c:v>239</c:v>
                </c:pt>
                <c:pt idx="150">
                  <c:v>240</c:v>
                </c:pt>
                <c:pt idx="151">
                  <c:v>241</c:v>
                </c:pt>
                <c:pt idx="152">
                  <c:v>242</c:v>
                </c:pt>
                <c:pt idx="153">
                  <c:v>243</c:v>
                </c:pt>
                <c:pt idx="154">
                  <c:v>244</c:v>
                </c:pt>
                <c:pt idx="155">
                  <c:v>245</c:v>
                </c:pt>
                <c:pt idx="156">
                  <c:v>246</c:v>
                </c:pt>
                <c:pt idx="157">
                  <c:v>247</c:v>
                </c:pt>
                <c:pt idx="158">
                  <c:v>248</c:v>
                </c:pt>
                <c:pt idx="159">
                  <c:v>249</c:v>
                </c:pt>
                <c:pt idx="160">
                  <c:v>250</c:v>
                </c:pt>
                <c:pt idx="161">
                  <c:v>251</c:v>
                </c:pt>
                <c:pt idx="162">
                  <c:v>252</c:v>
                </c:pt>
                <c:pt idx="163">
                  <c:v>253</c:v>
                </c:pt>
                <c:pt idx="164">
                  <c:v>254</c:v>
                </c:pt>
                <c:pt idx="165">
                  <c:v>255</c:v>
                </c:pt>
                <c:pt idx="166">
                  <c:v>256</c:v>
                </c:pt>
                <c:pt idx="167">
                  <c:v>257</c:v>
                </c:pt>
                <c:pt idx="168">
                  <c:v>258</c:v>
                </c:pt>
                <c:pt idx="169">
                  <c:v>259</c:v>
                </c:pt>
                <c:pt idx="170">
                  <c:v>260</c:v>
                </c:pt>
                <c:pt idx="171">
                  <c:v>261</c:v>
                </c:pt>
                <c:pt idx="172">
                  <c:v>262</c:v>
                </c:pt>
                <c:pt idx="173">
                  <c:v>263</c:v>
                </c:pt>
                <c:pt idx="174">
                  <c:v>264</c:v>
                </c:pt>
                <c:pt idx="175">
                  <c:v>265</c:v>
                </c:pt>
                <c:pt idx="176">
                  <c:v>266</c:v>
                </c:pt>
                <c:pt idx="177">
                  <c:v>267</c:v>
                </c:pt>
                <c:pt idx="178">
                  <c:v>268</c:v>
                </c:pt>
                <c:pt idx="179">
                  <c:v>269</c:v>
                </c:pt>
                <c:pt idx="180">
                  <c:v>270</c:v>
                </c:pt>
                <c:pt idx="181">
                  <c:v>271</c:v>
                </c:pt>
                <c:pt idx="182">
                  <c:v>272</c:v>
                </c:pt>
                <c:pt idx="183">
                  <c:v>273</c:v>
                </c:pt>
                <c:pt idx="184">
                  <c:v>274</c:v>
                </c:pt>
                <c:pt idx="185">
                  <c:v>275</c:v>
                </c:pt>
                <c:pt idx="186">
                  <c:v>276</c:v>
                </c:pt>
                <c:pt idx="187">
                  <c:v>277</c:v>
                </c:pt>
                <c:pt idx="188">
                  <c:v>278</c:v>
                </c:pt>
                <c:pt idx="189">
                  <c:v>279</c:v>
                </c:pt>
                <c:pt idx="190">
                  <c:v>280</c:v>
                </c:pt>
                <c:pt idx="191">
                  <c:v>282</c:v>
                </c:pt>
                <c:pt idx="192">
                  <c:v>284</c:v>
                </c:pt>
                <c:pt idx="193">
                  <c:v>286</c:v>
                </c:pt>
                <c:pt idx="194">
                  <c:v>288</c:v>
                </c:pt>
                <c:pt idx="195">
                  <c:v>290</c:v>
                </c:pt>
                <c:pt idx="196">
                  <c:v>292</c:v>
                </c:pt>
                <c:pt idx="197">
                  <c:v>294</c:v>
                </c:pt>
                <c:pt idx="198">
                  <c:v>296</c:v>
                </c:pt>
                <c:pt idx="199">
                  <c:v>298</c:v>
                </c:pt>
                <c:pt idx="200">
                  <c:v>300</c:v>
                </c:pt>
              </c:numCache>
            </c:numRef>
          </c:cat>
          <c:val>
            <c:numRef>
              <c:f>Matrix!$U$11:$U$211</c:f>
              <c:numCache>
                <c:formatCode>General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F77-4BF5-A0BF-755925754142}"/>
            </c:ext>
          </c:extLst>
        </c:ser>
        <c:ser>
          <c:idx val="7"/>
          <c:order val="7"/>
          <c:tx>
            <c:strRef>
              <c:f>Matrix!$V$10</c:f>
              <c:strCache>
                <c:ptCount val="1"/>
                <c:pt idx="0">
                  <c:v>Magneto (C)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Matrix!$B$11:$B$211</c:f>
              <c:numCache>
                <c:formatCode>General</c:formatCode>
                <c:ptCount val="201"/>
                <c:pt idx="0">
                  <c:v>83</c:v>
                </c:pt>
                <c:pt idx="1">
                  <c:v>85</c:v>
                </c:pt>
                <c:pt idx="2">
                  <c:v>87</c:v>
                </c:pt>
                <c:pt idx="3">
                  <c:v>89</c:v>
                </c:pt>
                <c:pt idx="4">
                  <c:v>91</c:v>
                </c:pt>
                <c:pt idx="5">
                  <c:v>93</c:v>
                </c:pt>
                <c:pt idx="6">
                  <c:v>95</c:v>
                </c:pt>
                <c:pt idx="7">
                  <c:v>97</c:v>
                </c:pt>
                <c:pt idx="8">
                  <c:v>98</c:v>
                </c:pt>
                <c:pt idx="9">
                  <c:v>99</c:v>
                </c:pt>
                <c:pt idx="10">
                  <c:v>100</c:v>
                </c:pt>
                <c:pt idx="11">
                  <c:v>101</c:v>
                </c:pt>
                <c:pt idx="12">
                  <c:v>102</c:v>
                </c:pt>
                <c:pt idx="13">
                  <c:v>103</c:v>
                </c:pt>
                <c:pt idx="14">
                  <c:v>104</c:v>
                </c:pt>
                <c:pt idx="15">
                  <c:v>105</c:v>
                </c:pt>
                <c:pt idx="16">
                  <c:v>106</c:v>
                </c:pt>
                <c:pt idx="17">
                  <c:v>107</c:v>
                </c:pt>
                <c:pt idx="18">
                  <c:v>108</c:v>
                </c:pt>
                <c:pt idx="19">
                  <c:v>109</c:v>
                </c:pt>
                <c:pt idx="20">
                  <c:v>110</c:v>
                </c:pt>
                <c:pt idx="21">
                  <c:v>111</c:v>
                </c:pt>
                <c:pt idx="22">
                  <c:v>112</c:v>
                </c:pt>
                <c:pt idx="23">
                  <c:v>113</c:v>
                </c:pt>
                <c:pt idx="24">
                  <c:v>114</c:v>
                </c:pt>
                <c:pt idx="25">
                  <c:v>115</c:v>
                </c:pt>
                <c:pt idx="26">
                  <c:v>116</c:v>
                </c:pt>
                <c:pt idx="27">
                  <c:v>117</c:v>
                </c:pt>
                <c:pt idx="28">
                  <c:v>118</c:v>
                </c:pt>
                <c:pt idx="29">
                  <c:v>119</c:v>
                </c:pt>
                <c:pt idx="30">
                  <c:v>120</c:v>
                </c:pt>
                <c:pt idx="31">
                  <c:v>121</c:v>
                </c:pt>
                <c:pt idx="32">
                  <c:v>122</c:v>
                </c:pt>
                <c:pt idx="33">
                  <c:v>123</c:v>
                </c:pt>
                <c:pt idx="34">
                  <c:v>124</c:v>
                </c:pt>
                <c:pt idx="35">
                  <c:v>125</c:v>
                </c:pt>
                <c:pt idx="36">
                  <c:v>126</c:v>
                </c:pt>
                <c:pt idx="37">
                  <c:v>127</c:v>
                </c:pt>
                <c:pt idx="38">
                  <c:v>128</c:v>
                </c:pt>
                <c:pt idx="39">
                  <c:v>129</c:v>
                </c:pt>
                <c:pt idx="40">
                  <c:v>130</c:v>
                </c:pt>
                <c:pt idx="41">
                  <c:v>131</c:v>
                </c:pt>
                <c:pt idx="42">
                  <c:v>132</c:v>
                </c:pt>
                <c:pt idx="43">
                  <c:v>133</c:v>
                </c:pt>
                <c:pt idx="44">
                  <c:v>134</c:v>
                </c:pt>
                <c:pt idx="45">
                  <c:v>135</c:v>
                </c:pt>
                <c:pt idx="46">
                  <c:v>136</c:v>
                </c:pt>
                <c:pt idx="47">
                  <c:v>137</c:v>
                </c:pt>
                <c:pt idx="48">
                  <c:v>138</c:v>
                </c:pt>
                <c:pt idx="49">
                  <c:v>139</c:v>
                </c:pt>
                <c:pt idx="50">
                  <c:v>140</c:v>
                </c:pt>
                <c:pt idx="51">
                  <c:v>141</c:v>
                </c:pt>
                <c:pt idx="52">
                  <c:v>142</c:v>
                </c:pt>
                <c:pt idx="53">
                  <c:v>143</c:v>
                </c:pt>
                <c:pt idx="54">
                  <c:v>144</c:v>
                </c:pt>
                <c:pt idx="55">
                  <c:v>145</c:v>
                </c:pt>
                <c:pt idx="56">
                  <c:v>146</c:v>
                </c:pt>
                <c:pt idx="57">
                  <c:v>147</c:v>
                </c:pt>
                <c:pt idx="58">
                  <c:v>148</c:v>
                </c:pt>
                <c:pt idx="59">
                  <c:v>149</c:v>
                </c:pt>
                <c:pt idx="60">
                  <c:v>150</c:v>
                </c:pt>
                <c:pt idx="61">
                  <c:v>151</c:v>
                </c:pt>
                <c:pt idx="62">
                  <c:v>152</c:v>
                </c:pt>
                <c:pt idx="63">
                  <c:v>153</c:v>
                </c:pt>
                <c:pt idx="64">
                  <c:v>154</c:v>
                </c:pt>
                <c:pt idx="65">
                  <c:v>155</c:v>
                </c:pt>
                <c:pt idx="66">
                  <c:v>156</c:v>
                </c:pt>
                <c:pt idx="67">
                  <c:v>157</c:v>
                </c:pt>
                <c:pt idx="68">
                  <c:v>158</c:v>
                </c:pt>
                <c:pt idx="69">
                  <c:v>159</c:v>
                </c:pt>
                <c:pt idx="70">
                  <c:v>160</c:v>
                </c:pt>
                <c:pt idx="71">
                  <c:v>161</c:v>
                </c:pt>
                <c:pt idx="72">
                  <c:v>162</c:v>
                </c:pt>
                <c:pt idx="73">
                  <c:v>163</c:v>
                </c:pt>
                <c:pt idx="74">
                  <c:v>164</c:v>
                </c:pt>
                <c:pt idx="75">
                  <c:v>165</c:v>
                </c:pt>
                <c:pt idx="76">
                  <c:v>166</c:v>
                </c:pt>
                <c:pt idx="77">
                  <c:v>167</c:v>
                </c:pt>
                <c:pt idx="78">
                  <c:v>168</c:v>
                </c:pt>
                <c:pt idx="79">
                  <c:v>169</c:v>
                </c:pt>
                <c:pt idx="80">
                  <c:v>170</c:v>
                </c:pt>
                <c:pt idx="81">
                  <c:v>171</c:v>
                </c:pt>
                <c:pt idx="82">
                  <c:v>172</c:v>
                </c:pt>
                <c:pt idx="83">
                  <c:v>173</c:v>
                </c:pt>
                <c:pt idx="84">
                  <c:v>174</c:v>
                </c:pt>
                <c:pt idx="85">
                  <c:v>175</c:v>
                </c:pt>
                <c:pt idx="86">
                  <c:v>176</c:v>
                </c:pt>
                <c:pt idx="87">
                  <c:v>177</c:v>
                </c:pt>
                <c:pt idx="88">
                  <c:v>178</c:v>
                </c:pt>
                <c:pt idx="89">
                  <c:v>179</c:v>
                </c:pt>
                <c:pt idx="90">
                  <c:v>180</c:v>
                </c:pt>
                <c:pt idx="91">
                  <c:v>181</c:v>
                </c:pt>
                <c:pt idx="92">
                  <c:v>182</c:v>
                </c:pt>
                <c:pt idx="93">
                  <c:v>183</c:v>
                </c:pt>
                <c:pt idx="94">
                  <c:v>184</c:v>
                </c:pt>
                <c:pt idx="95">
                  <c:v>185</c:v>
                </c:pt>
                <c:pt idx="96">
                  <c:v>186</c:v>
                </c:pt>
                <c:pt idx="97">
                  <c:v>187</c:v>
                </c:pt>
                <c:pt idx="98">
                  <c:v>188</c:v>
                </c:pt>
                <c:pt idx="99">
                  <c:v>189</c:v>
                </c:pt>
                <c:pt idx="100">
                  <c:v>190</c:v>
                </c:pt>
                <c:pt idx="101">
                  <c:v>191</c:v>
                </c:pt>
                <c:pt idx="102">
                  <c:v>192</c:v>
                </c:pt>
                <c:pt idx="103">
                  <c:v>193</c:v>
                </c:pt>
                <c:pt idx="104">
                  <c:v>194</c:v>
                </c:pt>
                <c:pt idx="105">
                  <c:v>195</c:v>
                </c:pt>
                <c:pt idx="106">
                  <c:v>196</c:v>
                </c:pt>
                <c:pt idx="107">
                  <c:v>197</c:v>
                </c:pt>
                <c:pt idx="108">
                  <c:v>198</c:v>
                </c:pt>
                <c:pt idx="109">
                  <c:v>199</c:v>
                </c:pt>
                <c:pt idx="110">
                  <c:v>200</c:v>
                </c:pt>
                <c:pt idx="111">
                  <c:v>201</c:v>
                </c:pt>
                <c:pt idx="112">
                  <c:v>202</c:v>
                </c:pt>
                <c:pt idx="113">
                  <c:v>203</c:v>
                </c:pt>
                <c:pt idx="114">
                  <c:v>204</c:v>
                </c:pt>
                <c:pt idx="115">
                  <c:v>205</c:v>
                </c:pt>
                <c:pt idx="116">
                  <c:v>206</c:v>
                </c:pt>
                <c:pt idx="117">
                  <c:v>207</c:v>
                </c:pt>
                <c:pt idx="118">
                  <c:v>208</c:v>
                </c:pt>
                <c:pt idx="119">
                  <c:v>209</c:v>
                </c:pt>
                <c:pt idx="120">
                  <c:v>210</c:v>
                </c:pt>
                <c:pt idx="121">
                  <c:v>211</c:v>
                </c:pt>
                <c:pt idx="122">
                  <c:v>212</c:v>
                </c:pt>
                <c:pt idx="123">
                  <c:v>213</c:v>
                </c:pt>
                <c:pt idx="124">
                  <c:v>214</c:v>
                </c:pt>
                <c:pt idx="125">
                  <c:v>215</c:v>
                </c:pt>
                <c:pt idx="126">
                  <c:v>216</c:v>
                </c:pt>
                <c:pt idx="127">
                  <c:v>217</c:v>
                </c:pt>
                <c:pt idx="128">
                  <c:v>218</c:v>
                </c:pt>
                <c:pt idx="129">
                  <c:v>219</c:v>
                </c:pt>
                <c:pt idx="130">
                  <c:v>220</c:v>
                </c:pt>
                <c:pt idx="131">
                  <c:v>221</c:v>
                </c:pt>
                <c:pt idx="132">
                  <c:v>222</c:v>
                </c:pt>
                <c:pt idx="133">
                  <c:v>223</c:v>
                </c:pt>
                <c:pt idx="134">
                  <c:v>224</c:v>
                </c:pt>
                <c:pt idx="135">
                  <c:v>225</c:v>
                </c:pt>
                <c:pt idx="136">
                  <c:v>226</c:v>
                </c:pt>
                <c:pt idx="137">
                  <c:v>227</c:v>
                </c:pt>
                <c:pt idx="138">
                  <c:v>228</c:v>
                </c:pt>
                <c:pt idx="139">
                  <c:v>229</c:v>
                </c:pt>
                <c:pt idx="140">
                  <c:v>230</c:v>
                </c:pt>
                <c:pt idx="141">
                  <c:v>231</c:v>
                </c:pt>
                <c:pt idx="142">
                  <c:v>232</c:v>
                </c:pt>
                <c:pt idx="143">
                  <c:v>233</c:v>
                </c:pt>
                <c:pt idx="144">
                  <c:v>234</c:v>
                </c:pt>
                <c:pt idx="145">
                  <c:v>235</c:v>
                </c:pt>
                <c:pt idx="146">
                  <c:v>236</c:v>
                </c:pt>
                <c:pt idx="147">
                  <c:v>237</c:v>
                </c:pt>
                <c:pt idx="148">
                  <c:v>238</c:v>
                </c:pt>
                <c:pt idx="149">
                  <c:v>239</c:v>
                </c:pt>
                <c:pt idx="150">
                  <c:v>240</c:v>
                </c:pt>
                <c:pt idx="151">
                  <c:v>241</c:v>
                </c:pt>
                <c:pt idx="152">
                  <c:v>242</c:v>
                </c:pt>
                <c:pt idx="153">
                  <c:v>243</c:v>
                </c:pt>
                <c:pt idx="154">
                  <c:v>244</c:v>
                </c:pt>
                <c:pt idx="155">
                  <c:v>245</c:v>
                </c:pt>
                <c:pt idx="156">
                  <c:v>246</c:v>
                </c:pt>
                <c:pt idx="157">
                  <c:v>247</c:v>
                </c:pt>
                <c:pt idx="158">
                  <c:v>248</c:v>
                </c:pt>
                <c:pt idx="159">
                  <c:v>249</c:v>
                </c:pt>
                <c:pt idx="160">
                  <c:v>250</c:v>
                </c:pt>
                <c:pt idx="161">
                  <c:v>251</c:v>
                </c:pt>
                <c:pt idx="162">
                  <c:v>252</c:v>
                </c:pt>
                <c:pt idx="163">
                  <c:v>253</c:v>
                </c:pt>
                <c:pt idx="164">
                  <c:v>254</c:v>
                </c:pt>
                <c:pt idx="165">
                  <c:v>255</c:v>
                </c:pt>
                <c:pt idx="166">
                  <c:v>256</c:v>
                </c:pt>
                <c:pt idx="167">
                  <c:v>257</c:v>
                </c:pt>
                <c:pt idx="168">
                  <c:v>258</c:v>
                </c:pt>
                <c:pt idx="169">
                  <c:v>259</c:v>
                </c:pt>
                <c:pt idx="170">
                  <c:v>260</c:v>
                </c:pt>
                <c:pt idx="171">
                  <c:v>261</c:v>
                </c:pt>
                <c:pt idx="172">
                  <c:v>262</c:v>
                </c:pt>
                <c:pt idx="173">
                  <c:v>263</c:v>
                </c:pt>
                <c:pt idx="174">
                  <c:v>264</c:v>
                </c:pt>
                <c:pt idx="175">
                  <c:v>265</c:v>
                </c:pt>
                <c:pt idx="176">
                  <c:v>266</c:v>
                </c:pt>
                <c:pt idx="177">
                  <c:v>267</c:v>
                </c:pt>
                <c:pt idx="178">
                  <c:v>268</c:v>
                </c:pt>
                <c:pt idx="179">
                  <c:v>269</c:v>
                </c:pt>
                <c:pt idx="180">
                  <c:v>270</c:v>
                </c:pt>
                <c:pt idx="181">
                  <c:v>271</c:v>
                </c:pt>
                <c:pt idx="182">
                  <c:v>272</c:v>
                </c:pt>
                <c:pt idx="183">
                  <c:v>273</c:v>
                </c:pt>
                <c:pt idx="184">
                  <c:v>274</c:v>
                </c:pt>
                <c:pt idx="185">
                  <c:v>275</c:v>
                </c:pt>
                <c:pt idx="186">
                  <c:v>276</c:v>
                </c:pt>
                <c:pt idx="187">
                  <c:v>277</c:v>
                </c:pt>
                <c:pt idx="188">
                  <c:v>278</c:v>
                </c:pt>
                <c:pt idx="189">
                  <c:v>279</c:v>
                </c:pt>
                <c:pt idx="190">
                  <c:v>280</c:v>
                </c:pt>
                <c:pt idx="191">
                  <c:v>282</c:v>
                </c:pt>
                <c:pt idx="192">
                  <c:v>284</c:v>
                </c:pt>
                <c:pt idx="193">
                  <c:v>286</c:v>
                </c:pt>
                <c:pt idx="194">
                  <c:v>288</c:v>
                </c:pt>
                <c:pt idx="195">
                  <c:v>290</c:v>
                </c:pt>
                <c:pt idx="196">
                  <c:v>292</c:v>
                </c:pt>
                <c:pt idx="197">
                  <c:v>294</c:v>
                </c:pt>
                <c:pt idx="198">
                  <c:v>296</c:v>
                </c:pt>
                <c:pt idx="199">
                  <c:v>298</c:v>
                </c:pt>
                <c:pt idx="200">
                  <c:v>300</c:v>
                </c:pt>
              </c:numCache>
            </c:numRef>
          </c:cat>
          <c:val>
            <c:numRef>
              <c:f>Matrix!$V$11:$V$211</c:f>
              <c:numCache>
                <c:formatCode>General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0.25</c:v>
                </c:pt>
                <c:pt idx="58">
                  <c:v>0.25</c:v>
                </c:pt>
                <c:pt idx="59">
                  <c:v>0.25</c:v>
                </c:pt>
                <c:pt idx="60">
                  <c:v>0.25</c:v>
                </c:pt>
                <c:pt idx="61">
                  <c:v>0.25</c:v>
                </c:pt>
                <c:pt idx="62">
                  <c:v>0.25</c:v>
                </c:pt>
                <c:pt idx="63">
                  <c:v>0.25</c:v>
                </c:pt>
                <c:pt idx="64">
                  <c:v>0.25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11.25</c:v>
                </c:pt>
                <c:pt idx="182">
                  <c:v>12.625</c:v>
                </c:pt>
                <c:pt idx="183">
                  <c:v>12.625</c:v>
                </c:pt>
                <c:pt idx="184">
                  <c:v>12.625</c:v>
                </c:pt>
                <c:pt idx="185">
                  <c:v>12.625</c:v>
                </c:pt>
                <c:pt idx="186">
                  <c:v>12.625</c:v>
                </c:pt>
                <c:pt idx="187">
                  <c:v>12.625</c:v>
                </c:pt>
                <c:pt idx="188">
                  <c:v>12.625</c:v>
                </c:pt>
                <c:pt idx="189">
                  <c:v>1.375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F77-4BF5-A0BF-755925754142}"/>
            </c:ext>
          </c:extLst>
        </c:ser>
        <c:ser>
          <c:idx val="8"/>
          <c:order val="8"/>
          <c:tx>
            <c:strRef>
              <c:f>Matrix!$W$10</c:f>
              <c:strCache>
                <c:ptCount val="1"/>
                <c:pt idx="0">
                  <c:v>Magneto (N)</c:v>
                </c:pt>
              </c:strCache>
            </c:strRef>
          </c:tx>
          <c:spPr>
            <a:solidFill>
              <a:srgbClr val="DE0000"/>
            </a:solidFill>
            <a:ln>
              <a:noFill/>
            </a:ln>
            <a:effectLst/>
          </c:spPr>
          <c:cat>
            <c:numRef>
              <c:f>Matrix!$B$11:$B$211</c:f>
              <c:numCache>
                <c:formatCode>General</c:formatCode>
                <c:ptCount val="201"/>
                <c:pt idx="0">
                  <c:v>83</c:v>
                </c:pt>
                <c:pt idx="1">
                  <c:v>85</c:v>
                </c:pt>
                <c:pt idx="2">
                  <c:v>87</c:v>
                </c:pt>
                <c:pt idx="3">
                  <c:v>89</c:v>
                </c:pt>
                <c:pt idx="4">
                  <c:v>91</c:v>
                </c:pt>
                <c:pt idx="5">
                  <c:v>93</c:v>
                </c:pt>
                <c:pt idx="6">
                  <c:v>95</c:v>
                </c:pt>
                <c:pt idx="7">
                  <c:v>97</c:v>
                </c:pt>
                <c:pt idx="8">
                  <c:v>98</c:v>
                </c:pt>
                <c:pt idx="9">
                  <c:v>99</c:v>
                </c:pt>
                <c:pt idx="10">
                  <c:v>100</c:v>
                </c:pt>
                <c:pt idx="11">
                  <c:v>101</c:v>
                </c:pt>
                <c:pt idx="12">
                  <c:v>102</c:v>
                </c:pt>
                <c:pt idx="13">
                  <c:v>103</c:v>
                </c:pt>
                <c:pt idx="14">
                  <c:v>104</c:v>
                </c:pt>
                <c:pt idx="15">
                  <c:v>105</c:v>
                </c:pt>
                <c:pt idx="16">
                  <c:v>106</c:v>
                </c:pt>
                <c:pt idx="17">
                  <c:v>107</c:v>
                </c:pt>
                <c:pt idx="18">
                  <c:v>108</c:v>
                </c:pt>
                <c:pt idx="19">
                  <c:v>109</c:v>
                </c:pt>
                <c:pt idx="20">
                  <c:v>110</c:v>
                </c:pt>
                <c:pt idx="21">
                  <c:v>111</c:v>
                </c:pt>
                <c:pt idx="22">
                  <c:v>112</c:v>
                </c:pt>
                <c:pt idx="23">
                  <c:v>113</c:v>
                </c:pt>
                <c:pt idx="24">
                  <c:v>114</c:v>
                </c:pt>
                <c:pt idx="25">
                  <c:v>115</c:v>
                </c:pt>
                <c:pt idx="26">
                  <c:v>116</c:v>
                </c:pt>
                <c:pt idx="27">
                  <c:v>117</c:v>
                </c:pt>
                <c:pt idx="28">
                  <c:v>118</c:v>
                </c:pt>
                <c:pt idx="29">
                  <c:v>119</c:v>
                </c:pt>
                <c:pt idx="30">
                  <c:v>120</c:v>
                </c:pt>
                <c:pt idx="31">
                  <c:v>121</c:v>
                </c:pt>
                <c:pt idx="32">
                  <c:v>122</c:v>
                </c:pt>
                <c:pt idx="33">
                  <c:v>123</c:v>
                </c:pt>
                <c:pt idx="34">
                  <c:v>124</c:v>
                </c:pt>
                <c:pt idx="35">
                  <c:v>125</c:v>
                </c:pt>
                <c:pt idx="36">
                  <c:v>126</c:v>
                </c:pt>
                <c:pt idx="37">
                  <c:v>127</c:v>
                </c:pt>
                <c:pt idx="38">
                  <c:v>128</c:v>
                </c:pt>
                <c:pt idx="39">
                  <c:v>129</c:v>
                </c:pt>
                <c:pt idx="40">
                  <c:v>130</c:v>
                </c:pt>
                <c:pt idx="41">
                  <c:v>131</c:v>
                </c:pt>
                <c:pt idx="42">
                  <c:v>132</c:v>
                </c:pt>
                <c:pt idx="43">
                  <c:v>133</c:v>
                </c:pt>
                <c:pt idx="44">
                  <c:v>134</c:v>
                </c:pt>
                <c:pt idx="45">
                  <c:v>135</c:v>
                </c:pt>
                <c:pt idx="46">
                  <c:v>136</c:v>
                </c:pt>
                <c:pt idx="47">
                  <c:v>137</c:v>
                </c:pt>
                <c:pt idx="48">
                  <c:v>138</c:v>
                </c:pt>
                <c:pt idx="49">
                  <c:v>139</c:v>
                </c:pt>
                <c:pt idx="50">
                  <c:v>140</c:v>
                </c:pt>
                <c:pt idx="51">
                  <c:v>141</c:v>
                </c:pt>
                <c:pt idx="52">
                  <c:v>142</c:v>
                </c:pt>
                <c:pt idx="53">
                  <c:v>143</c:v>
                </c:pt>
                <c:pt idx="54">
                  <c:v>144</c:v>
                </c:pt>
                <c:pt idx="55">
                  <c:v>145</c:v>
                </c:pt>
                <c:pt idx="56">
                  <c:v>146</c:v>
                </c:pt>
                <c:pt idx="57">
                  <c:v>147</c:v>
                </c:pt>
                <c:pt idx="58">
                  <c:v>148</c:v>
                </c:pt>
                <c:pt idx="59">
                  <c:v>149</c:v>
                </c:pt>
                <c:pt idx="60">
                  <c:v>150</c:v>
                </c:pt>
                <c:pt idx="61">
                  <c:v>151</c:v>
                </c:pt>
                <c:pt idx="62">
                  <c:v>152</c:v>
                </c:pt>
                <c:pt idx="63">
                  <c:v>153</c:v>
                </c:pt>
                <c:pt idx="64">
                  <c:v>154</c:v>
                </c:pt>
                <c:pt idx="65">
                  <c:v>155</c:v>
                </c:pt>
                <c:pt idx="66">
                  <c:v>156</c:v>
                </c:pt>
                <c:pt idx="67">
                  <c:v>157</c:v>
                </c:pt>
                <c:pt idx="68">
                  <c:v>158</c:v>
                </c:pt>
                <c:pt idx="69">
                  <c:v>159</c:v>
                </c:pt>
                <c:pt idx="70">
                  <c:v>160</c:v>
                </c:pt>
                <c:pt idx="71">
                  <c:v>161</c:v>
                </c:pt>
                <c:pt idx="72">
                  <c:v>162</c:v>
                </c:pt>
                <c:pt idx="73">
                  <c:v>163</c:v>
                </c:pt>
                <c:pt idx="74">
                  <c:v>164</c:v>
                </c:pt>
                <c:pt idx="75">
                  <c:v>165</c:v>
                </c:pt>
                <c:pt idx="76">
                  <c:v>166</c:v>
                </c:pt>
                <c:pt idx="77">
                  <c:v>167</c:v>
                </c:pt>
                <c:pt idx="78">
                  <c:v>168</c:v>
                </c:pt>
                <c:pt idx="79">
                  <c:v>169</c:v>
                </c:pt>
                <c:pt idx="80">
                  <c:v>170</c:v>
                </c:pt>
                <c:pt idx="81">
                  <c:v>171</c:v>
                </c:pt>
                <c:pt idx="82">
                  <c:v>172</c:v>
                </c:pt>
                <c:pt idx="83">
                  <c:v>173</c:v>
                </c:pt>
                <c:pt idx="84">
                  <c:v>174</c:v>
                </c:pt>
                <c:pt idx="85">
                  <c:v>175</c:v>
                </c:pt>
                <c:pt idx="86">
                  <c:v>176</c:v>
                </c:pt>
                <c:pt idx="87">
                  <c:v>177</c:v>
                </c:pt>
                <c:pt idx="88">
                  <c:v>178</c:v>
                </c:pt>
                <c:pt idx="89">
                  <c:v>179</c:v>
                </c:pt>
                <c:pt idx="90">
                  <c:v>180</c:v>
                </c:pt>
                <c:pt idx="91">
                  <c:v>181</c:v>
                </c:pt>
                <c:pt idx="92">
                  <c:v>182</c:v>
                </c:pt>
                <c:pt idx="93">
                  <c:v>183</c:v>
                </c:pt>
                <c:pt idx="94">
                  <c:v>184</c:v>
                </c:pt>
                <c:pt idx="95">
                  <c:v>185</c:v>
                </c:pt>
                <c:pt idx="96">
                  <c:v>186</c:v>
                </c:pt>
                <c:pt idx="97">
                  <c:v>187</c:v>
                </c:pt>
                <c:pt idx="98">
                  <c:v>188</c:v>
                </c:pt>
                <c:pt idx="99">
                  <c:v>189</c:v>
                </c:pt>
                <c:pt idx="100">
                  <c:v>190</c:v>
                </c:pt>
                <c:pt idx="101">
                  <c:v>191</c:v>
                </c:pt>
                <c:pt idx="102">
                  <c:v>192</c:v>
                </c:pt>
                <c:pt idx="103">
                  <c:v>193</c:v>
                </c:pt>
                <c:pt idx="104">
                  <c:v>194</c:v>
                </c:pt>
                <c:pt idx="105">
                  <c:v>195</c:v>
                </c:pt>
                <c:pt idx="106">
                  <c:v>196</c:v>
                </c:pt>
                <c:pt idx="107">
                  <c:v>197</c:v>
                </c:pt>
                <c:pt idx="108">
                  <c:v>198</c:v>
                </c:pt>
                <c:pt idx="109">
                  <c:v>199</c:v>
                </c:pt>
                <c:pt idx="110">
                  <c:v>200</c:v>
                </c:pt>
                <c:pt idx="111">
                  <c:v>201</c:v>
                </c:pt>
                <c:pt idx="112">
                  <c:v>202</c:v>
                </c:pt>
                <c:pt idx="113">
                  <c:v>203</c:v>
                </c:pt>
                <c:pt idx="114">
                  <c:v>204</c:v>
                </c:pt>
                <c:pt idx="115">
                  <c:v>205</c:v>
                </c:pt>
                <c:pt idx="116">
                  <c:v>206</c:v>
                </c:pt>
                <c:pt idx="117">
                  <c:v>207</c:v>
                </c:pt>
                <c:pt idx="118">
                  <c:v>208</c:v>
                </c:pt>
                <c:pt idx="119">
                  <c:v>209</c:v>
                </c:pt>
                <c:pt idx="120">
                  <c:v>210</c:v>
                </c:pt>
                <c:pt idx="121">
                  <c:v>211</c:v>
                </c:pt>
                <c:pt idx="122">
                  <c:v>212</c:v>
                </c:pt>
                <c:pt idx="123">
                  <c:v>213</c:v>
                </c:pt>
                <c:pt idx="124">
                  <c:v>214</c:v>
                </c:pt>
                <c:pt idx="125">
                  <c:v>215</c:v>
                </c:pt>
                <c:pt idx="126">
                  <c:v>216</c:v>
                </c:pt>
                <c:pt idx="127">
                  <c:v>217</c:v>
                </c:pt>
                <c:pt idx="128">
                  <c:v>218</c:v>
                </c:pt>
                <c:pt idx="129">
                  <c:v>219</c:v>
                </c:pt>
                <c:pt idx="130">
                  <c:v>220</c:v>
                </c:pt>
                <c:pt idx="131">
                  <c:v>221</c:v>
                </c:pt>
                <c:pt idx="132">
                  <c:v>222</c:v>
                </c:pt>
                <c:pt idx="133">
                  <c:v>223</c:v>
                </c:pt>
                <c:pt idx="134">
                  <c:v>224</c:v>
                </c:pt>
                <c:pt idx="135">
                  <c:v>225</c:v>
                </c:pt>
                <c:pt idx="136">
                  <c:v>226</c:v>
                </c:pt>
                <c:pt idx="137">
                  <c:v>227</c:v>
                </c:pt>
                <c:pt idx="138">
                  <c:v>228</c:v>
                </c:pt>
                <c:pt idx="139">
                  <c:v>229</c:v>
                </c:pt>
                <c:pt idx="140">
                  <c:v>230</c:v>
                </c:pt>
                <c:pt idx="141">
                  <c:v>231</c:v>
                </c:pt>
                <c:pt idx="142">
                  <c:v>232</c:v>
                </c:pt>
                <c:pt idx="143">
                  <c:v>233</c:v>
                </c:pt>
                <c:pt idx="144">
                  <c:v>234</c:v>
                </c:pt>
                <c:pt idx="145">
                  <c:v>235</c:v>
                </c:pt>
                <c:pt idx="146">
                  <c:v>236</c:v>
                </c:pt>
                <c:pt idx="147">
                  <c:v>237</c:v>
                </c:pt>
                <c:pt idx="148">
                  <c:v>238</c:v>
                </c:pt>
                <c:pt idx="149">
                  <c:v>239</c:v>
                </c:pt>
                <c:pt idx="150">
                  <c:v>240</c:v>
                </c:pt>
                <c:pt idx="151">
                  <c:v>241</c:v>
                </c:pt>
                <c:pt idx="152">
                  <c:v>242</c:v>
                </c:pt>
                <c:pt idx="153">
                  <c:v>243</c:v>
                </c:pt>
                <c:pt idx="154">
                  <c:v>244</c:v>
                </c:pt>
                <c:pt idx="155">
                  <c:v>245</c:v>
                </c:pt>
                <c:pt idx="156">
                  <c:v>246</c:v>
                </c:pt>
                <c:pt idx="157">
                  <c:v>247</c:v>
                </c:pt>
                <c:pt idx="158">
                  <c:v>248</c:v>
                </c:pt>
                <c:pt idx="159">
                  <c:v>249</c:v>
                </c:pt>
                <c:pt idx="160">
                  <c:v>250</c:v>
                </c:pt>
                <c:pt idx="161">
                  <c:v>251</c:v>
                </c:pt>
                <c:pt idx="162">
                  <c:v>252</c:v>
                </c:pt>
                <c:pt idx="163">
                  <c:v>253</c:v>
                </c:pt>
                <c:pt idx="164">
                  <c:v>254</c:v>
                </c:pt>
                <c:pt idx="165">
                  <c:v>255</c:v>
                </c:pt>
                <c:pt idx="166">
                  <c:v>256</c:v>
                </c:pt>
                <c:pt idx="167">
                  <c:v>257</c:v>
                </c:pt>
                <c:pt idx="168">
                  <c:v>258</c:v>
                </c:pt>
                <c:pt idx="169">
                  <c:v>259</c:v>
                </c:pt>
                <c:pt idx="170">
                  <c:v>260</c:v>
                </c:pt>
                <c:pt idx="171">
                  <c:v>261</c:v>
                </c:pt>
                <c:pt idx="172">
                  <c:v>262</c:v>
                </c:pt>
                <c:pt idx="173">
                  <c:v>263</c:v>
                </c:pt>
                <c:pt idx="174">
                  <c:v>264</c:v>
                </c:pt>
                <c:pt idx="175">
                  <c:v>265</c:v>
                </c:pt>
                <c:pt idx="176">
                  <c:v>266</c:v>
                </c:pt>
                <c:pt idx="177">
                  <c:v>267</c:v>
                </c:pt>
                <c:pt idx="178">
                  <c:v>268</c:v>
                </c:pt>
                <c:pt idx="179">
                  <c:v>269</c:v>
                </c:pt>
                <c:pt idx="180">
                  <c:v>270</c:v>
                </c:pt>
                <c:pt idx="181">
                  <c:v>271</c:v>
                </c:pt>
                <c:pt idx="182">
                  <c:v>272</c:v>
                </c:pt>
                <c:pt idx="183">
                  <c:v>273</c:v>
                </c:pt>
                <c:pt idx="184">
                  <c:v>274</c:v>
                </c:pt>
                <c:pt idx="185">
                  <c:v>275</c:v>
                </c:pt>
                <c:pt idx="186">
                  <c:v>276</c:v>
                </c:pt>
                <c:pt idx="187">
                  <c:v>277</c:v>
                </c:pt>
                <c:pt idx="188">
                  <c:v>278</c:v>
                </c:pt>
                <c:pt idx="189">
                  <c:v>279</c:v>
                </c:pt>
                <c:pt idx="190">
                  <c:v>280</c:v>
                </c:pt>
                <c:pt idx="191">
                  <c:v>282</c:v>
                </c:pt>
                <c:pt idx="192">
                  <c:v>284</c:v>
                </c:pt>
                <c:pt idx="193">
                  <c:v>286</c:v>
                </c:pt>
                <c:pt idx="194">
                  <c:v>288</c:v>
                </c:pt>
                <c:pt idx="195">
                  <c:v>290</c:v>
                </c:pt>
                <c:pt idx="196">
                  <c:v>292</c:v>
                </c:pt>
                <c:pt idx="197">
                  <c:v>294</c:v>
                </c:pt>
                <c:pt idx="198">
                  <c:v>296</c:v>
                </c:pt>
                <c:pt idx="199">
                  <c:v>298</c:v>
                </c:pt>
                <c:pt idx="200">
                  <c:v>300</c:v>
                </c:pt>
              </c:numCache>
            </c:numRef>
          </c:cat>
          <c:val>
            <c:numRef>
              <c:f>Matrix!$W$11:$W$211</c:f>
              <c:numCache>
                <c:formatCode>General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0.125</c:v>
                </c:pt>
                <c:pt idx="118">
                  <c:v>0.25</c:v>
                </c:pt>
                <c:pt idx="119">
                  <c:v>0.25</c:v>
                </c:pt>
                <c:pt idx="120">
                  <c:v>0.25</c:v>
                </c:pt>
                <c:pt idx="121">
                  <c:v>0.25</c:v>
                </c:pt>
                <c:pt idx="122">
                  <c:v>0.25</c:v>
                </c:pt>
                <c:pt idx="123">
                  <c:v>0.25</c:v>
                </c:pt>
                <c:pt idx="124">
                  <c:v>0.25</c:v>
                </c:pt>
                <c:pt idx="125">
                  <c:v>0.125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2.75</c:v>
                </c:pt>
                <c:pt idx="182">
                  <c:v>8.875</c:v>
                </c:pt>
                <c:pt idx="183">
                  <c:v>8.875</c:v>
                </c:pt>
                <c:pt idx="184">
                  <c:v>8.875</c:v>
                </c:pt>
                <c:pt idx="185">
                  <c:v>8.875</c:v>
                </c:pt>
                <c:pt idx="186">
                  <c:v>8.875</c:v>
                </c:pt>
                <c:pt idx="187">
                  <c:v>8.875</c:v>
                </c:pt>
                <c:pt idx="188">
                  <c:v>8.875</c:v>
                </c:pt>
                <c:pt idx="189">
                  <c:v>6.125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F77-4BF5-A0BF-755925754142}"/>
            </c:ext>
          </c:extLst>
        </c:ser>
        <c:ser>
          <c:idx val="9"/>
          <c:order val="9"/>
          <c:tx>
            <c:strRef>
              <c:f>Matrix!$X$10</c:f>
              <c:strCache>
                <c:ptCount val="1"/>
                <c:pt idx="0">
                  <c:v>Wolverine (C)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Matrix!$B$11:$B$211</c:f>
              <c:numCache>
                <c:formatCode>General</c:formatCode>
                <c:ptCount val="201"/>
                <c:pt idx="0">
                  <c:v>83</c:v>
                </c:pt>
                <c:pt idx="1">
                  <c:v>85</c:v>
                </c:pt>
                <c:pt idx="2">
                  <c:v>87</c:v>
                </c:pt>
                <c:pt idx="3">
                  <c:v>89</c:v>
                </c:pt>
                <c:pt idx="4">
                  <c:v>91</c:v>
                </c:pt>
                <c:pt idx="5">
                  <c:v>93</c:v>
                </c:pt>
                <c:pt idx="6">
                  <c:v>95</c:v>
                </c:pt>
                <c:pt idx="7">
                  <c:v>97</c:v>
                </c:pt>
                <c:pt idx="8">
                  <c:v>98</c:v>
                </c:pt>
                <c:pt idx="9">
                  <c:v>99</c:v>
                </c:pt>
                <c:pt idx="10">
                  <c:v>100</c:v>
                </c:pt>
                <c:pt idx="11">
                  <c:v>101</c:v>
                </c:pt>
                <c:pt idx="12">
                  <c:v>102</c:v>
                </c:pt>
                <c:pt idx="13">
                  <c:v>103</c:v>
                </c:pt>
                <c:pt idx="14">
                  <c:v>104</c:v>
                </c:pt>
                <c:pt idx="15">
                  <c:v>105</c:v>
                </c:pt>
                <c:pt idx="16">
                  <c:v>106</c:v>
                </c:pt>
                <c:pt idx="17">
                  <c:v>107</c:v>
                </c:pt>
                <c:pt idx="18">
                  <c:v>108</c:v>
                </c:pt>
                <c:pt idx="19">
                  <c:v>109</c:v>
                </c:pt>
                <c:pt idx="20">
                  <c:v>110</c:v>
                </c:pt>
                <c:pt idx="21">
                  <c:v>111</c:v>
                </c:pt>
                <c:pt idx="22">
                  <c:v>112</c:v>
                </c:pt>
                <c:pt idx="23">
                  <c:v>113</c:v>
                </c:pt>
                <c:pt idx="24">
                  <c:v>114</c:v>
                </c:pt>
                <c:pt idx="25">
                  <c:v>115</c:v>
                </c:pt>
                <c:pt idx="26">
                  <c:v>116</c:v>
                </c:pt>
                <c:pt idx="27">
                  <c:v>117</c:v>
                </c:pt>
                <c:pt idx="28">
                  <c:v>118</c:v>
                </c:pt>
                <c:pt idx="29">
                  <c:v>119</c:v>
                </c:pt>
                <c:pt idx="30">
                  <c:v>120</c:v>
                </c:pt>
                <c:pt idx="31">
                  <c:v>121</c:v>
                </c:pt>
                <c:pt idx="32">
                  <c:v>122</c:v>
                </c:pt>
                <c:pt idx="33">
                  <c:v>123</c:v>
                </c:pt>
                <c:pt idx="34">
                  <c:v>124</c:v>
                </c:pt>
                <c:pt idx="35">
                  <c:v>125</c:v>
                </c:pt>
                <c:pt idx="36">
                  <c:v>126</c:v>
                </c:pt>
                <c:pt idx="37">
                  <c:v>127</c:v>
                </c:pt>
                <c:pt idx="38">
                  <c:v>128</c:v>
                </c:pt>
                <c:pt idx="39">
                  <c:v>129</c:v>
                </c:pt>
                <c:pt idx="40">
                  <c:v>130</c:v>
                </c:pt>
                <c:pt idx="41">
                  <c:v>131</c:v>
                </c:pt>
                <c:pt idx="42">
                  <c:v>132</c:v>
                </c:pt>
                <c:pt idx="43">
                  <c:v>133</c:v>
                </c:pt>
                <c:pt idx="44">
                  <c:v>134</c:v>
                </c:pt>
                <c:pt idx="45">
                  <c:v>135</c:v>
                </c:pt>
                <c:pt idx="46">
                  <c:v>136</c:v>
                </c:pt>
                <c:pt idx="47">
                  <c:v>137</c:v>
                </c:pt>
                <c:pt idx="48">
                  <c:v>138</c:v>
                </c:pt>
                <c:pt idx="49">
                  <c:v>139</c:v>
                </c:pt>
                <c:pt idx="50">
                  <c:v>140</c:v>
                </c:pt>
                <c:pt idx="51">
                  <c:v>141</c:v>
                </c:pt>
                <c:pt idx="52">
                  <c:v>142</c:v>
                </c:pt>
                <c:pt idx="53">
                  <c:v>143</c:v>
                </c:pt>
                <c:pt idx="54">
                  <c:v>144</c:v>
                </c:pt>
                <c:pt idx="55">
                  <c:v>145</c:v>
                </c:pt>
                <c:pt idx="56">
                  <c:v>146</c:v>
                </c:pt>
                <c:pt idx="57">
                  <c:v>147</c:v>
                </c:pt>
                <c:pt idx="58">
                  <c:v>148</c:v>
                </c:pt>
                <c:pt idx="59">
                  <c:v>149</c:v>
                </c:pt>
                <c:pt idx="60">
                  <c:v>150</c:v>
                </c:pt>
                <c:pt idx="61">
                  <c:v>151</c:v>
                </c:pt>
                <c:pt idx="62">
                  <c:v>152</c:v>
                </c:pt>
                <c:pt idx="63">
                  <c:v>153</c:v>
                </c:pt>
                <c:pt idx="64">
                  <c:v>154</c:v>
                </c:pt>
                <c:pt idx="65">
                  <c:v>155</c:v>
                </c:pt>
                <c:pt idx="66">
                  <c:v>156</c:v>
                </c:pt>
                <c:pt idx="67">
                  <c:v>157</c:v>
                </c:pt>
                <c:pt idx="68">
                  <c:v>158</c:v>
                </c:pt>
                <c:pt idx="69">
                  <c:v>159</c:v>
                </c:pt>
                <c:pt idx="70">
                  <c:v>160</c:v>
                </c:pt>
                <c:pt idx="71">
                  <c:v>161</c:v>
                </c:pt>
                <c:pt idx="72">
                  <c:v>162</c:v>
                </c:pt>
                <c:pt idx="73">
                  <c:v>163</c:v>
                </c:pt>
                <c:pt idx="74">
                  <c:v>164</c:v>
                </c:pt>
                <c:pt idx="75">
                  <c:v>165</c:v>
                </c:pt>
                <c:pt idx="76">
                  <c:v>166</c:v>
                </c:pt>
                <c:pt idx="77">
                  <c:v>167</c:v>
                </c:pt>
                <c:pt idx="78">
                  <c:v>168</c:v>
                </c:pt>
                <c:pt idx="79">
                  <c:v>169</c:v>
                </c:pt>
                <c:pt idx="80">
                  <c:v>170</c:v>
                </c:pt>
                <c:pt idx="81">
                  <c:v>171</c:v>
                </c:pt>
                <c:pt idx="82">
                  <c:v>172</c:v>
                </c:pt>
                <c:pt idx="83">
                  <c:v>173</c:v>
                </c:pt>
                <c:pt idx="84">
                  <c:v>174</c:v>
                </c:pt>
                <c:pt idx="85">
                  <c:v>175</c:v>
                </c:pt>
                <c:pt idx="86">
                  <c:v>176</c:v>
                </c:pt>
                <c:pt idx="87">
                  <c:v>177</c:v>
                </c:pt>
                <c:pt idx="88">
                  <c:v>178</c:v>
                </c:pt>
                <c:pt idx="89">
                  <c:v>179</c:v>
                </c:pt>
                <c:pt idx="90">
                  <c:v>180</c:v>
                </c:pt>
                <c:pt idx="91">
                  <c:v>181</c:v>
                </c:pt>
                <c:pt idx="92">
                  <c:v>182</c:v>
                </c:pt>
                <c:pt idx="93">
                  <c:v>183</c:v>
                </c:pt>
                <c:pt idx="94">
                  <c:v>184</c:v>
                </c:pt>
                <c:pt idx="95">
                  <c:v>185</c:v>
                </c:pt>
                <c:pt idx="96">
                  <c:v>186</c:v>
                </c:pt>
                <c:pt idx="97">
                  <c:v>187</c:v>
                </c:pt>
                <c:pt idx="98">
                  <c:v>188</c:v>
                </c:pt>
                <c:pt idx="99">
                  <c:v>189</c:v>
                </c:pt>
                <c:pt idx="100">
                  <c:v>190</c:v>
                </c:pt>
                <c:pt idx="101">
                  <c:v>191</c:v>
                </c:pt>
                <c:pt idx="102">
                  <c:v>192</c:v>
                </c:pt>
                <c:pt idx="103">
                  <c:v>193</c:v>
                </c:pt>
                <c:pt idx="104">
                  <c:v>194</c:v>
                </c:pt>
                <c:pt idx="105">
                  <c:v>195</c:v>
                </c:pt>
                <c:pt idx="106">
                  <c:v>196</c:v>
                </c:pt>
                <c:pt idx="107">
                  <c:v>197</c:v>
                </c:pt>
                <c:pt idx="108">
                  <c:v>198</c:v>
                </c:pt>
                <c:pt idx="109">
                  <c:v>199</c:v>
                </c:pt>
                <c:pt idx="110">
                  <c:v>200</c:v>
                </c:pt>
                <c:pt idx="111">
                  <c:v>201</c:v>
                </c:pt>
                <c:pt idx="112">
                  <c:v>202</c:v>
                </c:pt>
                <c:pt idx="113">
                  <c:v>203</c:v>
                </c:pt>
                <c:pt idx="114">
                  <c:v>204</c:v>
                </c:pt>
                <c:pt idx="115">
                  <c:v>205</c:v>
                </c:pt>
                <c:pt idx="116">
                  <c:v>206</c:v>
                </c:pt>
                <c:pt idx="117">
                  <c:v>207</c:v>
                </c:pt>
                <c:pt idx="118">
                  <c:v>208</c:v>
                </c:pt>
                <c:pt idx="119">
                  <c:v>209</c:v>
                </c:pt>
                <c:pt idx="120">
                  <c:v>210</c:v>
                </c:pt>
                <c:pt idx="121">
                  <c:v>211</c:v>
                </c:pt>
                <c:pt idx="122">
                  <c:v>212</c:v>
                </c:pt>
                <c:pt idx="123">
                  <c:v>213</c:v>
                </c:pt>
                <c:pt idx="124">
                  <c:v>214</c:v>
                </c:pt>
                <c:pt idx="125">
                  <c:v>215</c:v>
                </c:pt>
                <c:pt idx="126">
                  <c:v>216</c:v>
                </c:pt>
                <c:pt idx="127">
                  <c:v>217</c:v>
                </c:pt>
                <c:pt idx="128">
                  <c:v>218</c:v>
                </c:pt>
                <c:pt idx="129">
                  <c:v>219</c:v>
                </c:pt>
                <c:pt idx="130">
                  <c:v>220</c:v>
                </c:pt>
                <c:pt idx="131">
                  <c:v>221</c:v>
                </c:pt>
                <c:pt idx="132">
                  <c:v>222</c:v>
                </c:pt>
                <c:pt idx="133">
                  <c:v>223</c:v>
                </c:pt>
                <c:pt idx="134">
                  <c:v>224</c:v>
                </c:pt>
                <c:pt idx="135">
                  <c:v>225</c:v>
                </c:pt>
                <c:pt idx="136">
                  <c:v>226</c:v>
                </c:pt>
                <c:pt idx="137">
                  <c:v>227</c:v>
                </c:pt>
                <c:pt idx="138">
                  <c:v>228</c:v>
                </c:pt>
                <c:pt idx="139">
                  <c:v>229</c:v>
                </c:pt>
                <c:pt idx="140">
                  <c:v>230</c:v>
                </c:pt>
                <c:pt idx="141">
                  <c:v>231</c:v>
                </c:pt>
                <c:pt idx="142">
                  <c:v>232</c:v>
                </c:pt>
                <c:pt idx="143">
                  <c:v>233</c:v>
                </c:pt>
                <c:pt idx="144">
                  <c:v>234</c:v>
                </c:pt>
                <c:pt idx="145">
                  <c:v>235</c:v>
                </c:pt>
                <c:pt idx="146">
                  <c:v>236</c:v>
                </c:pt>
                <c:pt idx="147">
                  <c:v>237</c:v>
                </c:pt>
                <c:pt idx="148">
                  <c:v>238</c:v>
                </c:pt>
                <c:pt idx="149">
                  <c:v>239</c:v>
                </c:pt>
                <c:pt idx="150">
                  <c:v>240</c:v>
                </c:pt>
                <c:pt idx="151">
                  <c:v>241</c:v>
                </c:pt>
                <c:pt idx="152">
                  <c:v>242</c:v>
                </c:pt>
                <c:pt idx="153">
                  <c:v>243</c:v>
                </c:pt>
                <c:pt idx="154">
                  <c:v>244</c:v>
                </c:pt>
                <c:pt idx="155">
                  <c:v>245</c:v>
                </c:pt>
                <c:pt idx="156">
                  <c:v>246</c:v>
                </c:pt>
                <c:pt idx="157">
                  <c:v>247</c:v>
                </c:pt>
                <c:pt idx="158">
                  <c:v>248</c:v>
                </c:pt>
                <c:pt idx="159">
                  <c:v>249</c:v>
                </c:pt>
                <c:pt idx="160">
                  <c:v>250</c:v>
                </c:pt>
                <c:pt idx="161">
                  <c:v>251</c:v>
                </c:pt>
                <c:pt idx="162">
                  <c:v>252</c:v>
                </c:pt>
                <c:pt idx="163">
                  <c:v>253</c:v>
                </c:pt>
                <c:pt idx="164">
                  <c:v>254</c:v>
                </c:pt>
                <c:pt idx="165">
                  <c:v>255</c:v>
                </c:pt>
                <c:pt idx="166">
                  <c:v>256</c:v>
                </c:pt>
                <c:pt idx="167">
                  <c:v>257</c:v>
                </c:pt>
                <c:pt idx="168">
                  <c:v>258</c:v>
                </c:pt>
                <c:pt idx="169">
                  <c:v>259</c:v>
                </c:pt>
                <c:pt idx="170">
                  <c:v>260</c:v>
                </c:pt>
                <c:pt idx="171">
                  <c:v>261</c:v>
                </c:pt>
                <c:pt idx="172">
                  <c:v>262</c:v>
                </c:pt>
                <c:pt idx="173">
                  <c:v>263</c:v>
                </c:pt>
                <c:pt idx="174">
                  <c:v>264</c:v>
                </c:pt>
                <c:pt idx="175">
                  <c:v>265</c:v>
                </c:pt>
                <c:pt idx="176">
                  <c:v>266</c:v>
                </c:pt>
                <c:pt idx="177">
                  <c:v>267</c:v>
                </c:pt>
                <c:pt idx="178">
                  <c:v>268</c:v>
                </c:pt>
                <c:pt idx="179">
                  <c:v>269</c:v>
                </c:pt>
                <c:pt idx="180">
                  <c:v>270</c:v>
                </c:pt>
                <c:pt idx="181">
                  <c:v>271</c:v>
                </c:pt>
                <c:pt idx="182">
                  <c:v>272</c:v>
                </c:pt>
                <c:pt idx="183">
                  <c:v>273</c:v>
                </c:pt>
                <c:pt idx="184">
                  <c:v>274</c:v>
                </c:pt>
                <c:pt idx="185">
                  <c:v>275</c:v>
                </c:pt>
                <c:pt idx="186">
                  <c:v>276</c:v>
                </c:pt>
                <c:pt idx="187">
                  <c:v>277</c:v>
                </c:pt>
                <c:pt idx="188">
                  <c:v>278</c:v>
                </c:pt>
                <c:pt idx="189">
                  <c:v>279</c:v>
                </c:pt>
                <c:pt idx="190">
                  <c:v>280</c:v>
                </c:pt>
                <c:pt idx="191">
                  <c:v>282</c:v>
                </c:pt>
                <c:pt idx="192">
                  <c:v>284</c:v>
                </c:pt>
                <c:pt idx="193">
                  <c:v>286</c:v>
                </c:pt>
                <c:pt idx="194">
                  <c:v>288</c:v>
                </c:pt>
                <c:pt idx="195">
                  <c:v>290</c:v>
                </c:pt>
                <c:pt idx="196">
                  <c:v>292</c:v>
                </c:pt>
                <c:pt idx="197">
                  <c:v>294</c:v>
                </c:pt>
                <c:pt idx="198">
                  <c:v>296</c:v>
                </c:pt>
                <c:pt idx="199">
                  <c:v>298</c:v>
                </c:pt>
                <c:pt idx="200">
                  <c:v>300</c:v>
                </c:pt>
              </c:numCache>
            </c:numRef>
          </c:cat>
          <c:val>
            <c:numRef>
              <c:f>Matrix!$X$11:$X$211</c:f>
              <c:numCache>
                <c:formatCode>General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0.125</c:v>
                </c:pt>
                <c:pt idx="63">
                  <c:v>0.125</c:v>
                </c:pt>
                <c:pt idx="64">
                  <c:v>0.125</c:v>
                </c:pt>
                <c:pt idx="65">
                  <c:v>0.125</c:v>
                </c:pt>
                <c:pt idx="66">
                  <c:v>0.125</c:v>
                </c:pt>
                <c:pt idx="67">
                  <c:v>0.125</c:v>
                </c:pt>
                <c:pt idx="68">
                  <c:v>0.125</c:v>
                </c:pt>
                <c:pt idx="69">
                  <c:v>0.125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0.25</c:v>
                </c:pt>
                <c:pt idx="74">
                  <c:v>0.25</c:v>
                </c:pt>
                <c:pt idx="75">
                  <c:v>0.25</c:v>
                </c:pt>
                <c:pt idx="76">
                  <c:v>0.25</c:v>
                </c:pt>
                <c:pt idx="77">
                  <c:v>0.25</c:v>
                </c:pt>
                <c:pt idx="78">
                  <c:v>0.25</c:v>
                </c:pt>
                <c:pt idx="79">
                  <c:v>0.25</c:v>
                </c:pt>
                <c:pt idx="80">
                  <c:v>0.25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0.125</c:v>
                </c:pt>
                <c:pt idx="108">
                  <c:v>0.125</c:v>
                </c:pt>
                <c:pt idx="109">
                  <c:v>0.125</c:v>
                </c:pt>
                <c:pt idx="110">
                  <c:v>0.125</c:v>
                </c:pt>
                <c:pt idx="111">
                  <c:v>0.125</c:v>
                </c:pt>
                <c:pt idx="112">
                  <c:v>0.125</c:v>
                </c:pt>
                <c:pt idx="113">
                  <c:v>0.125</c:v>
                </c:pt>
                <c:pt idx="114">
                  <c:v>0.125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0.125</c:v>
                </c:pt>
                <c:pt idx="119">
                  <c:v>0.125</c:v>
                </c:pt>
                <c:pt idx="120">
                  <c:v>0.125</c:v>
                </c:pt>
                <c:pt idx="121">
                  <c:v>0.125</c:v>
                </c:pt>
                <c:pt idx="122">
                  <c:v>0.125</c:v>
                </c:pt>
                <c:pt idx="123">
                  <c:v>0.125</c:v>
                </c:pt>
                <c:pt idx="124">
                  <c:v>0.125</c:v>
                </c:pt>
                <c:pt idx="125">
                  <c:v>0.125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0.25</c:v>
                </c:pt>
                <c:pt idx="138">
                  <c:v>0.25</c:v>
                </c:pt>
                <c:pt idx="139">
                  <c:v>0.25</c:v>
                </c:pt>
                <c:pt idx="140">
                  <c:v>0.25</c:v>
                </c:pt>
                <c:pt idx="141">
                  <c:v>0.25</c:v>
                </c:pt>
                <c:pt idx="142">
                  <c:v>0.25</c:v>
                </c:pt>
                <c:pt idx="143">
                  <c:v>0.25</c:v>
                </c:pt>
                <c:pt idx="144">
                  <c:v>0.25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F77-4BF5-A0BF-755925754142}"/>
            </c:ext>
          </c:extLst>
        </c:ser>
        <c:ser>
          <c:idx val="10"/>
          <c:order val="10"/>
          <c:tx>
            <c:strRef>
              <c:f>Matrix!$Y$10</c:f>
              <c:strCache>
                <c:ptCount val="1"/>
                <c:pt idx="0">
                  <c:v>Wolverine (N)</c:v>
                </c:pt>
              </c:strCache>
            </c:strRef>
          </c:tx>
          <c:spPr>
            <a:solidFill>
              <a:srgbClr val="E6AF00"/>
            </a:solidFill>
            <a:ln>
              <a:noFill/>
            </a:ln>
            <a:effectLst/>
          </c:spPr>
          <c:cat>
            <c:numRef>
              <c:f>Matrix!$B$11:$B$211</c:f>
              <c:numCache>
                <c:formatCode>General</c:formatCode>
                <c:ptCount val="201"/>
                <c:pt idx="0">
                  <c:v>83</c:v>
                </c:pt>
                <c:pt idx="1">
                  <c:v>85</c:v>
                </c:pt>
                <c:pt idx="2">
                  <c:v>87</c:v>
                </c:pt>
                <c:pt idx="3">
                  <c:v>89</c:v>
                </c:pt>
                <c:pt idx="4">
                  <c:v>91</c:v>
                </c:pt>
                <c:pt idx="5">
                  <c:v>93</c:v>
                </c:pt>
                <c:pt idx="6">
                  <c:v>95</c:v>
                </c:pt>
                <c:pt idx="7">
                  <c:v>97</c:v>
                </c:pt>
                <c:pt idx="8">
                  <c:v>98</c:v>
                </c:pt>
                <c:pt idx="9">
                  <c:v>99</c:v>
                </c:pt>
                <c:pt idx="10">
                  <c:v>100</c:v>
                </c:pt>
                <c:pt idx="11">
                  <c:v>101</c:v>
                </c:pt>
                <c:pt idx="12">
                  <c:v>102</c:v>
                </c:pt>
                <c:pt idx="13">
                  <c:v>103</c:v>
                </c:pt>
                <c:pt idx="14">
                  <c:v>104</c:v>
                </c:pt>
                <c:pt idx="15">
                  <c:v>105</c:v>
                </c:pt>
                <c:pt idx="16">
                  <c:v>106</c:v>
                </c:pt>
                <c:pt idx="17">
                  <c:v>107</c:v>
                </c:pt>
                <c:pt idx="18">
                  <c:v>108</c:v>
                </c:pt>
                <c:pt idx="19">
                  <c:v>109</c:v>
                </c:pt>
                <c:pt idx="20">
                  <c:v>110</c:v>
                </c:pt>
                <c:pt idx="21">
                  <c:v>111</c:v>
                </c:pt>
                <c:pt idx="22">
                  <c:v>112</c:v>
                </c:pt>
                <c:pt idx="23">
                  <c:v>113</c:v>
                </c:pt>
                <c:pt idx="24">
                  <c:v>114</c:v>
                </c:pt>
                <c:pt idx="25">
                  <c:v>115</c:v>
                </c:pt>
                <c:pt idx="26">
                  <c:v>116</c:v>
                </c:pt>
                <c:pt idx="27">
                  <c:v>117</c:v>
                </c:pt>
                <c:pt idx="28">
                  <c:v>118</c:v>
                </c:pt>
                <c:pt idx="29">
                  <c:v>119</c:v>
                </c:pt>
                <c:pt idx="30">
                  <c:v>120</c:v>
                </c:pt>
                <c:pt idx="31">
                  <c:v>121</c:v>
                </c:pt>
                <c:pt idx="32">
                  <c:v>122</c:v>
                </c:pt>
                <c:pt idx="33">
                  <c:v>123</c:v>
                </c:pt>
                <c:pt idx="34">
                  <c:v>124</c:v>
                </c:pt>
                <c:pt idx="35">
                  <c:v>125</c:v>
                </c:pt>
                <c:pt idx="36">
                  <c:v>126</c:v>
                </c:pt>
                <c:pt idx="37">
                  <c:v>127</c:v>
                </c:pt>
                <c:pt idx="38">
                  <c:v>128</c:v>
                </c:pt>
                <c:pt idx="39">
                  <c:v>129</c:v>
                </c:pt>
                <c:pt idx="40">
                  <c:v>130</c:v>
                </c:pt>
                <c:pt idx="41">
                  <c:v>131</c:v>
                </c:pt>
                <c:pt idx="42">
                  <c:v>132</c:v>
                </c:pt>
                <c:pt idx="43">
                  <c:v>133</c:v>
                </c:pt>
                <c:pt idx="44">
                  <c:v>134</c:v>
                </c:pt>
                <c:pt idx="45">
                  <c:v>135</c:v>
                </c:pt>
                <c:pt idx="46">
                  <c:v>136</c:v>
                </c:pt>
                <c:pt idx="47">
                  <c:v>137</c:v>
                </c:pt>
                <c:pt idx="48">
                  <c:v>138</c:v>
                </c:pt>
                <c:pt idx="49">
                  <c:v>139</c:v>
                </c:pt>
                <c:pt idx="50">
                  <c:v>140</c:v>
                </c:pt>
                <c:pt idx="51">
                  <c:v>141</c:v>
                </c:pt>
                <c:pt idx="52">
                  <c:v>142</c:v>
                </c:pt>
                <c:pt idx="53">
                  <c:v>143</c:v>
                </c:pt>
                <c:pt idx="54">
                  <c:v>144</c:v>
                </c:pt>
                <c:pt idx="55">
                  <c:v>145</c:v>
                </c:pt>
                <c:pt idx="56">
                  <c:v>146</c:v>
                </c:pt>
                <c:pt idx="57">
                  <c:v>147</c:v>
                </c:pt>
                <c:pt idx="58">
                  <c:v>148</c:v>
                </c:pt>
                <c:pt idx="59">
                  <c:v>149</c:v>
                </c:pt>
                <c:pt idx="60">
                  <c:v>150</c:v>
                </c:pt>
                <c:pt idx="61">
                  <c:v>151</c:v>
                </c:pt>
                <c:pt idx="62">
                  <c:v>152</c:v>
                </c:pt>
                <c:pt idx="63">
                  <c:v>153</c:v>
                </c:pt>
                <c:pt idx="64">
                  <c:v>154</c:v>
                </c:pt>
                <c:pt idx="65">
                  <c:v>155</c:v>
                </c:pt>
                <c:pt idx="66">
                  <c:v>156</c:v>
                </c:pt>
                <c:pt idx="67">
                  <c:v>157</c:v>
                </c:pt>
                <c:pt idx="68">
                  <c:v>158</c:v>
                </c:pt>
                <c:pt idx="69">
                  <c:v>159</c:v>
                </c:pt>
                <c:pt idx="70">
                  <c:v>160</c:v>
                </c:pt>
                <c:pt idx="71">
                  <c:v>161</c:v>
                </c:pt>
                <c:pt idx="72">
                  <c:v>162</c:v>
                </c:pt>
                <c:pt idx="73">
                  <c:v>163</c:v>
                </c:pt>
                <c:pt idx="74">
                  <c:v>164</c:v>
                </c:pt>
                <c:pt idx="75">
                  <c:v>165</c:v>
                </c:pt>
                <c:pt idx="76">
                  <c:v>166</c:v>
                </c:pt>
                <c:pt idx="77">
                  <c:v>167</c:v>
                </c:pt>
                <c:pt idx="78">
                  <c:v>168</c:v>
                </c:pt>
                <c:pt idx="79">
                  <c:v>169</c:v>
                </c:pt>
                <c:pt idx="80">
                  <c:v>170</c:v>
                </c:pt>
                <c:pt idx="81">
                  <c:v>171</c:v>
                </c:pt>
                <c:pt idx="82">
                  <c:v>172</c:v>
                </c:pt>
                <c:pt idx="83">
                  <c:v>173</c:v>
                </c:pt>
                <c:pt idx="84">
                  <c:v>174</c:v>
                </c:pt>
                <c:pt idx="85">
                  <c:v>175</c:v>
                </c:pt>
                <c:pt idx="86">
                  <c:v>176</c:v>
                </c:pt>
                <c:pt idx="87">
                  <c:v>177</c:v>
                </c:pt>
                <c:pt idx="88">
                  <c:v>178</c:v>
                </c:pt>
                <c:pt idx="89">
                  <c:v>179</c:v>
                </c:pt>
                <c:pt idx="90">
                  <c:v>180</c:v>
                </c:pt>
                <c:pt idx="91">
                  <c:v>181</c:v>
                </c:pt>
                <c:pt idx="92">
                  <c:v>182</c:v>
                </c:pt>
                <c:pt idx="93">
                  <c:v>183</c:v>
                </c:pt>
                <c:pt idx="94">
                  <c:v>184</c:v>
                </c:pt>
                <c:pt idx="95">
                  <c:v>185</c:v>
                </c:pt>
                <c:pt idx="96">
                  <c:v>186</c:v>
                </c:pt>
                <c:pt idx="97">
                  <c:v>187</c:v>
                </c:pt>
                <c:pt idx="98">
                  <c:v>188</c:v>
                </c:pt>
                <c:pt idx="99">
                  <c:v>189</c:v>
                </c:pt>
                <c:pt idx="100">
                  <c:v>190</c:v>
                </c:pt>
                <c:pt idx="101">
                  <c:v>191</c:v>
                </c:pt>
                <c:pt idx="102">
                  <c:v>192</c:v>
                </c:pt>
                <c:pt idx="103">
                  <c:v>193</c:v>
                </c:pt>
                <c:pt idx="104">
                  <c:v>194</c:v>
                </c:pt>
                <c:pt idx="105">
                  <c:v>195</c:v>
                </c:pt>
                <c:pt idx="106">
                  <c:v>196</c:v>
                </c:pt>
                <c:pt idx="107">
                  <c:v>197</c:v>
                </c:pt>
                <c:pt idx="108">
                  <c:v>198</c:v>
                </c:pt>
                <c:pt idx="109">
                  <c:v>199</c:v>
                </c:pt>
                <c:pt idx="110">
                  <c:v>200</c:v>
                </c:pt>
                <c:pt idx="111">
                  <c:v>201</c:v>
                </c:pt>
                <c:pt idx="112">
                  <c:v>202</c:v>
                </c:pt>
                <c:pt idx="113">
                  <c:v>203</c:v>
                </c:pt>
                <c:pt idx="114">
                  <c:v>204</c:v>
                </c:pt>
                <c:pt idx="115">
                  <c:v>205</c:v>
                </c:pt>
                <c:pt idx="116">
                  <c:v>206</c:v>
                </c:pt>
                <c:pt idx="117">
                  <c:v>207</c:v>
                </c:pt>
                <c:pt idx="118">
                  <c:v>208</c:v>
                </c:pt>
                <c:pt idx="119">
                  <c:v>209</c:v>
                </c:pt>
                <c:pt idx="120">
                  <c:v>210</c:v>
                </c:pt>
                <c:pt idx="121">
                  <c:v>211</c:v>
                </c:pt>
                <c:pt idx="122">
                  <c:v>212</c:v>
                </c:pt>
                <c:pt idx="123">
                  <c:v>213</c:v>
                </c:pt>
                <c:pt idx="124">
                  <c:v>214</c:v>
                </c:pt>
                <c:pt idx="125">
                  <c:v>215</c:v>
                </c:pt>
                <c:pt idx="126">
                  <c:v>216</c:v>
                </c:pt>
                <c:pt idx="127">
                  <c:v>217</c:v>
                </c:pt>
                <c:pt idx="128">
                  <c:v>218</c:v>
                </c:pt>
                <c:pt idx="129">
                  <c:v>219</c:v>
                </c:pt>
                <c:pt idx="130">
                  <c:v>220</c:v>
                </c:pt>
                <c:pt idx="131">
                  <c:v>221</c:v>
                </c:pt>
                <c:pt idx="132">
                  <c:v>222</c:v>
                </c:pt>
                <c:pt idx="133">
                  <c:v>223</c:v>
                </c:pt>
                <c:pt idx="134">
                  <c:v>224</c:v>
                </c:pt>
                <c:pt idx="135">
                  <c:v>225</c:v>
                </c:pt>
                <c:pt idx="136">
                  <c:v>226</c:v>
                </c:pt>
                <c:pt idx="137">
                  <c:v>227</c:v>
                </c:pt>
                <c:pt idx="138">
                  <c:v>228</c:v>
                </c:pt>
                <c:pt idx="139">
                  <c:v>229</c:v>
                </c:pt>
                <c:pt idx="140">
                  <c:v>230</c:v>
                </c:pt>
                <c:pt idx="141">
                  <c:v>231</c:v>
                </c:pt>
                <c:pt idx="142">
                  <c:v>232</c:v>
                </c:pt>
                <c:pt idx="143">
                  <c:v>233</c:v>
                </c:pt>
                <c:pt idx="144">
                  <c:v>234</c:v>
                </c:pt>
                <c:pt idx="145">
                  <c:v>235</c:v>
                </c:pt>
                <c:pt idx="146">
                  <c:v>236</c:v>
                </c:pt>
                <c:pt idx="147">
                  <c:v>237</c:v>
                </c:pt>
                <c:pt idx="148">
                  <c:v>238</c:v>
                </c:pt>
                <c:pt idx="149">
                  <c:v>239</c:v>
                </c:pt>
                <c:pt idx="150">
                  <c:v>240</c:v>
                </c:pt>
                <c:pt idx="151">
                  <c:v>241</c:v>
                </c:pt>
                <c:pt idx="152">
                  <c:v>242</c:v>
                </c:pt>
                <c:pt idx="153">
                  <c:v>243</c:v>
                </c:pt>
                <c:pt idx="154">
                  <c:v>244</c:v>
                </c:pt>
                <c:pt idx="155">
                  <c:v>245</c:v>
                </c:pt>
                <c:pt idx="156">
                  <c:v>246</c:v>
                </c:pt>
                <c:pt idx="157">
                  <c:v>247</c:v>
                </c:pt>
                <c:pt idx="158">
                  <c:v>248</c:v>
                </c:pt>
                <c:pt idx="159">
                  <c:v>249</c:v>
                </c:pt>
                <c:pt idx="160">
                  <c:v>250</c:v>
                </c:pt>
                <c:pt idx="161">
                  <c:v>251</c:v>
                </c:pt>
                <c:pt idx="162">
                  <c:v>252</c:v>
                </c:pt>
                <c:pt idx="163">
                  <c:v>253</c:v>
                </c:pt>
                <c:pt idx="164">
                  <c:v>254</c:v>
                </c:pt>
                <c:pt idx="165">
                  <c:v>255</c:v>
                </c:pt>
                <c:pt idx="166">
                  <c:v>256</c:v>
                </c:pt>
                <c:pt idx="167">
                  <c:v>257</c:v>
                </c:pt>
                <c:pt idx="168">
                  <c:v>258</c:v>
                </c:pt>
                <c:pt idx="169">
                  <c:v>259</c:v>
                </c:pt>
                <c:pt idx="170">
                  <c:v>260</c:v>
                </c:pt>
                <c:pt idx="171">
                  <c:v>261</c:v>
                </c:pt>
                <c:pt idx="172">
                  <c:v>262</c:v>
                </c:pt>
                <c:pt idx="173">
                  <c:v>263</c:v>
                </c:pt>
                <c:pt idx="174">
                  <c:v>264</c:v>
                </c:pt>
                <c:pt idx="175">
                  <c:v>265</c:v>
                </c:pt>
                <c:pt idx="176">
                  <c:v>266</c:v>
                </c:pt>
                <c:pt idx="177">
                  <c:v>267</c:v>
                </c:pt>
                <c:pt idx="178">
                  <c:v>268</c:v>
                </c:pt>
                <c:pt idx="179">
                  <c:v>269</c:v>
                </c:pt>
                <c:pt idx="180">
                  <c:v>270</c:v>
                </c:pt>
                <c:pt idx="181">
                  <c:v>271</c:v>
                </c:pt>
                <c:pt idx="182">
                  <c:v>272</c:v>
                </c:pt>
                <c:pt idx="183">
                  <c:v>273</c:v>
                </c:pt>
                <c:pt idx="184">
                  <c:v>274</c:v>
                </c:pt>
                <c:pt idx="185">
                  <c:v>275</c:v>
                </c:pt>
                <c:pt idx="186">
                  <c:v>276</c:v>
                </c:pt>
                <c:pt idx="187">
                  <c:v>277</c:v>
                </c:pt>
                <c:pt idx="188">
                  <c:v>278</c:v>
                </c:pt>
                <c:pt idx="189">
                  <c:v>279</c:v>
                </c:pt>
                <c:pt idx="190">
                  <c:v>280</c:v>
                </c:pt>
                <c:pt idx="191">
                  <c:v>282</c:v>
                </c:pt>
                <c:pt idx="192">
                  <c:v>284</c:v>
                </c:pt>
                <c:pt idx="193">
                  <c:v>286</c:v>
                </c:pt>
                <c:pt idx="194">
                  <c:v>288</c:v>
                </c:pt>
                <c:pt idx="195">
                  <c:v>290</c:v>
                </c:pt>
                <c:pt idx="196">
                  <c:v>292</c:v>
                </c:pt>
                <c:pt idx="197">
                  <c:v>294</c:v>
                </c:pt>
                <c:pt idx="198">
                  <c:v>296</c:v>
                </c:pt>
                <c:pt idx="199">
                  <c:v>298</c:v>
                </c:pt>
                <c:pt idx="200">
                  <c:v>300</c:v>
                </c:pt>
              </c:numCache>
            </c:numRef>
          </c:cat>
          <c:val>
            <c:numRef>
              <c:f>Matrix!$Y$11:$Y$211</c:f>
              <c:numCache>
                <c:formatCode>General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1.25</c:v>
                </c:pt>
                <c:pt idx="45">
                  <c:v>1.25</c:v>
                </c:pt>
                <c:pt idx="46">
                  <c:v>1.25</c:v>
                </c:pt>
                <c:pt idx="47">
                  <c:v>1.25</c:v>
                </c:pt>
                <c:pt idx="48">
                  <c:v>1.25</c:v>
                </c:pt>
                <c:pt idx="49">
                  <c:v>1.25</c:v>
                </c:pt>
                <c:pt idx="50">
                  <c:v>1.25</c:v>
                </c:pt>
                <c:pt idx="51">
                  <c:v>1.25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19.125</c:v>
                </c:pt>
                <c:pt idx="70">
                  <c:v>23.75</c:v>
                </c:pt>
                <c:pt idx="71">
                  <c:v>23.75</c:v>
                </c:pt>
                <c:pt idx="72">
                  <c:v>23.75</c:v>
                </c:pt>
                <c:pt idx="73">
                  <c:v>23.75</c:v>
                </c:pt>
                <c:pt idx="74">
                  <c:v>23.75</c:v>
                </c:pt>
                <c:pt idx="75">
                  <c:v>23.75</c:v>
                </c:pt>
                <c:pt idx="76">
                  <c:v>23.75</c:v>
                </c:pt>
                <c:pt idx="77">
                  <c:v>4.625</c:v>
                </c:pt>
                <c:pt idx="78">
                  <c:v>0</c:v>
                </c:pt>
                <c:pt idx="79">
                  <c:v>3.125</c:v>
                </c:pt>
                <c:pt idx="80">
                  <c:v>10</c:v>
                </c:pt>
                <c:pt idx="81">
                  <c:v>10</c:v>
                </c:pt>
                <c:pt idx="82">
                  <c:v>10</c:v>
                </c:pt>
                <c:pt idx="83">
                  <c:v>10</c:v>
                </c:pt>
                <c:pt idx="84">
                  <c:v>10</c:v>
                </c:pt>
                <c:pt idx="85">
                  <c:v>10</c:v>
                </c:pt>
                <c:pt idx="86">
                  <c:v>10</c:v>
                </c:pt>
                <c:pt idx="87">
                  <c:v>6.875</c:v>
                </c:pt>
                <c:pt idx="88">
                  <c:v>0</c:v>
                </c:pt>
                <c:pt idx="89">
                  <c:v>0</c:v>
                </c:pt>
                <c:pt idx="90">
                  <c:v>0.875</c:v>
                </c:pt>
                <c:pt idx="91">
                  <c:v>0.875</c:v>
                </c:pt>
                <c:pt idx="92">
                  <c:v>0.875</c:v>
                </c:pt>
                <c:pt idx="93">
                  <c:v>0.875</c:v>
                </c:pt>
                <c:pt idx="94">
                  <c:v>0.875</c:v>
                </c:pt>
                <c:pt idx="95">
                  <c:v>0.875</c:v>
                </c:pt>
                <c:pt idx="96">
                  <c:v>0.875</c:v>
                </c:pt>
                <c:pt idx="97">
                  <c:v>0.875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0.25</c:v>
                </c:pt>
                <c:pt idx="153">
                  <c:v>0.25</c:v>
                </c:pt>
                <c:pt idx="154">
                  <c:v>0.25</c:v>
                </c:pt>
                <c:pt idx="155">
                  <c:v>0.25</c:v>
                </c:pt>
                <c:pt idx="156">
                  <c:v>0.25</c:v>
                </c:pt>
                <c:pt idx="157">
                  <c:v>0.25</c:v>
                </c:pt>
                <c:pt idx="158">
                  <c:v>6.25</c:v>
                </c:pt>
                <c:pt idx="159">
                  <c:v>6.25</c:v>
                </c:pt>
                <c:pt idx="160">
                  <c:v>6</c:v>
                </c:pt>
                <c:pt idx="161">
                  <c:v>6</c:v>
                </c:pt>
                <c:pt idx="162">
                  <c:v>6</c:v>
                </c:pt>
                <c:pt idx="163">
                  <c:v>6</c:v>
                </c:pt>
                <c:pt idx="164">
                  <c:v>6</c:v>
                </c:pt>
                <c:pt idx="165">
                  <c:v>7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F77-4BF5-A0BF-7559257541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6809727"/>
        <c:axId val="1533036512"/>
      </c:areaChart>
      <c:lineChart>
        <c:grouping val="standard"/>
        <c:varyColors val="0"/>
        <c:ser>
          <c:idx val="11"/>
          <c:order val="11"/>
          <c:tx>
            <c:strRef>
              <c:f>Matrix!$Z$10</c:f>
              <c:strCache>
                <c:ptCount val="1"/>
                <c:pt idx="0">
                  <c:v>Top line</c:v>
                </c:pt>
              </c:strCache>
            </c:strRef>
          </c:tx>
          <c:spPr>
            <a:ln w="12700" cap="rnd">
              <a:solidFill>
                <a:schemeClr val="bg1"/>
              </a:solidFill>
              <a:round/>
            </a:ln>
            <a:effectLst/>
          </c:spPr>
          <c:marker>
            <c:symbol val="none"/>
          </c:marker>
          <c:cat>
            <c:numRef>
              <c:f>Matrix!$B$11:$B$211</c:f>
              <c:numCache>
                <c:formatCode>General</c:formatCode>
                <c:ptCount val="201"/>
                <c:pt idx="0">
                  <c:v>83</c:v>
                </c:pt>
                <c:pt idx="1">
                  <c:v>85</c:v>
                </c:pt>
                <c:pt idx="2">
                  <c:v>87</c:v>
                </c:pt>
                <c:pt idx="3">
                  <c:v>89</c:v>
                </c:pt>
                <c:pt idx="4">
                  <c:v>91</c:v>
                </c:pt>
                <c:pt idx="5">
                  <c:v>93</c:v>
                </c:pt>
                <c:pt idx="6">
                  <c:v>95</c:v>
                </c:pt>
                <c:pt idx="7">
                  <c:v>97</c:v>
                </c:pt>
                <c:pt idx="8">
                  <c:v>98</c:v>
                </c:pt>
                <c:pt idx="9">
                  <c:v>99</c:v>
                </c:pt>
                <c:pt idx="10">
                  <c:v>100</c:v>
                </c:pt>
                <c:pt idx="11">
                  <c:v>101</c:v>
                </c:pt>
                <c:pt idx="12">
                  <c:v>102</c:v>
                </c:pt>
                <c:pt idx="13">
                  <c:v>103</c:v>
                </c:pt>
                <c:pt idx="14">
                  <c:v>104</c:v>
                </c:pt>
                <c:pt idx="15">
                  <c:v>105</c:v>
                </c:pt>
                <c:pt idx="16">
                  <c:v>106</c:v>
                </c:pt>
                <c:pt idx="17">
                  <c:v>107</c:v>
                </c:pt>
                <c:pt idx="18">
                  <c:v>108</c:v>
                </c:pt>
                <c:pt idx="19">
                  <c:v>109</c:v>
                </c:pt>
                <c:pt idx="20">
                  <c:v>110</c:v>
                </c:pt>
                <c:pt idx="21">
                  <c:v>111</c:v>
                </c:pt>
                <c:pt idx="22">
                  <c:v>112</c:v>
                </c:pt>
                <c:pt idx="23">
                  <c:v>113</c:v>
                </c:pt>
                <c:pt idx="24">
                  <c:v>114</c:v>
                </c:pt>
                <c:pt idx="25">
                  <c:v>115</c:v>
                </c:pt>
                <c:pt idx="26">
                  <c:v>116</c:v>
                </c:pt>
                <c:pt idx="27">
                  <c:v>117</c:v>
                </c:pt>
                <c:pt idx="28">
                  <c:v>118</c:v>
                </c:pt>
                <c:pt idx="29">
                  <c:v>119</c:v>
                </c:pt>
                <c:pt idx="30">
                  <c:v>120</c:v>
                </c:pt>
                <c:pt idx="31">
                  <c:v>121</c:v>
                </c:pt>
                <c:pt idx="32">
                  <c:v>122</c:v>
                </c:pt>
                <c:pt idx="33">
                  <c:v>123</c:v>
                </c:pt>
                <c:pt idx="34">
                  <c:v>124</c:v>
                </c:pt>
                <c:pt idx="35">
                  <c:v>125</c:v>
                </c:pt>
                <c:pt idx="36">
                  <c:v>126</c:v>
                </c:pt>
                <c:pt idx="37">
                  <c:v>127</c:v>
                </c:pt>
                <c:pt idx="38">
                  <c:v>128</c:v>
                </c:pt>
                <c:pt idx="39">
                  <c:v>129</c:v>
                </c:pt>
                <c:pt idx="40">
                  <c:v>130</c:v>
                </c:pt>
                <c:pt idx="41">
                  <c:v>131</c:v>
                </c:pt>
                <c:pt idx="42">
                  <c:v>132</c:v>
                </c:pt>
                <c:pt idx="43">
                  <c:v>133</c:v>
                </c:pt>
                <c:pt idx="44">
                  <c:v>134</c:v>
                </c:pt>
                <c:pt idx="45">
                  <c:v>135</c:v>
                </c:pt>
                <c:pt idx="46">
                  <c:v>136</c:v>
                </c:pt>
                <c:pt idx="47">
                  <c:v>137</c:v>
                </c:pt>
                <c:pt idx="48">
                  <c:v>138</c:v>
                </c:pt>
                <c:pt idx="49">
                  <c:v>139</c:v>
                </c:pt>
                <c:pt idx="50">
                  <c:v>140</c:v>
                </c:pt>
                <c:pt idx="51">
                  <c:v>141</c:v>
                </c:pt>
                <c:pt idx="52">
                  <c:v>142</c:v>
                </c:pt>
                <c:pt idx="53">
                  <c:v>143</c:v>
                </c:pt>
                <c:pt idx="54">
                  <c:v>144</c:v>
                </c:pt>
                <c:pt idx="55">
                  <c:v>145</c:v>
                </c:pt>
                <c:pt idx="56">
                  <c:v>146</c:v>
                </c:pt>
                <c:pt idx="57">
                  <c:v>147</c:v>
                </c:pt>
                <c:pt idx="58">
                  <c:v>148</c:v>
                </c:pt>
                <c:pt idx="59">
                  <c:v>149</c:v>
                </c:pt>
                <c:pt idx="60">
                  <c:v>150</c:v>
                </c:pt>
                <c:pt idx="61">
                  <c:v>151</c:v>
                </c:pt>
                <c:pt idx="62">
                  <c:v>152</c:v>
                </c:pt>
                <c:pt idx="63">
                  <c:v>153</c:v>
                </c:pt>
                <c:pt idx="64">
                  <c:v>154</c:v>
                </c:pt>
                <c:pt idx="65">
                  <c:v>155</c:v>
                </c:pt>
                <c:pt idx="66">
                  <c:v>156</c:v>
                </c:pt>
                <c:pt idx="67">
                  <c:v>157</c:v>
                </c:pt>
                <c:pt idx="68">
                  <c:v>158</c:v>
                </c:pt>
                <c:pt idx="69">
                  <c:v>159</c:v>
                </c:pt>
                <c:pt idx="70">
                  <c:v>160</c:v>
                </c:pt>
                <c:pt idx="71">
                  <c:v>161</c:v>
                </c:pt>
                <c:pt idx="72">
                  <c:v>162</c:v>
                </c:pt>
                <c:pt idx="73">
                  <c:v>163</c:v>
                </c:pt>
                <c:pt idx="74">
                  <c:v>164</c:v>
                </c:pt>
                <c:pt idx="75">
                  <c:v>165</c:v>
                </c:pt>
                <c:pt idx="76">
                  <c:v>166</c:v>
                </c:pt>
                <c:pt idx="77">
                  <c:v>167</c:v>
                </c:pt>
                <c:pt idx="78">
                  <c:v>168</c:v>
                </c:pt>
                <c:pt idx="79">
                  <c:v>169</c:v>
                </c:pt>
                <c:pt idx="80">
                  <c:v>170</c:v>
                </c:pt>
                <c:pt idx="81">
                  <c:v>171</c:v>
                </c:pt>
                <c:pt idx="82">
                  <c:v>172</c:v>
                </c:pt>
                <c:pt idx="83">
                  <c:v>173</c:v>
                </c:pt>
                <c:pt idx="84">
                  <c:v>174</c:v>
                </c:pt>
                <c:pt idx="85">
                  <c:v>175</c:v>
                </c:pt>
                <c:pt idx="86">
                  <c:v>176</c:v>
                </c:pt>
                <c:pt idx="87">
                  <c:v>177</c:v>
                </c:pt>
                <c:pt idx="88">
                  <c:v>178</c:v>
                </c:pt>
                <c:pt idx="89">
                  <c:v>179</c:v>
                </c:pt>
                <c:pt idx="90">
                  <c:v>180</c:v>
                </c:pt>
                <c:pt idx="91">
                  <c:v>181</c:v>
                </c:pt>
                <c:pt idx="92">
                  <c:v>182</c:v>
                </c:pt>
                <c:pt idx="93">
                  <c:v>183</c:v>
                </c:pt>
                <c:pt idx="94">
                  <c:v>184</c:v>
                </c:pt>
                <c:pt idx="95">
                  <c:v>185</c:v>
                </c:pt>
                <c:pt idx="96">
                  <c:v>186</c:v>
                </c:pt>
                <c:pt idx="97">
                  <c:v>187</c:v>
                </c:pt>
                <c:pt idx="98">
                  <c:v>188</c:v>
                </c:pt>
                <c:pt idx="99">
                  <c:v>189</c:v>
                </c:pt>
                <c:pt idx="100">
                  <c:v>190</c:v>
                </c:pt>
                <c:pt idx="101">
                  <c:v>191</c:v>
                </c:pt>
                <c:pt idx="102">
                  <c:v>192</c:v>
                </c:pt>
                <c:pt idx="103">
                  <c:v>193</c:v>
                </c:pt>
                <c:pt idx="104">
                  <c:v>194</c:v>
                </c:pt>
                <c:pt idx="105">
                  <c:v>195</c:v>
                </c:pt>
                <c:pt idx="106">
                  <c:v>196</c:v>
                </c:pt>
                <c:pt idx="107">
                  <c:v>197</c:v>
                </c:pt>
                <c:pt idx="108">
                  <c:v>198</c:v>
                </c:pt>
                <c:pt idx="109">
                  <c:v>199</c:v>
                </c:pt>
                <c:pt idx="110">
                  <c:v>200</c:v>
                </c:pt>
                <c:pt idx="111">
                  <c:v>201</c:v>
                </c:pt>
                <c:pt idx="112">
                  <c:v>202</c:v>
                </c:pt>
                <c:pt idx="113">
                  <c:v>203</c:v>
                </c:pt>
                <c:pt idx="114">
                  <c:v>204</c:v>
                </c:pt>
                <c:pt idx="115">
                  <c:v>205</c:v>
                </c:pt>
                <c:pt idx="116">
                  <c:v>206</c:v>
                </c:pt>
                <c:pt idx="117">
                  <c:v>207</c:v>
                </c:pt>
                <c:pt idx="118">
                  <c:v>208</c:v>
                </c:pt>
                <c:pt idx="119">
                  <c:v>209</c:v>
                </c:pt>
                <c:pt idx="120">
                  <c:v>210</c:v>
                </c:pt>
                <c:pt idx="121">
                  <c:v>211</c:v>
                </c:pt>
                <c:pt idx="122">
                  <c:v>212</c:v>
                </c:pt>
                <c:pt idx="123">
                  <c:v>213</c:v>
                </c:pt>
                <c:pt idx="124">
                  <c:v>214</c:v>
                </c:pt>
                <c:pt idx="125">
                  <c:v>215</c:v>
                </c:pt>
                <c:pt idx="126">
                  <c:v>216</c:v>
                </c:pt>
                <c:pt idx="127">
                  <c:v>217</c:v>
                </c:pt>
                <c:pt idx="128">
                  <c:v>218</c:v>
                </c:pt>
                <c:pt idx="129">
                  <c:v>219</c:v>
                </c:pt>
                <c:pt idx="130">
                  <c:v>220</c:v>
                </c:pt>
                <c:pt idx="131">
                  <c:v>221</c:v>
                </c:pt>
                <c:pt idx="132">
                  <c:v>222</c:v>
                </c:pt>
                <c:pt idx="133">
                  <c:v>223</c:v>
                </c:pt>
                <c:pt idx="134">
                  <c:v>224</c:v>
                </c:pt>
                <c:pt idx="135">
                  <c:v>225</c:v>
                </c:pt>
                <c:pt idx="136">
                  <c:v>226</c:v>
                </c:pt>
                <c:pt idx="137">
                  <c:v>227</c:v>
                </c:pt>
                <c:pt idx="138">
                  <c:v>228</c:v>
                </c:pt>
                <c:pt idx="139">
                  <c:v>229</c:v>
                </c:pt>
                <c:pt idx="140">
                  <c:v>230</c:v>
                </c:pt>
                <c:pt idx="141">
                  <c:v>231</c:v>
                </c:pt>
                <c:pt idx="142">
                  <c:v>232</c:v>
                </c:pt>
                <c:pt idx="143">
                  <c:v>233</c:v>
                </c:pt>
                <c:pt idx="144">
                  <c:v>234</c:v>
                </c:pt>
                <c:pt idx="145">
                  <c:v>235</c:v>
                </c:pt>
                <c:pt idx="146">
                  <c:v>236</c:v>
                </c:pt>
                <c:pt idx="147">
                  <c:v>237</c:v>
                </c:pt>
                <c:pt idx="148">
                  <c:v>238</c:v>
                </c:pt>
                <c:pt idx="149">
                  <c:v>239</c:v>
                </c:pt>
                <c:pt idx="150">
                  <c:v>240</c:v>
                </c:pt>
                <c:pt idx="151">
                  <c:v>241</c:v>
                </c:pt>
                <c:pt idx="152">
                  <c:v>242</c:v>
                </c:pt>
                <c:pt idx="153">
                  <c:v>243</c:v>
                </c:pt>
                <c:pt idx="154">
                  <c:v>244</c:v>
                </c:pt>
                <c:pt idx="155">
                  <c:v>245</c:v>
                </c:pt>
                <c:pt idx="156">
                  <c:v>246</c:v>
                </c:pt>
                <c:pt idx="157">
                  <c:v>247</c:v>
                </c:pt>
                <c:pt idx="158">
                  <c:v>248</c:v>
                </c:pt>
                <c:pt idx="159">
                  <c:v>249</c:v>
                </c:pt>
                <c:pt idx="160">
                  <c:v>250</c:v>
                </c:pt>
                <c:pt idx="161">
                  <c:v>251</c:v>
                </c:pt>
                <c:pt idx="162">
                  <c:v>252</c:v>
                </c:pt>
                <c:pt idx="163">
                  <c:v>253</c:v>
                </c:pt>
                <c:pt idx="164">
                  <c:v>254</c:v>
                </c:pt>
                <c:pt idx="165">
                  <c:v>255</c:v>
                </c:pt>
                <c:pt idx="166">
                  <c:v>256</c:v>
                </c:pt>
                <c:pt idx="167">
                  <c:v>257</c:v>
                </c:pt>
                <c:pt idx="168">
                  <c:v>258</c:v>
                </c:pt>
                <c:pt idx="169">
                  <c:v>259</c:v>
                </c:pt>
                <c:pt idx="170">
                  <c:v>260</c:v>
                </c:pt>
                <c:pt idx="171">
                  <c:v>261</c:v>
                </c:pt>
                <c:pt idx="172">
                  <c:v>262</c:v>
                </c:pt>
                <c:pt idx="173">
                  <c:v>263</c:v>
                </c:pt>
                <c:pt idx="174">
                  <c:v>264</c:v>
                </c:pt>
                <c:pt idx="175">
                  <c:v>265</c:v>
                </c:pt>
                <c:pt idx="176">
                  <c:v>266</c:v>
                </c:pt>
                <c:pt idx="177">
                  <c:v>267</c:v>
                </c:pt>
                <c:pt idx="178">
                  <c:v>268</c:v>
                </c:pt>
                <c:pt idx="179">
                  <c:v>269</c:v>
                </c:pt>
                <c:pt idx="180">
                  <c:v>270</c:v>
                </c:pt>
                <c:pt idx="181">
                  <c:v>271</c:v>
                </c:pt>
                <c:pt idx="182">
                  <c:v>272</c:v>
                </c:pt>
                <c:pt idx="183">
                  <c:v>273</c:v>
                </c:pt>
                <c:pt idx="184">
                  <c:v>274</c:v>
                </c:pt>
                <c:pt idx="185">
                  <c:v>275</c:v>
                </c:pt>
                <c:pt idx="186">
                  <c:v>276</c:v>
                </c:pt>
                <c:pt idx="187">
                  <c:v>277</c:v>
                </c:pt>
                <c:pt idx="188">
                  <c:v>278</c:v>
                </c:pt>
                <c:pt idx="189">
                  <c:v>279</c:v>
                </c:pt>
                <c:pt idx="190">
                  <c:v>280</c:v>
                </c:pt>
                <c:pt idx="191">
                  <c:v>282</c:v>
                </c:pt>
                <c:pt idx="192">
                  <c:v>284</c:v>
                </c:pt>
                <c:pt idx="193">
                  <c:v>286</c:v>
                </c:pt>
                <c:pt idx="194">
                  <c:v>288</c:v>
                </c:pt>
                <c:pt idx="195">
                  <c:v>290</c:v>
                </c:pt>
                <c:pt idx="196">
                  <c:v>292</c:v>
                </c:pt>
                <c:pt idx="197">
                  <c:v>294</c:v>
                </c:pt>
                <c:pt idx="198">
                  <c:v>296</c:v>
                </c:pt>
                <c:pt idx="199">
                  <c:v>298</c:v>
                </c:pt>
                <c:pt idx="200">
                  <c:v>300</c:v>
                </c:pt>
              </c:numCache>
            </c:numRef>
          </c:cat>
          <c:val>
            <c:numRef>
              <c:f>Matrix!$Z$11:$Z$211</c:f>
              <c:numCache>
                <c:formatCode>General</c:formatCode>
                <c:ptCount val="201"/>
                <c:pt idx="0">
                  <c:v>162</c:v>
                </c:pt>
                <c:pt idx="1">
                  <c:v>164</c:v>
                </c:pt>
                <c:pt idx="2">
                  <c:v>165.83333333333334</c:v>
                </c:pt>
                <c:pt idx="3">
                  <c:v>163.57142857142858</c:v>
                </c:pt>
                <c:pt idx="4">
                  <c:v>161.75</c:v>
                </c:pt>
                <c:pt idx="5">
                  <c:v>159.375</c:v>
                </c:pt>
                <c:pt idx="6">
                  <c:v>157.625</c:v>
                </c:pt>
                <c:pt idx="7">
                  <c:v>154.125</c:v>
                </c:pt>
                <c:pt idx="8">
                  <c:v>156.125</c:v>
                </c:pt>
                <c:pt idx="9">
                  <c:v>155</c:v>
                </c:pt>
                <c:pt idx="10">
                  <c:v>152.875</c:v>
                </c:pt>
                <c:pt idx="11">
                  <c:v>152.75</c:v>
                </c:pt>
                <c:pt idx="12">
                  <c:v>152.375</c:v>
                </c:pt>
                <c:pt idx="13">
                  <c:v>152.25</c:v>
                </c:pt>
                <c:pt idx="14">
                  <c:v>153.125</c:v>
                </c:pt>
                <c:pt idx="15">
                  <c:v>156.875</c:v>
                </c:pt>
                <c:pt idx="16">
                  <c:v>155.875</c:v>
                </c:pt>
                <c:pt idx="17">
                  <c:v>156</c:v>
                </c:pt>
                <c:pt idx="18">
                  <c:v>156.25</c:v>
                </c:pt>
                <c:pt idx="19">
                  <c:v>157.875</c:v>
                </c:pt>
                <c:pt idx="20">
                  <c:v>161.25</c:v>
                </c:pt>
                <c:pt idx="21">
                  <c:v>161.75</c:v>
                </c:pt>
                <c:pt idx="22">
                  <c:v>164</c:v>
                </c:pt>
                <c:pt idx="23">
                  <c:v>161.375</c:v>
                </c:pt>
                <c:pt idx="24">
                  <c:v>161</c:v>
                </c:pt>
                <c:pt idx="25">
                  <c:v>161.25</c:v>
                </c:pt>
                <c:pt idx="26">
                  <c:v>161.625</c:v>
                </c:pt>
                <c:pt idx="27">
                  <c:v>160.75</c:v>
                </c:pt>
                <c:pt idx="28">
                  <c:v>158.75</c:v>
                </c:pt>
                <c:pt idx="29">
                  <c:v>160</c:v>
                </c:pt>
                <c:pt idx="30">
                  <c:v>160.125</c:v>
                </c:pt>
                <c:pt idx="31">
                  <c:v>161.125</c:v>
                </c:pt>
                <c:pt idx="32">
                  <c:v>163.25</c:v>
                </c:pt>
                <c:pt idx="33">
                  <c:v>164</c:v>
                </c:pt>
                <c:pt idx="34">
                  <c:v>162.625</c:v>
                </c:pt>
                <c:pt idx="35">
                  <c:v>162.625</c:v>
                </c:pt>
                <c:pt idx="36">
                  <c:v>162.375</c:v>
                </c:pt>
                <c:pt idx="37">
                  <c:v>163</c:v>
                </c:pt>
                <c:pt idx="38">
                  <c:v>162.5</c:v>
                </c:pt>
                <c:pt idx="39">
                  <c:v>164</c:v>
                </c:pt>
                <c:pt idx="40">
                  <c:v>162</c:v>
                </c:pt>
                <c:pt idx="41">
                  <c:v>160.625</c:v>
                </c:pt>
                <c:pt idx="42">
                  <c:v>161.375</c:v>
                </c:pt>
                <c:pt idx="43">
                  <c:v>163</c:v>
                </c:pt>
                <c:pt idx="44">
                  <c:v>162.375</c:v>
                </c:pt>
                <c:pt idx="45">
                  <c:v>162.75</c:v>
                </c:pt>
                <c:pt idx="46">
                  <c:v>159.875</c:v>
                </c:pt>
                <c:pt idx="47">
                  <c:v>159.625</c:v>
                </c:pt>
                <c:pt idx="48">
                  <c:v>161.625</c:v>
                </c:pt>
                <c:pt idx="49">
                  <c:v>160.75</c:v>
                </c:pt>
                <c:pt idx="50">
                  <c:v>159.375</c:v>
                </c:pt>
                <c:pt idx="51">
                  <c:v>157.75</c:v>
                </c:pt>
                <c:pt idx="52">
                  <c:v>160.75</c:v>
                </c:pt>
                <c:pt idx="53">
                  <c:v>161.375</c:v>
                </c:pt>
                <c:pt idx="54">
                  <c:v>163.25</c:v>
                </c:pt>
                <c:pt idx="55">
                  <c:v>161.875</c:v>
                </c:pt>
                <c:pt idx="56">
                  <c:v>162.875</c:v>
                </c:pt>
                <c:pt idx="57">
                  <c:v>163.375</c:v>
                </c:pt>
                <c:pt idx="58">
                  <c:v>166.8125</c:v>
                </c:pt>
                <c:pt idx="59">
                  <c:v>166.1875</c:v>
                </c:pt>
                <c:pt idx="60">
                  <c:v>164.1875</c:v>
                </c:pt>
                <c:pt idx="61">
                  <c:v>163.3125</c:v>
                </c:pt>
                <c:pt idx="62">
                  <c:v>161.75</c:v>
                </c:pt>
                <c:pt idx="63">
                  <c:v>161.375</c:v>
                </c:pt>
                <c:pt idx="64">
                  <c:v>159</c:v>
                </c:pt>
                <c:pt idx="65">
                  <c:v>160</c:v>
                </c:pt>
                <c:pt idx="66">
                  <c:v>156.4375</c:v>
                </c:pt>
                <c:pt idx="67">
                  <c:v>156.8125</c:v>
                </c:pt>
                <c:pt idx="68">
                  <c:v>155.8125</c:v>
                </c:pt>
                <c:pt idx="69">
                  <c:v>163.125</c:v>
                </c:pt>
                <c:pt idx="70">
                  <c:v>167</c:v>
                </c:pt>
                <c:pt idx="71">
                  <c:v>167.375</c:v>
                </c:pt>
                <c:pt idx="72">
                  <c:v>168.875</c:v>
                </c:pt>
                <c:pt idx="73">
                  <c:v>168.4375</c:v>
                </c:pt>
                <c:pt idx="74">
                  <c:v>170.6875</c:v>
                </c:pt>
                <c:pt idx="75">
                  <c:v>172.5625</c:v>
                </c:pt>
                <c:pt idx="76">
                  <c:v>175.3125</c:v>
                </c:pt>
                <c:pt idx="77">
                  <c:v>168.625</c:v>
                </c:pt>
                <c:pt idx="78">
                  <c:v>165.9375</c:v>
                </c:pt>
                <c:pt idx="79">
                  <c:v>166.875</c:v>
                </c:pt>
                <c:pt idx="80">
                  <c:v>171.0625</c:v>
                </c:pt>
                <c:pt idx="81">
                  <c:v>172.0625</c:v>
                </c:pt>
                <c:pt idx="82">
                  <c:v>170.9375</c:v>
                </c:pt>
                <c:pt idx="83">
                  <c:v>170.9375</c:v>
                </c:pt>
                <c:pt idx="84">
                  <c:v>169.4375</c:v>
                </c:pt>
                <c:pt idx="85">
                  <c:v>169.5625</c:v>
                </c:pt>
                <c:pt idx="86">
                  <c:v>169.3125</c:v>
                </c:pt>
                <c:pt idx="87">
                  <c:v>168.8125</c:v>
                </c:pt>
                <c:pt idx="88">
                  <c:v>165.125</c:v>
                </c:pt>
                <c:pt idx="89">
                  <c:v>163.1875</c:v>
                </c:pt>
                <c:pt idx="90">
                  <c:v>165.0625</c:v>
                </c:pt>
                <c:pt idx="91">
                  <c:v>163.4375</c:v>
                </c:pt>
                <c:pt idx="92">
                  <c:v>161.875</c:v>
                </c:pt>
                <c:pt idx="93">
                  <c:v>160.75</c:v>
                </c:pt>
                <c:pt idx="94">
                  <c:v>161.125</c:v>
                </c:pt>
                <c:pt idx="95">
                  <c:v>161.1875</c:v>
                </c:pt>
                <c:pt idx="96">
                  <c:v>159.5625</c:v>
                </c:pt>
                <c:pt idx="97">
                  <c:v>158.5625</c:v>
                </c:pt>
                <c:pt idx="98">
                  <c:v>155.6875</c:v>
                </c:pt>
                <c:pt idx="99">
                  <c:v>154.875</c:v>
                </c:pt>
                <c:pt idx="100">
                  <c:v>157.25</c:v>
                </c:pt>
                <c:pt idx="101">
                  <c:v>155.875</c:v>
                </c:pt>
                <c:pt idx="102">
                  <c:v>155.75</c:v>
                </c:pt>
                <c:pt idx="103">
                  <c:v>154.75</c:v>
                </c:pt>
                <c:pt idx="104">
                  <c:v>153.75</c:v>
                </c:pt>
                <c:pt idx="105">
                  <c:v>159.875</c:v>
                </c:pt>
                <c:pt idx="106">
                  <c:v>160.625</c:v>
                </c:pt>
                <c:pt idx="107">
                  <c:v>163.25</c:v>
                </c:pt>
                <c:pt idx="108">
                  <c:v>163.5625</c:v>
                </c:pt>
                <c:pt idx="109">
                  <c:v>164.4375</c:v>
                </c:pt>
                <c:pt idx="110">
                  <c:v>165.1875</c:v>
                </c:pt>
                <c:pt idx="111">
                  <c:v>164.9375</c:v>
                </c:pt>
                <c:pt idx="112">
                  <c:v>164.6875</c:v>
                </c:pt>
                <c:pt idx="113">
                  <c:v>161.4375</c:v>
                </c:pt>
                <c:pt idx="114">
                  <c:v>161.5625</c:v>
                </c:pt>
                <c:pt idx="115">
                  <c:v>160.6875</c:v>
                </c:pt>
                <c:pt idx="116">
                  <c:v>159</c:v>
                </c:pt>
                <c:pt idx="117">
                  <c:v>158.1875</c:v>
                </c:pt>
                <c:pt idx="118">
                  <c:v>157.8125</c:v>
                </c:pt>
                <c:pt idx="119">
                  <c:v>158.3125</c:v>
                </c:pt>
                <c:pt idx="120">
                  <c:v>157.8125</c:v>
                </c:pt>
                <c:pt idx="121">
                  <c:v>156.0625</c:v>
                </c:pt>
                <c:pt idx="122">
                  <c:v>156.75</c:v>
                </c:pt>
                <c:pt idx="123">
                  <c:v>154.6875</c:v>
                </c:pt>
                <c:pt idx="124">
                  <c:v>157</c:v>
                </c:pt>
                <c:pt idx="125">
                  <c:v>156.8125</c:v>
                </c:pt>
                <c:pt idx="126">
                  <c:v>157.0625</c:v>
                </c:pt>
                <c:pt idx="127">
                  <c:v>155.9375</c:v>
                </c:pt>
                <c:pt idx="128">
                  <c:v>156.5625</c:v>
                </c:pt>
                <c:pt idx="129">
                  <c:v>158.1875</c:v>
                </c:pt>
                <c:pt idx="130">
                  <c:v>159.125</c:v>
                </c:pt>
                <c:pt idx="131">
                  <c:v>159</c:v>
                </c:pt>
                <c:pt idx="132">
                  <c:v>158.625</c:v>
                </c:pt>
                <c:pt idx="133">
                  <c:v>157.75</c:v>
                </c:pt>
                <c:pt idx="134">
                  <c:v>156.875</c:v>
                </c:pt>
                <c:pt idx="135">
                  <c:v>159.5</c:v>
                </c:pt>
                <c:pt idx="136">
                  <c:v>161.125</c:v>
                </c:pt>
                <c:pt idx="137">
                  <c:v>159</c:v>
                </c:pt>
                <c:pt idx="138">
                  <c:v>156.5</c:v>
                </c:pt>
                <c:pt idx="139">
                  <c:v>156.75</c:v>
                </c:pt>
                <c:pt idx="140">
                  <c:v>155.875</c:v>
                </c:pt>
                <c:pt idx="141">
                  <c:v>157.9375</c:v>
                </c:pt>
                <c:pt idx="142">
                  <c:v>158.25</c:v>
                </c:pt>
                <c:pt idx="143">
                  <c:v>155.5</c:v>
                </c:pt>
                <c:pt idx="144">
                  <c:v>155.125</c:v>
                </c:pt>
                <c:pt idx="145">
                  <c:v>157</c:v>
                </c:pt>
                <c:pt idx="146">
                  <c:v>157.75</c:v>
                </c:pt>
                <c:pt idx="147">
                  <c:v>160.5</c:v>
                </c:pt>
                <c:pt idx="148">
                  <c:v>161.375</c:v>
                </c:pt>
                <c:pt idx="149">
                  <c:v>159.5625</c:v>
                </c:pt>
                <c:pt idx="150">
                  <c:v>158.875</c:v>
                </c:pt>
                <c:pt idx="151">
                  <c:v>162</c:v>
                </c:pt>
                <c:pt idx="152">
                  <c:v>161.75</c:v>
                </c:pt>
                <c:pt idx="153">
                  <c:v>161.875</c:v>
                </c:pt>
                <c:pt idx="154">
                  <c:v>162.75</c:v>
                </c:pt>
                <c:pt idx="155">
                  <c:v>159.75</c:v>
                </c:pt>
                <c:pt idx="156">
                  <c:v>159.625</c:v>
                </c:pt>
                <c:pt idx="157">
                  <c:v>159.625</c:v>
                </c:pt>
                <c:pt idx="158">
                  <c:v>162.75</c:v>
                </c:pt>
                <c:pt idx="159">
                  <c:v>159.5</c:v>
                </c:pt>
                <c:pt idx="160">
                  <c:v>158.875</c:v>
                </c:pt>
                <c:pt idx="161">
                  <c:v>156.125</c:v>
                </c:pt>
                <c:pt idx="162">
                  <c:v>157.25</c:v>
                </c:pt>
                <c:pt idx="163">
                  <c:v>160.875</c:v>
                </c:pt>
                <c:pt idx="164">
                  <c:v>160.875</c:v>
                </c:pt>
                <c:pt idx="165">
                  <c:v>163.25</c:v>
                </c:pt>
                <c:pt idx="166">
                  <c:v>160.875</c:v>
                </c:pt>
                <c:pt idx="167">
                  <c:v>163</c:v>
                </c:pt>
                <c:pt idx="168">
                  <c:v>163.375</c:v>
                </c:pt>
                <c:pt idx="169">
                  <c:v>163.25</c:v>
                </c:pt>
                <c:pt idx="170">
                  <c:v>161.625</c:v>
                </c:pt>
                <c:pt idx="171">
                  <c:v>160.375</c:v>
                </c:pt>
                <c:pt idx="172">
                  <c:v>158.375</c:v>
                </c:pt>
                <c:pt idx="173">
                  <c:v>156.125</c:v>
                </c:pt>
                <c:pt idx="174">
                  <c:v>155.5</c:v>
                </c:pt>
                <c:pt idx="175">
                  <c:v>153.875</c:v>
                </c:pt>
                <c:pt idx="176">
                  <c:v>154.25</c:v>
                </c:pt>
                <c:pt idx="177">
                  <c:v>156.125</c:v>
                </c:pt>
                <c:pt idx="178">
                  <c:v>157</c:v>
                </c:pt>
                <c:pt idx="179">
                  <c:v>155.875</c:v>
                </c:pt>
                <c:pt idx="180">
                  <c:v>157.625</c:v>
                </c:pt>
                <c:pt idx="181">
                  <c:v>167.625</c:v>
                </c:pt>
                <c:pt idx="182">
                  <c:v>171.5</c:v>
                </c:pt>
                <c:pt idx="183">
                  <c:v>173.875</c:v>
                </c:pt>
                <c:pt idx="184">
                  <c:v>172.5</c:v>
                </c:pt>
                <c:pt idx="185">
                  <c:v>173.75</c:v>
                </c:pt>
                <c:pt idx="186">
                  <c:v>174.875</c:v>
                </c:pt>
                <c:pt idx="187">
                  <c:v>174.875</c:v>
                </c:pt>
                <c:pt idx="188">
                  <c:v>172</c:v>
                </c:pt>
                <c:pt idx="189">
                  <c:v>161.75</c:v>
                </c:pt>
                <c:pt idx="190">
                  <c:v>157.75</c:v>
                </c:pt>
                <c:pt idx="191">
                  <c:v>155</c:v>
                </c:pt>
                <c:pt idx="192">
                  <c:v>156.375</c:v>
                </c:pt>
                <c:pt idx="193">
                  <c:v>153.625</c:v>
                </c:pt>
                <c:pt idx="194">
                  <c:v>152.5</c:v>
                </c:pt>
                <c:pt idx="195">
                  <c:v>153.25</c:v>
                </c:pt>
                <c:pt idx="196">
                  <c:v>154.375</c:v>
                </c:pt>
                <c:pt idx="197">
                  <c:v>156.125</c:v>
                </c:pt>
                <c:pt idx="198">
                  <c:v>156.57142857142858</c:v>
                </c:pt>
                <c:pt idx="199">
                  <c:v>157.83333333333334</c:v>
                </c:pt>
                <c:pt idx="200">
                  <c:v>157.4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2F77-4BF5-A0BF-755925754142}"/>
            </c:ext>
          </c:extLst>
        </c:ser>
        <c:ser>
          <c:idx val="12"/>
          <c:order val="12"/>
          <c:tx>
            <c:v>Bottom line</c:v>
          </c:tx>
          <c:spPr>
            <a:ln w="12700" cap="rnd">
              <a:solidFill>
                <a:schemeClr val="bg1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1"/>
            <c:plus>
              <c:numRef>
                <c:f>Matrix!$AC$11:$AC$211</c:f>
                <c:numCache>
                  <c:formatCode>General</c:formatCode>
                  <c:ptCount val="201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0.625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0</c:v>
                  </c:pt>
                  <c:pt idx="65">
                    <c:v>0</c:v>
                  </c:pt>
                  <c:pt idx="66">
                    <c:v>0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  <c:pt idx="76">
                    <c:v>0</c:v>
                  </c:pt>
                  <c:pt idx="77">
                    <c:v>0</c:v>
                  </c:pt>
                  <c:pt idx="78">
                    <c:v>0</c:v>
                  </c:pt>
                  <c:pt idx="79">
                    <c:v>0</c:v>
                  </c:pt>
                  <c:pt idx="80">
                    <c:v>0</c:v>
                  </c:pt>
                  <c:pt idx="81">
                    <c:v>0</c:v>
                  </c:pt>
                  <c:pt idx="82">
                    <c:v>0</c:v>
                  </c:pt>
                  <c:pt idx="83">
                    <c:v>0</c:v>
                  </c:pt>
                  <c:pt idx="84">
                    <c:v>0</c:v>
                  </c:pt>
                  <c:pt idx="85">
                    <c:v>10.375</c:v>
                  </c:pt>
                  <c:pt idx="86">
                    <c:v>0</c:v>
                  </c:pt>
                  <c:pt idx="87">
                    <c:v>0</c:v>
                  </c:pt>
                  <c:pt idx="88">
                    <c:v>0</c:v>
                  </c:pt>
                  <c:pt idx="89">
                    <c:v>0</c:v>
                  </c:pt>
                  <c:pt idx="90">
                    <c:v>0</c:v>
                  </c:pt>
                  <c:pt idx="91">
                    <c:v>0</c:v>
                  </c:pt>
                  <c:pt idx="92">
                    <c:v>0</c:v>
                  </c:pt>
                  <c:pt idx="93">
                    <c:v>0</c:v>
                  </c:pt>
                  <c:pt idx="94">
                    <c:v>0</c:v>
                  </c:pt>
                  <c:pt idx="95">
                    <c:v>0</c:v>
                  </c:pt>
                  <c:pt idx="96">
                    <c:v>0</c:v>
                  </c:pt>
                  <c:pt idx="97">
                    <c:v>0</c:v>
                  </c:pt>
                  <c:pt idx="98">
                    <c:v>0</c:v>
                  </c:pt>
                  <c:pt idx="99">
                    <c:v>0</c:v>
                  </c:pt>
                  <c:pt idx="100">
                    <c:v>0</c:v>
                  </c:pt>
                  <c:pt idx="101">
                    <c:v>0</c:v>
                  </c:pt>
                  <c:pt idx="102">
                    <c:v>0</c:v>
                  </c:pt>
                  <c:pt idx="103">
                    <c:v>0</c:v>
                  </c:pt>
                  <c:pt idx="104">
                    <c:v>0</c:v>
                  </c:pt>
                  <c:pt idx="105">
                    <c:v>0</c:v>
                  </c:pt>
                  <c:pt idx="106">
                    <c:v>0</c:v>
                  </c:pt>
                  <c:pt idx="107">
                    <c:v>0</c:v>
                  </c:pt>
                  <c:pt idx="108">
                    <c:v>0</c:v>
                  </c:pt>
                  <c:pt idx="109">
                    <c:v>0</c:v>
                  </c:pt>
                  <c:pt idx="110">
                    <c:v>7.125</c:v>
                  </c:pt>
                  <c:pt idx="111">
                    <c:v>0</c:v>
                  </c:pt>
                  <c:pt idx="112">
                    <c:v>0</c:v>
                  </c:pt>
                  <c:pt idx="113">
                    <c:v>0</c:v>
                  </c:pt>
                  <c:pt idx="114">
                    <c:v>0</c:v>
                  </c:pt>
                  <c:pt idx="115">
                    <c:v>0</c:v>
                  </c:pt>
                  <c:pt idx="116">
                    <c:v>0</c:v>
                  </c:pt>
                  <c:pt idx="117">
                    <c:v>0</c:v>
                  </c:pt>
                  <c:pt idx="118">
                    <c:v>0</c:v>
                  </c:pt>
                  <c:pt idx="119">
                    <c:v>0</c:v>
                  </c:pt>
                  <c:pt idx="120">
                    <c:v>0</c:v>
                  </c:pt>
                  <c:pt idx="121">
                    <c:v>0</c:v>
                  </c:pt>
                  <c:pt idx="122">
                    <c:v>0</c:v>
                  </c:pt>
                  <c:pt idx="123">
                    <c:v>0</c:v>
                  </c:pt>
                  <c:pt idx="124">
                    <c:v>0</c:v>
                  </c:pt>
                  <c:pt idx="125">
                    <c:v>0</c:v>
                  </c:pt>
                  <c:pt idx="126">
                    <c:v>0</c:v>
                  </c:pt>
                  <c:pt idx="127">
                    <c:v>0</c:v>
                  </c:pt>
                  <c:pt idx="128">
                    <c:v>0</c:v>
                  </c:pt>
                  <c:pt idx="129">
                    <c:v>0</c:v>
                  </c:pt>
                  <c:pt idx="130">
                    <c:v>0</c:v>
                  </c:pt>
                  <c:pt idx="131">
                    <c:v>0</c:v>
                  </c:pt>
                  <c:pt idx="132">
                    <c:v>0</c:v>
                  </c:pt>
                  <c:pt idx="133">
                    <c:v>0</c:v>
                  </c:pt>
                  <c:pt idx="134">
                    <c:v>0</c:v>
                  </c:pt>
                  <c:pt idx="135">
                    <c:v>0</c:v>
                  </c:pt>
                  <c:pt idx="136">
                    <c:v>0</c:v>
                  </c:pt>
                  <c:pt idx="137">
                    <c:v>0</c:v>
                  </c:pt>
                  <c:pt idx="138">
                    <c:v>0</c:v>
                  </c:pt>
                  <c:pt idx="139">
                    <c:v>0</c:v>
                  </c:pt>
                  <c:pt idx="140">
                    <c:v>0</c:v>
                  </c:pt>
                  <c:pt idx="141">
                    <c:v>0</c:v>
                  </c:pt>
                  <c:pt idx="142">
                    <c:v>0</c:v>
                  </c:pt>
                  <c:pt idx="143">
                    <c:v>0</c:v>
                  </c:pt>
                  <c:pt idx="144">
                    <c:v>0</c:v>
                  </c:pt>
                  <c:pt idx="145">
                    <c:v>0</c:v>
                  </c:pt>
                  <c:pt idx="146">
                    <c:v>0</c:v>
                  </c:pt>
                  <c:pt idx="147">
                    <c:v>0</c:v>
                  </c:pt>
                  <c:pt idx="148">
                    <c:v>0</c:v>
                  </c:pt>
                  <c:pt idx="149">
                    <c:v>0</c:v>
                  </c:pt>
                  <c:pt idx="150">
                    <c:v>0</c:v>
                  </c:pt>
                  <c:pt idx="151">
                    <c:v>0</c:v>
                  </c:pt>
                  <c:pt idx="152">
                    <c:v>0</c:v>
                  </c:pt>
                  <c:pt idx="153">
                    <c:v>0</c:v>
                  </c:pt>
                  <c:pt idx="154">
                    <c:v>0</c:v>
                  </c:pt>
                  <c:pt idx="155">
                    <c:v>0</c:v>
                  </c:pt>
                  <c:pt idx="156">
                    <c:v>0</c:v>
                  </c:pt>
                  <c:pt idx="157">
                    <c:v>0</c:v>
                  </c:pt>
                  <c:pt idx="158">
                    <c:v>0</c:v>
                  </c:pt>
                  <c:pt idx="159">
                    <c:v>0</c:v>
                  </c:pt>
                  <c:pt idx="160">
                    <c:v>6</c:v>
                  </c:pt>
                  <c:pt idx="161">
                    <c:v>0</c:v>
                  </c:pt>
                  <c:pt idx="162">
                    <c:v>0</c:v>
                  </c:pt>
                  <c:pt idx="163">
                    <c:v>0</c:v>
                  </c:pt>
                  <c:pt idx="164">
                    <c:v>0</c:v>
                  </c:pt>
                  <c:pt idx="165">
                    <c:v>0</c:v>
                  </c:pt>
                  <c:pt idx="166">
                    <c:v>0</c:v>
                  </c:pt>
                  <c:pt idx="167">
                    <c:v>0</c:v>
                  </c:pt>
                  <c:pt idx="168">
                    <c:v>0</c:v>
                  </c:pt>
                  <c:pt idx="169">
                    <c:v>0</c:v>
                  </c:pt>
                  <c:pt idx="170">
                    <c:v>0</c:v>
                  </c:pt>
                  <c:pt idx="171">
                    <c:v>0</c:v>
                  </c:pt>
                  <c:pt idx="172">
                    <c:v>0</c:v>
                  </c:pt>
                  <c:pt idx="173">
                    <c:v>0</c:v>
                  </c:pt>
                  <c:pt idx="174">
                    <c:v>0</c:v>
                  </c:pt>
                  <c:pt idx="175">
                    <c:v>0</c:v>
                  </c:pt>
                  <c:pt idx="176">
                    <c:v>0</c:v>
                  </c:pt>
                  <c:pt idx="177">
                    <c:v>0</c:v>
                  </c:pt>
                  <c:pt idx="178">
                    <c:v>0</c:v>
                  </c:pt>
                  <c:pt idx="179">
                    <c:v>0</c:v>
                  </c:pt>
                  <c:pt idx="180">
                    <c:v>0</c:v>
                  </c:pt>
                  <c:pt idx="181">
                    <c:v>0</c:v>
                  </c:pt>
                  <c:pt idx="182">
                    <c:v>0</c:v>
                  </c:pt>
                  <c:pt idx="183">
                    <c:v>0</c:v>
                  </c:pt>
                  <c:pt idx="184">
                    <c:v>0</c:v>
                  </c:pt>
                  <c:pt idx="185">
                    <c:v>0</c:v>
                  </c:pt>
                  <c:pt idx="186">
                    <c:v>0</c:v>
                  </c:pt>
                  <c:pt idx="187">
                    <c:v>0</c:v>
                  </c:pt>
                  <c:pt idx="188">
                    <c:v>0</c:v>
                  </c:pt>
                  <c:pt idx="189">
                    <c:v>0</c:v>
                  </c:pt>
                  <c:pt idx="190">
                    <c:v>0</c:v>
                  </c:pt>
                  <c:pt idx="191">
                    <c:v>0</c:v>
                  </c:pt>
                  <c:pt idx="192">
                    <c:v>0</c:v>
                  </c:pt>
                  <c:pt idx="193">
                    <c:v>0</c:v>
                  </c:pt>
                  <c:pt idx="194">
                    <c:v>0</c:v>
                  </c:pt>
                  <c:pt idx="195">
                    <c:v>0</c:v>
                  </c:pt>
                  <c:pt idx="196">
                    <c:v>0</c:v>
                  </c:pt>
                  <c:pt idx="197">
                    <c:v>0</c:v>
                  </c:pt>
                  <c:pt idx="198">
                    <c:v>0</c:v>
                  </c:pt>
                  <c:pt idx="199">
                    <c:v>0</c:v>
                  </c:pt>
                  <c:pt idx="200">
                    <c:v>0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2700" cap="flat" cmpd="sng" algn="ctr">
                <a:solidFill>
                  <a:schemeClr val="bg1">
                    <a:alpha val="70000"/>
                  </a:schemeClr>
                </a:solidFill>
                <a:prstDash val="sysDot"/>
                <a:round/>
              </a:ln>
              <a:effectLst/>
            </c:spPr>
          </c:errBars>
          <c:val>
            <c:numRef>
              <c:f>Matrix!$O$11:$O$211</c:f>
              <c:numCache>
                <c:formatCode>General</c:formatCode>
                <c:ptCount val="201"/>
                <c:pt idx="0">
                  <c:v>162</c:v>
                </c:pt>
                <c:pt idx="1">
                  <c:v>164</c:v>
                </c:pt>
                <c:pt idx="2">
                  <c:v>165.83333333333334</c:v>
                </c:pt>
                <c:pt idx="3">
                  <c:v>163.57142857142858</c:v>
                </c:pt>
                <c:pt idx="4">
                  <c:v>161.75</c:v>
                </c:pt>
                <c:pt idx="5">
                  <c:v>159.375</c:v>
                </c:pt>
                <c:pt idx="6">
                  <c:v>157.625</c:v>
                </c:pt>
                <c:pt idx="7">
                  <c:v>154.125</c:v>
                </c:pt>
                <c:pt idx="8">
                  <c:v>156.125</c:v>
                </c:pt>
                <c:pt idx="9">
                  <c:v>155</c:v>
                </c:pt>
                <c:pt idx="10">
                  <c:v>152.875</c:v>
                </c:pt>
                <c:pt idx="11">
                  <c:v>152.75</c:v>
                </c:pt>
                <c:pt idx="12">
                  <c:v>152.375</c:v>
                </c:pt>
                <c:pt idx="13">
                  <c:v>152.25</c:v>
                </c:pt>
                <c:pt idx="14">
                  <c:v>153.125</c:v>
                </c:pt>
                <c:pt idx="15">
                  <c:v>156.875</c:v>
                </c:pt>
                <c:pt idx="16">
                  <c:v>155.875</c:v>
                </c:pt>
                <c:pt idx="17">
                  <c:v>156</c:v>
                </c:pt>
                <c:pt idx="18">
                  <c:v>156.25</c:v>
                </c:pt>
                <c:pt idx="19">
                  <c:v>157.875</c:v>
                </c:pt>
                <c:pt idx="20">
                  <c:v>161.25</c:v>
                </c:pt>
                <c:pt idx="21">
                  <c:v>161.75</c:v>
                </c:pt>
                <c:pt idx="22">
                  <c:v>164</c:v>
                </c:pt>
                <c:pt idx="23">
                  <c:v>161.375</c:v>
                </c:pt>
                <c:pt idx="24">
                  <c:v>161</c:v>
                </c:pt>
                <c:pt idx="25">
                  <c:v>161.25</c:v>
                </c:pt>
                <c:pt idx="26">
                  <c:v>161.625</c:v>
                </c:pt>
                <c:pt idx="27">
                  <c:v>160.75</c:v>
                </c:pt>
                <c:pt idx="28">
                  <c:v>158.75</c:v>
                </c:pt>
                <c:pt idx="29">
                  <c:v>160</c:v>
                </c:pt>
                <c:pt idx="30">
                  <c:v>160.125</c:v>
                </c:pt>
                <c:pt idx="31">
                  <c:v>161.125</c:v>
                </c:pt>
                <c:pt idx="32">
                  <c:v>163.25</c:v>
                </c:pt>
                <c:pt idx="33">
                  <c:v>164</c:v>
                </c:pt>
                <c:pt idx="34">
                  <c:v>162.625</c:v>
                </c:pt>
                <c:pt idx="35">
                  <c:v>162.625</c:v>
                </c:pt>
                <c:pt idx="36">
                  <c:v>162.375</c:v>
                </c:pt>
                <c:pt idx="37">
                  <c:v>163</c:v>
                </c:pt>
                <c:pt idx="38">
                  <c:v>162.5</c:v>
                </c:pt>
                <c:pt idx="39">
                  <c:v>164</c:v>
                </c:pt>
                <c:pt idx="40">
                  <c:v>162</c:v>
                </c:pt>
                <c:pt idx="41">
                  <c:v>160.625</c:v>
                </c:pt>
                <c:pt idx="42">
                  <c:v>161.375</c:v>
                </c:pt>
                <c:pt idx="43">
                  <c:v>163</c:v>
                </c:pt>
                <c:pt idx="44">
                  <c:v>161.125</c:v>
                </c:pt>
                <c:pt idx="45">
                  <c:v>161.5</c:v>
                </c:pt>
                <c:pt idx="46">
                  <c:v>158.625</c:v>
                </c:pt>
                <c:pt idx="47">
                  <c:v>158.375</c:v>
                </c:pt>
                <c:pt idx="48">
                  <c:v>160.375</c:v>
                </c:pt>
                <c:pt idx="49">
                  <c:v>159.5</c:v>
                </c:pt>
                <c:pt idx="50">
                  <c:v>158.125</c:v>
                </c:pt>
                <c:pt idx="51">
                  <c:v>156.5</c:v>
                </c:pt>
                <c:pt idx="52">
                  <c:v>160.75</c:v>
                </c:pt>
                <c:pt idx="53">
                  <c:v>161.375</c:v>
                </c:pt>
                <c:pt idx="54">
                  <c:v>163.25</c:v>
                </c:pt>
                <c:pt idx="55">
                  <c:v>161.875</c:v>
                </c:pt>
                <c:pt idx="56">
                  <c:v>162.625</c:v>
                </c:pt>
                <c:pt idx="57">
                  <c:v>162.875</c:v>
                </c:pt>
                <c:pt idx="58">
                  <c:v>166.1875</c:v>
                </c:pt>
                <c:pt idx="59">
                  <c:v>165.5625</c:v>
                </c:pt>
                <c:pt idx="60">
                  <c:v>163.5625</c:v>
                </c:pt>
                <c:pt idx="61">
                  <c:v>162.6875</c:v>
                </c:pt>
                <c:pt idx="62">
                  <c:v>161</c:v>
                </c:pt>
                <c:pt idx="63">
                  <c:v>160.625</c:v>
                </c:pt>
                <c:pt idx="64">
                  <c:v>158.25</c:v>
                </c:pt>
                <c:pt idx="65">
                  <c:v>159.5</c:v>
                </c:pt>
                <c:pt idx="66">
                  <c:v>156.0625</c:v>
                </c:pt>
                <c:pt idx="67">
                  <c:v>156.4375</c:v>
                </c:pt>
                <c:pt idx="68">
                  <c:v>155.4375</c:v>
                </c:pt>
                <c:pt idx="69">
                  <c:v>143.625</c:v>
                </c:pt>
                <c:pt idx="70">
                  <c:v>143</c:v>
                </c:pt>
                <c:pt idx="71">
                  <c:v>143.375</c:v>
                </c:pt>
                <c:pt idx="72">
                  <c:v>145.125</c:v>
                </c:pt>
                <c:pt idx="73">
                  <c:v>142.3125</c:v>
                </c:pt>
                <c:pt idx="74">
                  <c:v>144.5625</c:v>
                </c:pt>
                <c:pt idx="75">
                  <c:v>146.4375</c:v>
                </c:pt>
                <c:pt idx="76">
                  <c:v>149.1875</c:v>
                </c:pt>
                <c:pt idx="77">
                  <c:v>161.625</c:v>
                </c:pt>
                <c:pt idx="78">
                  <c:v>163.5625</c:v>
                </c:pt>
                <c:pt idx="79">
                  <c:v>161.375</c:v>
                </c:pt>
                <c:pt idx="80">
                  <c:v>158.6875</c:v>
                </c:pt>
                <c:pt idx="81">
                  <c:v>161.6875</c:v>
                </c:pt>
                <c:pt idx="82">
                  <c:v>160.5625</c:v>
                </c:pt>
                <c:pt idx="83">
                  <c:v>160.5625</c:v>
                </c:pt>
                <c:pt idx="84">
                  <c:v>159.0625</c:v>
                </c:pt>
                <c:pt idx="85">
                  <c:v>159.1875</c:v>
                </c:pt>
                <c:pt idx="86">
                  <c:v>158.9375</c:v>
                </c:pt>
                <c:pt idx="87">
                  <c:v>160.9375</c:v>
                </c:pt>
                <c:pt idx="88">
                  <c:v>164.125</c:v>
                </c:pt>
                <c:pt idx="89">
                  <c:v>162.5625</c:v>
                </c:pt>
                <c:pt idx="90">
                  <c:v>163.4375</c:v>
                </c:pt>
                <c:pt idx="91">
                  <c:v>161.8125</c:v>
                </c:pt>
                <c:pt idx="92">
                  <c:v>160.125</c:v>
                </c:pt>
                <c:pt idx="93">
                  <c:v>159</c:v>
                </c:pt>
                <c:pt idx="94">
                  <c:v>159.125</c:v>
                </c:pt>
                <c:pt idx="95">
                  <c:v>159.8125</c:v>
                </c:pt>
                <c:pt idx="96">
                  <c:v>158.1875</c:v>
                </c:pt>
                <c:pt idx="97">
                  <c:v>157.1875</c:v>
                </c:pt>
                <c:pt idx="98">
                  <c:v>155.3125</c:v>
                </c:pt>
                <c:pt idx="99">
                  <c:v>154.375</c:v>
                </c:pt>
                <c:pt idx="100">
                  <c:v>156.75</c:v>
                </c:pt>
                <c:pt idx="101">
                  <c:v>155.375</c:v>
                </c:pt>
                <c:pt idx="102">
                  <c:v>155.5</c:v>
                </c:pt>
                <c:pt idx="103">
                  <c:v>154.5</c:v>
                </c:pt>
                <c:pt idx="104">
                  <c:v>153.5</c:v>
                </c:pt>
                <c:pt idx="105">
                  <c:v>153.625</c:v>
                </c:pt>
                <c:pt idx="106">
                  <c:v>154.375</c:v>
                </c:pt>
                <c:pt idx="107">
                  <c:v>157</c:v>
                </c:pt>
                <c:pt idx="108">
                  <c:v>157.4375</c:v>
                </c:pt>
                <c:pt idx="109">
                  <c:v>158.3125</c:v>
                </c:pt>
                <c:pt idx="110">
                  <c:v>158.0625</c:v>
                </c:pt>
                <c:pt idx="111">
                  <c:v>157.8125</c:v>
                </c:pt>
                <c:pt idx="112">
                  <c:v>157.5625</c:v>
                </c:pt>
                <c:pt idx="113">
                  <c:v>160.3125</c:v>
                </c:pt>
                <c:pt idx="114">
                  <c:v>160.4375</c:v>
                </c:pt>
                <c:pt idx="115">
                  <c:v>159.5625</c:v>
                </c:pt>
                <c:pt idx="116">
                  <c:v>157.75</c:v>
                </c:pt>
                <c:pt idx="117">
                  <c:v>156.8125</c:v>
                </c:pt>
                <c:pt idx="118">
                  <c:v>157.1875</c:v>
                </c:pt>
                <c:pt idx="119">
                  <c:v>157.6875</c:v>
                </c:pt>
                <c:pt idx="120">
                  <c:v>156.9375</c:v>
                </c:pt>
                <c:pt idx="121">
                  <c:v>155.1875</c:v>
                </c:pt>
                <c:pt idx="122">
                  <c:v>155.25</c:v>
                </c:pt>
                <c:pt idx="123">
                  <c:v>153.3125</c:v>
                </c:pt>
                <c:pt idx="124">
                  <c:v>155.75</c:v>
                </c:pt>
                <c:pt idx="125">
                  <c:v>155.6875</c:v>
                </c:pt>
                <c:pt idx="126">
                  <c:v>156.1875</c:v>
                </c:pt>
                <c:pt idx="127">
                  <c:v>155.0625</c:v>
                </c:pt>
                <c:pt idx="128">
                  <c:v>155.9375</c:v>
                </c:pt>
                <c:pt idx="129">
                  <c:v>157.5625</c:v>
                </c:pt>
                <c:pt idx="130">
                  <c:v>159.125</c:v>
                </c:pt>
                <c:pt idx="131">
                  <c:v>159</c:v>
                </c:pt>
                <c:pt idx="132">
                  <c:v>158.625</c:v>
                </c:pt>
                <c:pt idx="133">
                  <c:v>157.75</c:v>
                </c:pt>
                <c:pt idx="134">
                  <c:v>156.875</c:v>
                </c:pt>
                <c:pt idx="135">
                  <c:v>159.5</c:v>
                </c:pt>
                <c:pt idx="136">
                  <c:v>161.125</c:v>
                </c:pt>
                <c:pt idx="137">
                  <c:v>158.75</c:v>
                </c:pt>
                <c:pt idx="138">
                  <c:v>156.25</c:v>
                </c:pt>
                <c:pt idx="139">
                  <c:v>156.5</c:v>
                </c:pt>
                <c:pt idx="140">
                  <c:v>155.625</c:v>
                </c:pt>
                <c:pt idx="141">
                  <c:v>157.5625</c:v>
                </c:pt>
                <c:pt idx="142">
                  <c:v>157.75</c:v>
                </c:pt>
                <c:pt idx="143">
                  <c:v>155</c:v>
                </c:pt>
                <c:pt idx="144">
                  <c:v>154.625</c:v>
                </c:pt>
                <c:pt idx="145">
                  <c:v>156.5</c:v>
                </c:pt>
                <c:pt idx="146">
                  <c:v>157.25</c:v>
                </c:pt>
                <c:pt idx="147">
                  <c:v>160</c:v>
                </c:pt>
                <c:pt idx="148">
                  <c:v>160.875</c:v>
                </c:pt>
                <c:pt idx="149">
                  <c:v>159.1875</c:v>
                </c:pt>
                <c:pt idx="150">
                  <c:v>158.625</c:v>
                </c:pt>
                <c:pt idx="151">
                  <c:v>161.75</c:v>
                </c:pt>
                <c:pt idx="152">
                  <c:v>161.25</c:v>
                </c:pt>
                <c:pt idx="153">
                  <c:v>161.625</c:v>
                </c:pt>
                <c:pt idx="154">
                  <c:v>162.5</c:v>
                </c:pt>
                <c:pt idx="155">
                  <c:v>159.5</c:v>
                </c:pt>
                <c:pt idx="156">
                  <c:v>159.375</c:v>
                </c:pt>
                <c:pt idx="157">
                  <c:v>159.375</c:v>
                </c:pt>
                <c:pt idx="158">
                  <c:v>156.5</c:v>
                </c:pt>
                <c:pt idx="159">
                  <c:v>153.25</c:v>
                </c:pt>
                <c:pt idx="160">
                  <c:v>152.875</c:v>
                </c:pt>
                <c:pt idx="161">
                  <c:v>150.125</c:v>
                </c:pt>
                <c:pt idx="162">
                  <c:v>151.25</c:v>
                </c:pt>
                <c:pt idx="163">
                  <c:v>154.875</c:v>
                </c:pt>
                <c:pt idx="164">
                  <c:v>154.875</c:v>
                </c:pt>
                <c:pt idx="165">
                  <c:v>156.25</c:v>
                </c:pt>
                <c:pt idx="166">
                  <c:v>159.875</c:v>
                </c:pt>
                <c:pt idx="167">
                  <c:v>162</c:v>
                </c:pt>
                <c:pt idx="168">
                  <c:v>162.375</c:v>
                </c:pt>
                <c:pt idx="169">
                  <c:v>162.25</c:v>
                </c:pt>
                <c:pt idx="170">
                  <c:v>160.625</c:v>
                </c:pt>
                <c:pt idx="171">
                  <c:v>159.375</c:v>
                </c:pt>
                <c:pt idx="172">
                  <c:v>157.375</c:v>
                </c:pt>
                <c:pt idx="173">
                  <c:v>156.125</c:v>
                </c:pt>
                <c:pt idx="174">
                  <c:v>155.5</c:v>
                </c:pt>
                <c:pt idx="175">
                  <c:v>153.875</c:v>
                </c:pt>
                <c:pt idx="176">
                  <c:v>154.25</c:v>
                </c:pt>
                <c:pt idx="177">
                  <c:v>156.125</c:v>
                </c:pt>
                <c:pt idx="178">
                  <c:v>157</c:v>
                </c:pt>
                <c:pt idx="179">
                  <c:v>155.875</c:v>
                </c:pt>
                <c:pt idx="180">
                  <c:v>157.625</c:v>
                </c:pt>
                <c:pt idx="181">
                  <c:v>153.625</c:v>
                </c:pt>
                <c:pt idx="182">
                  <c:v>150</c:v>
                </c:pt>
                <c:pt idx="183">
                  <c:v>152.375</c:v>
                </c:pt>
                <c:pt idx="184">
                  <c:v>151</c:v>
                </c:pt>
                <c:pt idx="185">
                  <c:v>152.25</c:v>
                </c:pt>
                <c:pt idx="186">
                  <c:v>153.375</c:v>
                </c:pt>
                <c:pt idx="187">
                  <c:v>153.375</c:v>
                </c:pt>
                <c:pt idx="188">
                  <c:v>150.5</c:v>
                </c:pt>
                <c:pt idx="189">
                  <c:v>154.25</c:v>
                </c:pt>
                <c:pt idx="190">
                  <c:v>157.75</c:v>
                </c:pt>
                <c:pt idx="191">
                  <c:v>155</c:v>
                </c:pt>
                <c:pt idx="192">
                  <c:v>156.375</c:v>
                </c:pt>
                <c:pt idx="193">
                  <c:v>153.625</c:v>
                </c:pt>
                <c:pt idx="194">
                  <c:v>152.5</c:v>
                </c:pt>
                <c:pt idx="195">
                  <c:v>153.25</c:v>
                </c:pt>
                <c:pt idx="196">
                  <c:v>154.375</c:v>
                </c:pt>
                <c:pt idx="197">
                  <c:v>156.125</c:v>
                </c:pt>
                <c:pt idx="198">
                  <c:v>156.57142857142858</c:v>
                </c:pt>
                <c:pt idx="199">
                  <c:v>157.83333333333334</c:v>
                </c:pt>
                <c:pt idx="200">
                  <c:v>157.4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2F77-4BF5-A0BF-755925754142}"/>
            </c:ext>
          </c:extLst>
        </c:ser>
        <c:ser>
          <c:idx val="13"/>
          <c:order val="13"/>
          <c:tx>
            <c:strRef>
              <c:f>Matrix!$AA$10</c:f>
              <c:strCache>
                <c:ptCount val="1"/>
                <c:pt idx="0">
                  <c:v>Label Line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1451DF39-8B7C-4854-996A-8C31ECB2D805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2F77-4BF5-A0BF-75592575414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D45C560-CB53-4841-BDA9-D03AD1648E3F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2F77-4BF5-A0BF-75592575414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4341986-DF88-4AC2-97F7-733FAD001ADF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2F77-4BF5-A0BF-75592575414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AF757132-5048-42A0-82CC-3D64249874FE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2F77-4BF5-A0BF-755925754142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7A4D8605-18C1-4667-8D87-06C31BD144B5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2F77-4BF5-A0BF-755925754142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479766E4-066B-42AE-A8A7-BBC52AF24DB4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2F77-4BF5-A0BF-755925754142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D2A558F3-D43E-4F19-8F74-E21E4004A27E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2F77-4BF5-A0BF-755925754142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D1FB9502-9D14-4AAF-96A5-61E3E6B86233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2F77-4BF5-A0BF-755925754142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9F6648ED-1695-45D0-AF7A-50AD7D0E4F90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2F77-4BF5-A0BF-755925754142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4860060B-5144-437F-A872-167AD22E0D65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2F77-4BF5-A0BF-755925754142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A81008BF-E978-4BA6-8D24-C7509F538C04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2F77-4BF5-A0BF-755925754142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309241E6-9BD5-4D94-9A01-27B47DA3373B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2F77-4BF5-A0BF-755925754142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D05200A0-1B59-48A4-BDBE-9D084484E6B5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2F77-4BF5-A0BF-755925754142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8D501F06-063A-4AC5-9EE5-08334618D568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2F77-4BF5-A0BF-755925754142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9B62C848-5F82-4D1E-BCD8-286A98C95DCF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2F77-4BF5-A0BF-755925754142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67593362-EBB6-4BAD-892B-FB583A6CF8D8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2F77-4BF5-A0BF-755925754142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40597484-ADC2-4E75-8CEF-EF37985B8D8B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2F77-4BF5-A0BF-755925754142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4BF53551-E772-4287-A0B8-E27B57B3DB8C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2F77-4BF5-A0BF-755925754142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788CE18F-8599-4A73-ABE1-71019FF05250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2F77-4BF5-A0BF-755925754142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F3C475EC-DC77-46B8-822A-43F46C74ACDE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2F77-4BF5-A0BF-755925754142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373F3103-2563-4659-B682-B23950A6A0F9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2F77-4BF5-A0BF-755925754142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141D578A-45F3-404A-BE20-BB6AB3A1A811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2F77-4BF5-A0BF-755925754142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5B77A4BE-1E49-4CD4-8254-122924A106DD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2F77-4BF5-A0BF-755925754142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654D962B-2D6A-466F-8D97-CD54CE8DFD7D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2F77-4BF5-A0BF-755925754142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79ED0B58-74C9-412A-9317-135D9B89DE29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2F77-4BF5-A0BF-755925754142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048A04F9-6B1E-4C4B-884F-4C6BF2066A12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2F77-4BF5-A0BF-755925754142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89198387-2C2B-4893-86D8-F589DE77E4E6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2F77-4BF5-A0BF-755925754142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56705BFA-C62B-4447-9A75-A2292EC0FE4A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2F77-4BF5-A0BF-755925754142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79CBBFE2-634F-4DF4-AEB3-2B98DDC7A9B4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2F77-4BF5-A0BF-755925754142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C157E461-2CD8-49EE-A337-BF2DA32B8928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2F77-4BF5-A0BF-755925754142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184720C0-AB71-4954-96AD-156F3D0491C8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2F77-4BF5-A0BF-755925754142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82D5F31A-CC71-4BD8-A8FE-0AFAB2A14957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2F77-4BF5-A0BF-755925754142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EBFD3A1D-0CCA-455F-96EF-E114DEDA67EA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2F77-4BF5-A0BF-755925754142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7D6337E3-47F7-47E4-AE1D-F6D094E71E22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2F77-4BF5-A0BF-755925754142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54663528-2CF8-41D1-8767-2E82A0FF8D83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2F77-4BF5-A0BF-755925754142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5C6F33BE-C9E2-40AD-9713-CC653A2BD1D9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2F77-4BF5-A0BF-755925754142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fld id="{CA1B715F-5F07-4FEE-A545-A27CFB951A25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2F77-4BF5-A0BF-755925754142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fld id="{AF61E28F-EE57-481D-B7D9-87CB74A4F17E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2F77-4BF5-A0BF-755925754142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fld id="{651640F6-CBDA-40E0-98FB-67219621482B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2F77-4BF5-A0BF-755925754142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fld id="{0E77689F-253D-4637-A6A4-5B99E765702B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2F77-4BF5-A0BF-755925754142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fld id="{49038F8B-3FF4-4015-B710-4A360B753F71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2F77-4BF5-A0BF-755925754142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fld id="{7E824657-68FE-4894-9568-3207C120FC1B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2F77-4BF5-A0BF-755925754142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fld id="{81260D7D-99EE-4CD2-A840-7B2770D39BF8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2F77-4BF5-A0BF-755925754142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fld id="{8B50506C-0A6B-4FAB-9CB3-6449FAEC044C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2F77-4BF5-A0BF-755925754142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fld id="{9A0E6AF4-6417-4A78-A164-C8005815383E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2F77-4BF5-A0BF-755925754142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fld id="{BEDD4A72-AA0C-4B54-87DC-1B73716DAC2A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2F77-4BF5-A0BF-755925754142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fld id="{850BD95C-9985-4699-8C63-5FE7BB29AACF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2F77-4BF5-A0BF-755925754142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fld id="{F6ECE865-D780-40A3-BB74-9EC04C4E1245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2F77-4BF5-A0BF-755925754142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fld id="{B32CED28-E4FA-4A5B-AAFE-EF5ADC490F08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2F77-4BF5-A0BF-755925754142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fld id="{ADA52F2D-0BB2-4CA3-8FC2-1C0A457735D0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2F77-4BF5-A0BF-755925754142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fld id="{49552BB5-5C17-4148-9E44-9D8CB768C051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2F77-4BF5-A0BF-755925754142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fld id="{F0395200-8C64-4E51-ABFC-0C5D8D6D2923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2F77-4BF5-A0BF-755925754142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fld id="{7D268637-E34A-49E9-9F82-D24C48DF929D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2F77-4BF5-A0BF-755925754142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fld id="{73AD7AD2-4B74-4FF8-866D-DB87785710A8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2F77-4BF5-A0BF-755925754142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fld id="{D7032C37-179F-470E-A874-2429AADF2BFF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2F77-4BF5-A0BF-755925754142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fld id="{749BCA91-0143-413A-BBA3-5F197A2A8FCB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2F77-4BF5-A0BF-755925754142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fld id="{DF0E90AF-0DFD-4052-9354-55609F3472C4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2F77-4BF5-A0BF-755925754142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fld id="{4EE5D2AF-E933-4055-8390-FE8D7E8AC395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2F77-4BF5-A0BF-755925754142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fld id="{0BE92241-A22D-47B1-97CA-C5A3D2346A34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2F77-4BF5-A0BF-755925754142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fld id="{7EE6F795-8471-4570-B579-E913BD971F75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2F77-4BF5-A0BF-755925754142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fld id="{B1ACA6E9-58BA-4CDE-A69A-21267F00F9CE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2F77-4BF5-A0BF-755925754142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fld id="{946649FC-EAC4-43E9-917A-2DCD95610BE6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2F77-4BF5-A0BF-755925754142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fld id="{9E3ABA16-55B1-48A2-A1A7-C5FBCFFC2D00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2F77-4BF5-A0BF-755925754142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fld id="{E132BC53-C3B6-4EC1-AA2E-F556803A44A9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2F77-4BF5-A0BF-755925754142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fld id="{2F3CC10A-F890-4DC1-A7C4-B406BDB1C0EB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2F77-4BF5-A0BF-755925754142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fld id="{26727AC6-135B-41E9-93F9-F96B7342BFC3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2F77-4BF5-A0BF-755925754142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fld id="{25F30875-B0B1-4948-BEE0-83101AAD18DC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2F77-4BF5-A0BF-755925754142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fld id="{3D5B76CB-0BC7-4027-A51E-8247D057B165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2F77-4BF5-A0BF-755925754142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fld id="{0BEF707A-38F2-4FEF-B154-FAADD7517F43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2F77-4BF5-A0BF-755925754142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fld id="{FBD2D5F5-D00D-43AA-99D5-545036699270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2F77-4BF5-A0BF-755925754142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fld id="{094A2B6C-8BD0-4815-AA4C-A5F311C7080D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2F77-4BF5-A0BF-755925754142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fld id="{20A6E5C9-793F-40AD-A1F8-D37D8B8E4005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2F77-4BF5-A0BF-755925754142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fld id="{11645E4F-4425-4E4F-8055-7138369BDE41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2F77-4BF5-A0BF-755925754142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fld id="{5B62E5CA-A4C4-4FB7-9D89-CE2D13E7CAE4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2F77-4BF5-A0BF-755925754142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fld id="{DF68ABEF-7C37-49CD-B09A-DD6927437D9F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2F77-4BF5-A0BF-755925754142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fld id="{B88605D0-4010-43B6-ACD1-F0BCDC3D5EB9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2F77-4BF5-A0BF-755925754142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fld id="{30E74F9F-67DC-48B2-AC3A-A8157B998F83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2F77-4BF5-A0BF-755925754142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fld id="{E82F13A5-AFDD-4F71-8090-98FCD4A79BFF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2F77-4BF5-A0BF-755925754142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fld id="{F77E1C89-0A0B-4088-8B37-DA1D047BA765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2F77-4BF5-A0BF-755925754142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fld id="{B1BAAF41-839E-4655-A9C7-781944FA76E8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2F77-4BF5-A0BF-755925754142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fld id="{FC380CFF-C53B-4093-A739-3667B3A0D55E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D-2F77-4BF5-A0BF-755925754142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fld id="{6D2F990B-0D4C-42AE-8196-DC2861CC3090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2F77-4BF5-A0BF-755925754142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fld id="{B352C0EB-2DFA-402B-B601-A033FBEE871F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F-2F77-4BF5-A0BF-755925754142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fld id="{374FAEA2-523D-4CFD-89F3-3FA5E036CE4E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2F77-4BF5-A0BF-755925754142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fld id="{662BE3BE-5BB4-4D59-9F54-C1517ABE7AA4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1-2F77-4BF5-A0BF-755925754142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fld id="{2E9D5381-67DE-47B5-BB7B-815F10F8CBB7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2F77-4BF5-A0BF-755925754142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fld id="{083EC236-6FD3-4497-9231-585A26496F41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3-2F77-4BF5-A0BF-755925754142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fld id="{85A90338-54AF-4A86-ABB6-19521EC21805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2F77-4BF5-A0BF-755925754142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fld id="{A9A40706-39EE-4F55-ADBA-718670DDF56B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5-2F77-4BF5-A0BF-755925754142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fld id="{08796B9F-26C2-4E15-839E-0E010684FC6A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2F77-4BF5-A0BF-755925754142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fld id="{F01B87A6-B9D4-4AB8-A7D2-AEEF15638415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7-2F77-4BF5-A0BF-755925754142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fld id="{DF940AE0-28AD-465C-8224-E7878B168A37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2F77-4BF5-A0BF-755925754142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fld id="{94262192-7ABF-486E-A1C5-D554C2FF4375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9-2F77-4BF5-A0BF-755925754142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fld id="{7DA10FDD-9029-45FB-A6CA-34B4165E3CC7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A-2F77-4BF5-A0BF-755925754142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fld id="{6D5EF82C-4260-4B5B-AF6F-449D9E5BCE56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B-2F77-4BF5-A0BF-755925754142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fld id="{FE58FCB3-332C-48FB-B364-E202ECA71C08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C-2F77-4BF5-A0BF-755925754142}"/>
                </c:ext>
              </c:extLst>
            </c:dLbl>
            <c:dLbl>
              <c:idx val="96"/>
              <c:tx>
                <c:rich>
                  <a:bodyPr/>
                  <a:lstStyle/>
                  <a:p>
                    <a:fld id="{D4D67ACC-A1E8-498E-8CBE-164D2B52A0BB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D-2F77-4BF5-A0BF-755925754142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fld id="{1307B3C4-7E28-4E20-925E-B8541A376EA1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E-2F77-4BF5-A0BF-755925754142}"/>
                </c:ext>
              </c:extLst>
            </c:dLbl>
            <c:dLbl>
              <c:idx val="98"/>
              <c:tx>
                <c:rich>
                  <a:bodyPr/>
                  <a:lstStyle/>
                  <a:p>
                    <a:fld id="{1B5C9B6F-5660-4C88-B802-99BE0EBAE879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F-2F77-4BF5-A0BF-755925754142}"/>
                </c:ext>
              </c:extLst>
            </c:dLbl>
            <c:dLbl>
              <c:idx val="99"/>
              <c:tx>
                <c:rich>
                  <a:bodyPr/>
                  <a:lstStyle/>
                  <a:p>
                    <a:fld id="{707F0FA9-8661-4934-AFE3-88A6FA296050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0-2F77-4BF5-A0BF-755925754142}"/>
                </c:ext>
              </c:extLst>
            </c:dLbl>
            <c:dLbl>
              <c:idx val="100"/>
              <c:tx>
                <c:rich>
                  <a:bodyPr/>
                  <a:lstStyle/>
                  <a:p>
                    <a:fld id="{828F7698-2BA7-447C-BBD9-06BF3B436D5A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1-2F77-4BF5-A0BF-755925754142}"/>
                </c:ext>
              </c:extLst>
            </c:dLbl>
            <c:dLbl>
              <c:idx val="101"/>
              <c:tx>
                <c:rich>
                  <a:bodyPr/>
                  <a:lstStyle/>
                  <a:p>
                    <a:fld id="{2E9FA3EB-0E16-4E6D-87C3-2B805AC14A7E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2-2F77-4BF5-A0BF-755925754142}"/>
                </c:ext>
              </c:extLst>
            </c:dLbl>
            <c:dLbl>
              <c:idx val="102"/>
              <c:tx>
                <c:rich>
                  <a:bodyPr/>
                  <a:lstStyle/>
                  <a:p>
                    <a:fld id="{40ABB8C8-5DB6-4404-8E02-299ED587955A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3-2F77-4BF5-A0BF-755925754142}"/>
                </c:ext>
              </c:extLst>
            </c:dLbl>
            <c:dLbl>
              <c:idx val="103"/>
              <c:tx>
                <c:rich>
                  <a:bodyPr/>
                  <a:lstStyle/>
                  <a:p>
                    <a:fld id="{50796BB9-B30D-4A1C-97E3-7B61DDDE5499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4-2F77-4BF5-A0BF-755925754142}"/>
                </c:ext>
              </c:extLst>
            </c:dLbl>
            <c:dLbl>
              <c:idx val="104"/>
              <c:tx>
                <c:rich>
                  <a:bodyPr/>
                  <a:lstStyle/>
                  <a:p>
                    <a:fld id="{B23A745F-C161-4F74-A581-6607A5F666C7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5-2F77-4BF5-A0BF-755925754142}"/>
                </c:ext>
              </c:extLst>
            </c:dLbl>
            <c:dLbl>
              <c:idx val="105"/>
              <c:tx>
                <c:rich>
                  <a:bodyPr/>
                  <a:lstStyle/>
                  <a:p>
                    <a:fld id="{D5214954-7B9C-45C3-81F4-B9A766116067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6-2F77-4BF5-A0BF-755925754142}"/>
                </c:ext>
              </c:extLst>
            </c:dLbl>
            <c:dLbl>
              <c:idx val="106"/>
              <c:tx>
                <c:rich>
                  <a:bodyPr/>
                  <a:lstStyle/>
                  <a:p>
                    <a:fld id="{A77917CD-1164-4E15-A356-5497A4B276ED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7-2F77-4BF5-A0BF-755925754142}"/>
                </c:ext>
              </c:extLst>
            </c:dLbl>
            <c:dLbl>
              <c:idx val="107"/>
              <c:tx>
                <c:rich>
                  <a:bodyPr/>
                  <a:lstStyle/>
                  <a:p>
                    <a:fld id="{0E590BBC-1D85-40C1-94F1-D6E1E9FB90BB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8-2F77-4BF5-A0BF-755925754142}"/>
                </c:ext>
              </c:extLst>
            </c:dLbl>
            <c:dLbl>
              <c:idx val="108"/>
              <c:tx>
                <c:rich>
                  <a:bodyPr/>
                  <a:lstStyle/>
                  <a:p>
                    <a:fld id="{531DF8FC-7163-4A0A-BDF9-82B710A74BF0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9-2F77-4BF5-A0BF-755925754142}"/>
                </c:ext>
              </c:extLst>
            </c:dLbl>
            <c:dLbl>
              <c:idx val="109"/>
              <c:tx>
                <c:rich>
                  <a:bodyPr/>
                  <a:lstStyle/>
                  <a:p>
                    <a:fld id="{FFF150FF-FEC9-4D32-BA38-4A8B3042D2C5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A-2F77-4BF5-A0BF-755925754142}"/>
                </c:ext>
              </c:extLst>
            </c:dLbl>
            <c:dLbl>
              <c:idx val="110"/>
              <c:tx>
                <c:rich>
                  <a:bodyPr/>
                  <a:lstStyle/>
                  <a:p>
                    <a:fld id="{75CBA540-7276-4124-8C72-67828DDB9223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B-2F77-4BF5-A0BF-755925754142}"/>
                </c:ext>
              </c:extLst>
            </c:dLbl>
            <c:dLbl>
              <c:idx val="111"/>
              <c:tx>
                <c:rich>
                  <a:bodyPr/>
                  <a:lstStyle/>
                  <a:p>
                    <a:fld id="{384C5FEB-8A00-47D0-959A-17FC2DC63D4F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C-2F77-4BF5-A0BF-755925754142}"/>
                </c:ext>
              </c:extLst>
            </c:dLbl>
            <c:dLbl>
              <c:idx val="112"/>
              <c:tx>
                <c:rich>
                  <a:bodyPr/>
                  <a:lstStyle/>
                  <a:p>
                    <a:fld id="{DFE3BC34-538D-4F72-A091-604486D660E3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D-2F77-4BF5-A0BF-755925754142}"/>
                </c:ext>
              </c:extLst>
            </c:dLbl>
            <c:dLbl>
              <c:idx val="113"/>
              <c:tx>
                <c:rich>
                  <a:bodyPr/>
                  <a:lstStyle/>
                  <a:p>
                    <a:fld id="{70C0B772-F432-4455-A1D5-9F88EFEA5B54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E-2F77-4BF5-A0BF-755925754142}"/>
                </c:ext>
              </c:extLst>
            </c:dLbl>
            <c:dLbl>
              <c:idx val="114"/>
              <c:tx>
                <c:rich>
                  <a:bodyPr/>
                  <a:lstStyle/>
                  <a:p>
                    <a:fld id="{2FCE1828-34D2-4FA4-8FF3-7E306BFD0098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F-2F77-4BF5-A0BF-755925754142}"/>
                </c:ext>
              </c:extLst>
            </c:dLbl>
            <c:dLbl>
              <c:idx val="115"/>
              <c:tx>
                <c:rich>
                  <a:bodyPr/>
                  <a:lstStyle/>
                  <a:p>
                    <a:fld id="{38797260-63C8-4743-BEF2-F61D378789B4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0-2F77-4BF5-A0BF-755925754142}"/>
                </c:ext>
              </c:extLst>
            </c:dLbl>
            <c:dLbl>
              <c:idx val="116"/>
              <c:tx>
                <c:rich>
                  <a:bodyPr/>
                  <a:lstStyle/>
                  <a:p>
                    <a:fld id="{F04F74D2-BBE6-4177-91F6-92759D8213EC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1-2F77-4BF5-A0BF-755925754142}"/>
                </c:ext>
              </c:extLst>
            </c:dLbl>
            <c:dLbl>
              <c:idx val="117"/>
              <c:tx>
                <c:rich>
                  <a:bodyPr/>
                  <a:lstStyle/>
                  <a:p>
                    <a:fld id="{585795B9-6C73-4BDA-AD2E-361BD11EECFE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2-2F77-4BF5-A0BF-755925754142}"/>
                </c:ext>
              </c:extLst>
            </c:dLbl>
            <c:dLbl>
              <c:idx val="118"/>
              <c:tx>
                <c:rich>
                  <a:bodyPr/>
                  <a:lstStyle/>
                  <a:p>
                    <a:fld id="{A3AD9E6C-90AB-4A0B-BBA4-D1F7F6464500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3-2F77-4BF5-A0BF-755925754142}"/>
                </c:ext>
              </c:extLst>
            </c:dLbl>
            <c:dLbl>
              <c:idx val="119"/>
              <c:tx>
                <c:rich>
                  <a:bodyPr/>
                  <a:lstStyle/>
                  <a:p>
                    <a:fld id="{6D88CA82-2C9A-4E8D-B416-1E13CCEECABA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4-2F77-4BF5-A0BF-755925754142}"/>
                </c:ext>
              </c:extLst>
            </c:dLbl>
            <c:dLbl>
              <c:idx val="120"/>
              <c:tx>
                <c:rich>
                  <a:bodyPr/>
                  <a:lstStyle/>
                  <a:p>
                    <a:fld id="{A3F0B7AB-ECD1-49E3-A8D0-510ED8E70E75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5-2F77-4BF5-A0BF-755925754142}"/>
                </c:ext>
              </c:extLst>
            </c:dLbl>
            <c:dLbl>
              <c:idx val="121"/>
              <c:tx>
                <c:rich>
                  <a:bodyPr/>
                  <a:lstStyle/>
                  <a:p>
                    <a:fld id="{91160D48-C616-4B04-8C03-169EE2A87A2C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6-2F77-4BF5-A0BF-755925754142}"/>
                </c:ext>
              </c:extLst>
            </c:dLbl>
            <c:dLbl>
              <c:idx val="122"/>
              <c:tx>
                <c:rich>
                  <a:bodyPr/>
                  <a:lstStyle/>
                  <a:p>
                    <a:fld id="{EDA3C4D7-86C5-4027-9C92-4526B8823458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7-2F77-4BF5-A0BF-755925754142}"/>
                </c:ext>
              </c:extLst>
            </c:dLbl>
            <c:dLbl>
              <c:idx val="123"/>
              <c:tx>
                <c:rich>
                  <a:bodyPr/>
                  <a:lstStyle/>
                  <a:p>
                    <a:fld id="{8F0E41D2-0F9A-463D-97FA-03C0BB550971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8-2F77-4BF5-A0BF-755925754142}"/>
                </c:ext>
              </c:extLst>
            </c:dLbl>
            <c:dLbl>
              <c:idx val="124"/>
              <c:tx>
                <c:rich>
                  <a:bodyPr/>
                  <a:lstStyle/>
                  <a:p>
                    <a:fld id="{B31CC7A9-CF9F-49CA-BBC6-81F40A1F02BE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9-2F77-4BF5-A0BF-755925754142}"/>
                </c:ext>
              </c:extLst>
            </c:dLbl>
            <c:dLbl>
              <c:idx val="125"/>
              <c:tx>
                <c:rich>
                  <a:bodyPr/>
                  <a:lstStyle/>
                  <a:p>
                    <a:fld id="{EFB6B141-CCA8-4E3B-8C32-5859A892CA0F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A-2F77-4BF5-A0BF-755925754142}"/>
                </c:ext>
              </c:extLst>
            </c:dLbl>
            <c:dLbl>
              <c:idx val="126"/>
              <c:tx>
                <c:rich>
                  <a:bodyPr/>
                  <a:lstStyle/>
                  <a:p>
                    <a:fld id="{47CD92F6-CDDC-4E6B-88C1-4BA14C13FA26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B-2F77-4BF5-A0BF-755925754142}"/>
                </c:ext>
              </c:extLst>
            </c:dLbl>
            <c:dLbl>
              <c:idx val="127"/>
              <c:tx>
                <c:rich>
                  <a:bodyPr/>
                  <a:lstStyle/>
                  <a:p>
                    <a:fld id="{4AA278C0-354D-42ED-8470-906DF7DD9C26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C-2F77-4BF5-A0BF-755925754142}"/>
                </c:ext>
              </c:extLst>
            </c:dLbl>
            <c:dLbl>
              <c:idx val="128"/>
              <c:tx>
                <c:rich>
                  <a:bodyPr/>
                  <a:lstStyle/>
                  <a:p>
                    <a:fld id="{0590B8FE-C63E-4415-980D-C41C9875DC7F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D-2F77-4BF5-A0BF-755925754142}"/>
                </c:ext>
              </c:extLst>
            </c:dLbl>
            <c:dLbl>
              <c:idx val="129"/>
              <c:tx>
                <c:rich>
                  <a:bodyPr/>
                  <a:lstStyle/>
                  <a:p>
                    <a:fld id="{DB8A8F2E-5214-4637-BA72-362C9F89378D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E-2F77-4BF5-A0BF-755925754142}"/>
                </c:ext>
              </c:extLst>
            </c:dLbl>
            <c:dLbl>
              <c:idx val="130"/>
              <c:tx>
                <c:rich>
                  <a:bodyPr/>
                  <a:lstStyle/>
                  <a:p>
                    <a:fld id="{56070EE7-D99B-45E0-A338-CA15D0224F56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F-2F77-4BF5-A0BF-755925754142}"/>
                </c:ext>
              </c:extLst>
            </c:dLbl>
            <c:dLbl>
              <c:idx val="131"/>
              <c:tx>
                <c:rich>
                  <a:bodyPr/>
                  <a:lstStyle/>
                  <a:p>
                    <a:fld id="{63D72D2F-0AA6-4F54-BD60-A136D8C13366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0-2F77-4BF5-A0BF-755925754142}"/>
                </c:ext>
              </c:extLst>
            </c:dLbl>
            <c:dLbl>
              <c:idx val="132"/>
              <c:tx>
                <c:rich>
                  <a:bodyPr/>
                  <a:lstStyle/>
                  <a:p>
                    <a:fld id="{E3DF093F-0709-4333-8E81-0F551DB76A50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1-2F77-4BF5-A0BF-755925754142}"/>
                </c:ext>
              </c:extLst>
            </c:dLbl>
            <c:dLbl>
              <c:idx val="133"/>
              <c:tx>
                <c:rich>
                  <a:bodyPr/>
                  <a:lstStyle/>
                  <a:p>
                    <a:fld id="{9F359BEB-0B4B-436C-BCF6-C53ECC8F80F6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2-2F77-4BF5-A0BF-755925754142}"/>
                </c:ext>
              </c:extLst>
            </c:dLbl>
            <c:dLbl>
              <c:idx val="134"/>
              <c:tx>
                <c:rich>
                  <a:bodyPr/>
                  <a:lstStyle/>
                  <a:p>
                    <a:fld id="{37B1779B-C75B-4D7F-90D3-A89D1C8DEF9F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3-2F77-4BF5-A0BF-755925754142}"/>
                </c:ext>
              </c:extLst>
            </c:dLbl>
            <c:dLbl>
              <c:idx val="135"/>
              <c:tx>
                <c:rich>
                  <a:bodyPr/>
                  <a:lstStyle/>
                  <a:p>
                    <a:fld id="{38C38ABE-B72C-4B21-9BD5-886F4DF0A38E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4-2F77-4BF5-A0BF-755925754142}"/>
                </c:ext>
              </c:extLst>
            </c:dLbl>
            <c:dLbl>
              <c:idx val="136"/>
              <c:tx>
                <c:rich>
                  <a:bodyPr/>
                  <a:lstStyle/>
                  <a:p>
                    <a:fld id="{2B7A2A9F-3D56-484A-A532-CF3F85ACCB88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5-2F77-4BF5-A0BF-755925754142}"/>
                </c:ext>
              </c:extLst>
            </c:dLbl>
            <c:dLbl>
              <c:idx val="137"/>
              <c:tx>
                <c:rich>
                  <a:bodyPr/>
                  <a:lstStyle/>
                  <a:p>
                    <a:fld id="{317B1416-348E-4C2A-82B4-35A847986E80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6-2F77-4BF5-A0BF-755925754142}"/>
                </c:ext>
              </c:extLst>
            </c:dLbl>
            <c:dLbl>
              <c:idx val="138"/>
              <c:tx>
                <c:rich>
                  <a:bodyPr/>
                  <a:lstStyle/>
                  <a:p>
                    <a:fld id="{1BBFA7F9-996D-46A4-82CD-F26986AAF6EA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7-2F77-4BF5-A0BF-755925754142}"/>
                </c:ext>
              </c:extLst>
            </c:dLbl>
            <c:dLbl>
              <c:idx val="139"/>
              <c:tx>
                <c:rich>
                  <a:bodyPr/>
                  <a:lstStyle/>
                  <a:p>
                    <a:fld id="{2553F370-7267-4FF6-A865-9449370753D4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8-2F77-4BF5-A0BF-755925754142}"/>
                </c:ext>
              </c:extLst>
            </c:dLbl>
            <c:dLbl>
              <c:idx val="140"/>
              <c:tx>
                <c:rich>
                  <a:bodyPr/>
                  <a:lstStyle/>
                  <a:p>
                    <a:fld id="{34DA28FC-CF6A-4C1D-9DBA-B2B7BB07836A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9-2F77-4BF5-A0BF-755925754142}"/>
                </c:ext>
              </c:extLst>
            </c:dLbl>
            <c:dLbl>
              <c:idx val="141"/>
              <c:tx>
                <c:rich>
                  <a:bodyPr/>
                  <a:lstStyle/>
                  <a:p>
                    <a:fld id="{0BDC09AC-293D-48A1-9537-26F10432DB34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A-2F77-4BF5-A0BF-755925754142}"/>
                </c:ext>
              </c:extLst>
            </c:dLbl>
            <c:dLbl>
              <c:idx val="142"/>
              <c:tx>
                <c:rich>
                  <a:bodyPr/>
                  <a:lstStyle/>
                  <a:p>
                    <a:fld id="{C67C9A8D-E4E2-4F37-90A7-C388DBB3D1FB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B-2F77-4BF5-A0BF-755925754142}"/>
                </c:ext>
              </c:extLst>
            </c:dLbl>
            <c:dLbl>
              <c:idx val="143"/>
              <c:tx>
                <c:rich>
                  <a:bodyPr/>
                  <a:lstStyle/>
                  <a:p>
                    <a:fld id="{4860464F-B85B-4712-91F7-006C5E91CC41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C-2F77-4BF5-A0BF-755925754142}"/>
                </c:ext>
              </c:extLst>
            </c:dLbl>
            <c:dLbl>
              <c:idx val="144"/>
              <c:tx>
                <c:rich>
                  <a:bodyPr/>
                  <a:lstStyle/>
                  <a:p>
                    <a:fld id="{398273AC-A405-4FB6-8B5C-2C0DC6E5F5C1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D-2F77-4BF5-A0BF-755925754142}"/>
                </c:ext>
              </c:extLst>
            </c:dLbl>
            <c:dLbl>
              <c:idx val="145"/>
              <c:tx>
                <c:rich>
                  <a:bodyPr/>
                  <a:lstStyle/>
                  <a:p>
                    <a:fld id="{74D14D8F-8537-4AB9-8630-BFD0205457E9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E-2F77-4BF5-A0BF-755925754142}"/>
                </c:ext>
              </c:extLst>
            </c:dLbl>
            <c:dLbl>
              <c:idx val="146"/>
              <c:tx>
                <c:rich>
                  <a:bodyPr/>
                  <a:lstStyle/>
                  <a:p>
                    <a:fld id="{9FA1528F-5A88-4B81-84E6-64F776381042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F-2F77-4BF5-A0BF-755925754142}"/>
                </c:ext>
              </c:extLst>
            </c:dLbl>
            <c:dLbl>
              <c:idx val="147"/>
              <c:tx>
                <c:rich>
                  <a:bodyPr/>
                  <a:lstStyle/>
                  <a:p>
                    <a:fld id="{CBFBAEA4-D731-4550-B1E0-AFD0BAFB16E6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0-2F77-4BF5-A0BF-755925754142}"/>
                </c:ext>
              </c:extLst>
            </c:dLbl>
            <c:dLbl>
              <c:idx val="148"/>
              <c:tx>
                <c:rich>
                  <a:bodyPr/>
                  <a:lstStyle/>
                  <a:p>
                    <a:fld id="{D8F22AF7-0C9E-4FE0-81C7-28EF6E435CB7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1-2F77-4BF5-A0BF-755925754142}"/>
                </c:ext>
              </c:extLst>
            </c:dLbl>
            <c:dLbl>
              <c:idx val="149"/>
              <c:tx>
                <c:rich>
                  <a:bodyPr/>
                  <a:lstStyle/>
                  <a:p>
                    <a:fld id="{42A5E8F1-57F1-4615-809A-D6D87846CA29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2-2F77-4BF5-A0BF-755925754142}"/>
                </c:ext>
              </c:extLst>
            </c:dLbl>
            <c:dLbl>
              <c:idx val="150"/>
              <c:tx>
                <c:rich>
                  <a:bodyPr/>
                  <a:lstStyle/>
                  <a:p>
                    <a:fld id="{141ADE0D-0838-4D47-B0BF-ADCBD6989E37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3-2F77-4BF5-A0BF-755925754142}"/>
                </c:ext>
              </c:extLst>
            </c:dLbl>
            <c:dLbl>
              <c:idx val="151"/>
              <c:tx>
                <c:rich>
                  <a:bodyPr/>
                  <a:lstStyle/>
                  <a:p>
                    <a:fld id="{1E42BF97-A9EB-41E1-BED5-51F18AFB5F9C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4-2F77-4BF5-A0BF-755925754142}"/>
                </c:ext>
              </c:extLst>
            </c:dLbl>
            <c:dLbl>
              <c:idx val="152"/>
              <c:tx>
                <c:rich>
                  <a:bodyPr/>
                  <a:lstStyle/>
                  <a:p>
                    <a:fld id="{DB581FE7-5883-45E2-B2D2-34F34B48C645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5-2F77-4BF5-A0BF-755925754142}"/>
                </c:ext>
              </c:extLst>
            </c:dLbl>
            <c:dLbl>
              <c:idx val="153"/>
              <c:tx>
                <c:rich>
                  <a:bodyPr/>
                  <a:lstStyle/>
                  <a:p>
                    <a:fld id="{C79A4F68-3C06-4083-8014-AE6DABF0601A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6-2F77-4BF5-A0BF-755925754142}"/>
                </c:ext>
              </c:extLst>
            </c:dLbl>
            <c:dLbl>
              <c:idx val="154"/>
              <c:tx>
                <c:rich>
                  <a:bodyPr/>
                  <a:lstStyle/>
                  <a:p>
                    <a:fld id="{CF720E35-0FE2-46B5-9916-6DF9606135B6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7-2F77-4BF5-A0BF-755925754142}"/>
                </c:ext>
              </c:extLst>
            </c:dLbl>
            <c:dLbl>
              <c:idx val="155"/>
              <c:tx>
                <c:rich>
                  <a:bodyPr/>
                  <a:lstStyle/>
                  <a:p>
                    <a:fld id="{06ABB931-925E-4F09-A854-A68A777C68EA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8-2F77-4BF5-A0BF-755925754142}"/>
                </c:ext>
              </c:extLst>
            </c:dLbl>
            <c:dLbl>
              <c:idx val="156"/>
              <c:tx>
                <c:rich>
                  <a:bodyPr/>
                  <a:lstStyle/>
                  <a:p>
                    <a:fld id="{5E939438-21C7-43A4-8FE3-05A5E8A95455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9-2F77-4BF5-A0BF-755925754142}"/>
                </c:ext>
              </c:extLst>
            </c:dLbl>
            <c:dLbl>
              <c:idx val="157"/>
              <c:tx>
                <c:rich>
                  <a:bodyPr/>
                  <a:lstStyle/>
                  <a:p>
                    <a:fld id="{61EB82E1-74F8-433F-89E5-542A2E244E85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A-2F77-4BF5-A0BF-755925754142}"/>
                </c:ext>
              </c:extLst>
            </c:dLbl>
            <c:dLbl>
              <c:idx val="158"/>
              <c:tx>
                <c:rich>
                  <a:bodyPr/>
                  <a:lstStyle/>
                  <a:p>
                    <a:fld id="{163D6C5D-EE95-4910-BF2C-6879E4CD1B1B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B-2F77-4BF5-A0BF-755925754142}"/>
                </c:ext>
              </c:extLst>
            </c:dLbl>
            <c:dLbl>
              <c:idx val="159"/>
              <c:tx>
                <c:rich>
                  <a:bodyPr/>
                  <a:lstStyle/>
                  <a:p>
                    <a:fld id="{A7D484BA-2539-451A-B008-E6477D1D9110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C-2F77-4BF5-A0BF-755925754142}"/>
                </c:ext>
              </c:extLst>
            </c:dLbl>
            <c:dLbl>
              <c:idx val="160"/>
              <c:tx>
                <c:rich>
                  <a:bodyPr/>
                  <a:lstStyle/>
                  <a:p>
                    <a:fld id="{E01AC944-3408-43F7-B91E-6D7C7C82F8D9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D-2F77-4BF5-A0BF-755925754142}"/>
                </c:ext>
              </c:extLst>
            </c:dLbl>
            <c:dLbl>
              <c:idx val="161"/>
              <c:tx>
                <c:rich>
                  <a:bodyPr/>
                  <a:lstStyle/>
                  <a:p>
                    <a:fld id="{F7FCAE97-05CE-4747-A80C-C35D266A56A5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E-2F77-4BF5-A0BF-755925754142}"/>
                </c:ext>
              </c:extLst>
            </c:dLbl>
            <c:dLbl>
              <c:idx val="162"/>
              <c:tx>
                <c:rich>
                  <a:bodyPr/>
                  <a:lstStyle/>
                  <a:p>
                    <a:fld id="{15739A54-8C88-4298-8129-8E84AE60D7A4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F-2F77-4BF5-A0BF-755925754142}"/>
                </c:ext>
              </c:extLst>
            </c:dLbl>
            <c:dLbl>
              <c:idx val="163"/>
              <c:tx>
                <c:rich>
                  <a:bodyPr/>
                  <a:lstStyle/>
                  <a:p>
                    <a:fld id="{C8647273-F5D0-48C9-915B-B3964FC57A79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0-2F77-4BF5-A0BF-755925754142}"/>
                </c:ext>
              </c:extLst>
            </c:dLbl>
            <c:dLbl>
              <c:idx val="164"/>
              <c:tx>
                <c:rich>
                  <a:bodyPr/>
                  <a:lstStyle/>
                  <a:p>
                    <a:fld id="{78FF65D7-CE32-45CD-BD87-BD16DF27201F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1-2F77-4BF5-A0BF-755925754142}"/>
                </c:ext>
              </c:extLst>
            </c:dLbl>
            <c:dLbl>
              <c:idx val="165"/>
              <c:tx>
                <c:rich>
                  <a:bodyPr/>
                  <a:lstStyle/>
                  <a:p>
                    <a:fld id="{685D7E97-CE59-4348-B25E-9CC67C3A8874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2-2F77-4BF5-A0BF-755925754142}"/>
                </c:ext>
              </c:extLst>
            </c:dLbl>
            <c:dLbl>
              <c:idx val="166"/>
              <c:tx>
                <c:rich>
                  <a:bodyPr/>
                  <a:lstStyle/>
                  <a:p>
                    <a:fld id="{4C881AFD-4A2E-4430-B71C-775413AFFDAB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3-2F77-4BF5-A0BF-755925754142}"/>
                </c:ext>
              </c:extLst>
            </c:dLbl>
            <c:dLbl>
              <c:idx val="167"/>
              <c:tx>
                <c:rich>
                  <a:bodyPr/>
                  <a:lstStyle/>
                  <a:p>
                    <a:fld id="{879EDA3C-3138-4BE4-A999-7A614AF3F61B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4-2F77-4BF5-A0BF-755925754142}"/>
                </c:ext>
              </c:extLst>
            </c:dLbl>
            <c:dLbl>
              <c:idx val="168"/>
              <c:tx>
                <c:rich>
                  <a:bodyPr/>
                  <a:lstStyle/>
                  <a:p>
                    <a:fld id="{A760AC56-E570-4CC5-8761-8A6F4FFDACC7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5-2F77-4BF5-A0BF-755925754142}"/>
                </c:ext>
              </c:extLst>
            </c:dLbl>
            <c:dLbl>
              <c:idx val="169"/>
              <c:tx>
                <c:rich>
                  <a:bodyPr/>
                  <a:lstStyle/>
                  <a:p>
                    <a:fld id="{5123088D-4310-4809-A26A-6382B8B3AE02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6-2F77-4BF5-A0BF-755925754142}"/>
                </c:ext>
              </c:extLst>
            </c:dLbl>
            <c:dLbl>
              <c:idx val="170"/>
              <c:tx>
                <c:rich>
                  <a:bodyPr/>
                  <a:lstStyle/>
                  <a:p>
                    <a:fld id="{B5EC39D9-A40F-45E8-8095-E5F41F9C7E7D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7-2F77-4BF5-A0BF-755925754142}"/>
                </c:ext>
              </c:extLst>
            </c:dLbl>
            <c:dLbl>
              <c:idx val="171"/>
              <c:tx>
                <c:rich>
                  <a:bodyPr/>
                  <a:lstStyle/>
                  <a:p>
                    <a:fld id="{C75578F3-5324-4238-B84B-4C163C8CE6F2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8-2F77-4BF5-A0BF-755925754142}"/>
                </c:ext>
              </c:extLst>
            </c:dLbl>
            <c:dLbl>
              <c:idx val="172"/>
              <c:tx>
                <c:rich>
                  <a:bodyPr/>
                  <a:lstStyle/>
                  <a:p>
                    <a:fld id="{1218DB41-D138-444B-B0DC-1B9CD1897FD8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9-2F77-4BF5-A0BF-755925754142}"/>
                </c:ext>
              </c:extLst>
            </c:dLbl>
            <c:dLbl>
              <c:idx val="173"/>
              <c:tx>
                <c:rich>
                  <a:bodyPr/>
                  <a:lstStyle/>
                  <a:p>
                    <a:fld id="{0F65F8D8-C0FF-4AEB-AB64-5AA95E0EFB2A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A-2F77-4BF5-A0BF-755925754142}"/>
                </c:ext>
              </c:extLst>
            </c:dLbl>
            <c:dLbl>
              <c:idx val="174"/>
              <c:tx>
                <c:rich>
                  <a:bodyPr/>
                  <a:lstStyle/>
                  <a:p>
                    <a:fld id="{22B2A6CC-69CD-4124-8D8A-8440D620C7FD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B-2F77-4BF5-A0BF-755925754142}"/>
                </c:ext>
              </c:extLst>
            </c:dLbl>
            <c:dLbl>
              <c:idx val="175"/>
              <c:tx>
                <c:rich>
                  <a:bodyPr/>
                  <a:lstStyle/>
                  <a:p>
                    <a:fld id="{A4F7A94B-4A69-418C-B3B5-A213240B4D70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C-2F77-4BF5-A0BF-755925754142}"/>
                </c:ext>
              </c:extLst>
            </c:dLbl>
            <c:dLbl>
              <c:idx val="176"/>
              <c:tx>
                <c:rich>
                  <a:bodyPr/>
                  <a:lstStyle/>
                  <a:p>
                    <a:fld id="{6ECF7F97-15D5-47B3-87CF-1F911261EBF7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D-2F77-4BF5-A0BF-755925754142}"/>
                </c:ext>
              </c:extLst>
            </c:dLbl>
            <c:dLbl>
              <c:idx val="177"/>
              <c:tx>
                <c:rich>
                  <a:bodyPr/>
                  <a:lstStyle/>
                  <a:p>
                    <a:fld id="{50C2E854-7935-40B1-8F53-161E8CD8B2BD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E-2F77-4BF5-A0BF-755925754142}"/>
                </c:ext>
              </c:extLst>
            </c:dLbl>
            <c:dLbl>
              <c:idx val="178"/>
              <c:tx>
                <c:rich>
                  <a:bodyPr/>
                  <a:lstStyle/>
                  <a:p>
                    <a:fld id="{E1BAC6E6-7D33-459D-B571-CD9A8B992DA2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F-2F77-4BF5-A0BF-755925754142}"/>
                </c:ext>
              </c:extLst>
            </c:dLbl>
            <c:dLbl>
              <c:idx val="179"/>
              <c:tx>
                <c:rich>
                  <a:bodyPr/>
                  <a:lstStyle/>
                  <a:p>
                    <a:fld id="{0AAB8BFC-59FB-4292-ACA4-F99DAE07E9E8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0-2F77-4BF5-A0BF-755925754142}"/>
                </c:ext>
              </c:extLst>
            </c:dLbl>
            <c:dLbl>
              <c:idx val="180"/>
              <c:tx>
                <c:rich>
                  <a:bodyPr/>
                  <a:lstStyle/>
                  <a:p>
                    <a:fld id="{2C9E5B1E-25B1-49C7-A792-D8AF82F1ABB1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1-2F77-4BF5-A0BF-755925754142}"/>
                </c:ext>
              </c:extLst>
            </c:dLbl>
            <c:dLbl>
              <c:idx val="181"/>
              <c:tx>
                <c:rich>
                  <a:bodyPr/>
                  <a:lstStyle/>
                  <a:p>
                    <a:fld id="{0067A9FD-A339-49E8-B682-CCDECEA57FC0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2-2F77-4BF5-A0BF-755925754142}"/>
                </c:ext>
              </c:extLst>
            </c:dLbl>
            <c:dLbl>
              <c:idx val="182"/>
              <c:tx>
                <c:rich>
                  <a:bodyPr/>
                  <a:lstStyle/>
                  <a:p>
                    <a:fld id="{1A63BD04-EC7D-4849-B7BD-C7BF34D76C72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3-2F77-4BF5-A0BF-755925754142}"/>
                </c:ext>
              </c:extLst>
            </c:dLbl>
            <c:dLbl>
              <c:idx val="183"/>
              <c:tx>
                <c:rich>
                  <a:bodyPr/>
                  <a:lstStyle/>
                  <a:p>
                    <a:fld id="{97FBF63F-C818-4EDD-BAC0-8B82A584C0E2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4-2F77-4BF5-A0BF-755925754142}"/>
                </c:ext>
              </c:extLst>
            </c:dLbl>
            <c:dLbl>
              <c:idx val="184"/>
              <c:tx>
                <c:rich>
                  <a:bodyPr/>
                  <a:lstStyle/>
                  <a:p>
                    <a:fld id="{5551A89B-ED6B-4590-A588-32C9846F2163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5-2F77-4BF5-A0BF-755925754142}"/>
                </c:ext>
              </c:extLst>
            </c:dLbl>
            <c:dLbl>
              <c:idx val="185"/>
              <c:tx>
                <c:rich>
                  <a:bodyPr/>
                  <a:lstStyle/>
                  <a:p>
                    <a:fld id="{DFB8E48F-34D1-48C7-A8B4-E993E04048D5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6-2F77-4BF5-A0BF-755925754142}"/>
                </c:ext>
              </c:extLst>
            </c:dLbl>
            <c:dLbl>
              <c:idx val="186"/>
              <c:tx>
                <c:rich>
                  <a:bodyPr/>
                  <a:lstStyle/>
                  <a:p>
                    <a:fld id="{56DB6364-0332-40DA-B210-6E487301DA52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7-2F77-4BF5-A0BF-755925754142}"/>
                </c:ext>
              </c:extLst>
            </c:dLbl>
            <c:dLbl>
              <c:idx val="187"/>
              <c:tx>
                <c:rich>
                  <a:bodyPr/>
                  <a:lstStyle/>
                  <a:p>
                    <a:fld id="{F2918212-2231-48E7-A2F9-C934E5AFBA15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8-2F77-4BF5-A0BF-755925754142}"/>
                </c:ext>
              </c:extLst>
            </c:dLbl>
            <c:dLbl>
              <c:idx val="188"/>
              <c:tx>
                <c:rich>
                  <a:bodyPr/>
                  <a:lstStyle/>
                  <a:p>
                    <a:fld id="{CA565770-9B8F-40E9-8171-F5102E64B6EA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9-2F77-4BF5-A0BF-755925754142}"/>
                </c:ext>
              </c:extLst>
            </c:dLbl>
            <c:dLbl>
              <c:idx val="189"/>
              <c:tx>
                <c:rich>
                  <a:bodyPr/>
                  <a:lstStyle/>
                  <a:p>
                    <a:fld id="{381A6B01-A51B-419C-9A7A-FE7AC479827B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A-2F77-4BF5-A0BF-755925754142}"/>
                </c:ext>
              </c:extLst>
            </c:dLbl>
            <c:dLbl>
              <c:idx val="190"/>
              <c:tx>
                <c:rich>
                  <a:bodyPr/>
                  <a:lstStyle/>
                  <a:p>
                    <a:fld id="{1DCC3DEA-73A9-4E7F-BC02-BA1CCAB7B39F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B-2F77-4BF5-A0BF-755925754142}"/>
                </c:ext>
              </c:extLst>
            </c:dLbl>
            <c:dLbl>
              <c:idx val="191"/>
              <c:tx>
                <c:rich>
                  <a:bodyPr/>
                  <a:lstStyle/>
                  <a:p>
                    <a:fld id="{80B89921-934E-4E91-91F0-2BE07C48AC58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C-2F77-4BF5-A0BF-755925754142}"/>
                </c:ext>
              </c:extLst>
            </c:dLbl>
            <c:dLbl>
              <c:idx val="192"/>
              <c:tx>
                <c:rich>
                  <a:bodyPr/>
                  <a:lstStyle/>
                  <a:p>
                    <a:fld id="{3091F32D-75BC-4A9E-B23C-FFF7B16688A1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D-2F77-4BF5-A0BF-755925754142}"/>
                </c:ext>
              </c:extLst>
            </c:dLbl>
            <c:dLbl>
              <c:idx val="193"/>
              <c:tx>
                <c:rich>
                  <a:bodyPr/>
                  <a:lstStyle/>
                  <a:p>
                    <a:fld id="{A8932754-05C5-4D13-BD09-5C84EE34E27B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E-2F77-4BF5-A0BF-755925754142}"/>
                </c:ext>
              </c:extLst>
            </c:dLbl>
            <c:dLbl>
              <c:idx val="194"/>
              <c:tx>
                <c:rich>
                  <a:bodyPr/>
                  <a:lstStyle/>
                  <a:p>
                    <a:fld id="{6A2C61AF-7DF6-46F2-A4FF-B1C9354AC070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F-2F77-4BF5-A0BF-755925754142}"/>
                </c:ext>
              </c:extLst>
            </c:dLbl>
            <c:dLbl>
              <c:idx val="195"/>
              <c:tx>
                <c:rich>
                  <a:bodyPr/>
                  <a:lstStyle/>
                  <a:p>
                    <a:fld id="{9A61D808-44FD-406C-AED1-3347B85E7E8D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0-2F77-4BF5-A0BF-755925754142}"/>
                </c:ext>
              </c:extLst>
            </c:dLbl>
            <c:dLbl>
              <c:idx val="196"/>
              <c:tx>
                <c:rich>
                  <a:bodyPr/>
                  <a:lstStyle/>
                  <a:p>
                    <a:fld id="{DAF0A8CA-AD77-4A73-96BC-8AF119854A63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1-2F77-4BF5-A0BF-755925754142}"/>
                </c:ext>
              </c:extLst>
            </c:dLbl>
            <c:dLbl>
              <c:idx val="197"/>
              <c:tx>
                <c:rich>
                  <a:bodyPr/>
                  <a:lstStyle/>
                  <a:p>
                    <a:fld id="{396F6FAF-2E8D-4604-BFD4-9606D16CFEC4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2-2F77-4BF5-A0BF-755925754142}"/>
                </c:ext>
              </c:extLst>
            </c:dLbl>
            <c:dLbl>
              <c:idx val="198"/>
              <c:tx>
                <c:rich>
                  <a:bodyPr/>
                  <a:lstStyle/>
                  <a:p>
                    <a:fld id="{08C31706-7C5D-4337-A6BB-869C5A7761DC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3-2F77-4BF5-A0BF-755925754142}"/>
                </c:ext>
              </c:extLst>
            </c:dLbl>
            <c:dLbl>
              <c:idx val="199"/>
              <c:tx>
                <c:rich>
                  <a:bodyPr/>
                  <a:lstStyle/>
                  <a:p>
                    <a:fld id="{0673C7BB-7746-492A-AFDC-19A8C7C3BBF8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4-2F77-4BF5-A0BF-755925754142}"/>
                </c:ext>
              </c:extLst>
            </c:dLbl>
            <c:dLbl>
              <c:idx val="200"/>
              <c:tx>
                <c:rich>
                  <a:bodyPr/>
                  <a:lstStyle/>
                  <a:p>
                    <a:fld id="{91210D54-DD97-48C0-86AF-26F3A01E4058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5-2F77-4BF5-A0BF-7559257541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Raleway SemiBold" panose="020B07030301010600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Matrix!$AA$11:$AA$211</c:f>
              <c:numCache>
                <c:formatCode>General</c:formatCode>
                <c:ptCount val="20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205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205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205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205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205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205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205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205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Matrix!$AB$11:$AB$211</c15:f>
                <c15:dlblRangeCache>
                  <c:ptCount val="201"/>
                  <c:pt idx="7">
                    <c:v>Issue
#97</c:v>
                  </c:pt>
                  <c:pt idx="35">
                    <c:v>Issue
#125</c:v>
                  </c:pt>
                  <c:pt idx="60">
                    <c:v>Issue
#150</c:v>
                  </c:pt>
                  <c:pt idx="85">
                    <c:v>Issue
#175</c:v>
                  </c:pt>
                  <c:pt idx="110">
                    <c:v>Issue
#200</c:v>
                  </c:pt>
                  <c:pt idx="135">
                    <c:v>Issue
#225</c:v>
                  </c:pt>
                  <c:pt idx="160">
                    <c:v>Issue
#250</c:v>
                  </c:pt>
                  <c:pt idx="190">
                    <c:v>Issue
#280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D6-2F77-4BF5-A0BF-7559257541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6809727"/>
        <c:axId val="1533036512"/>
      </c:lineChart>
      <c:dateAx>
        <c:axId val="436809727"/>
        <c:scaling>
          <c:orientation val="minMax"/>
          <c:max val="294"/>
        </c:scaling>
        <c:delete val="1"/>
        <c:axPos val="t"/>
        <c:numFmt formatCode="General" sourceLinked="1"/>
        <c:majorTickMark val="out"/>
        <c:minorTickMark val="none"/>
        <c:tickLblPos val="nextTo"/>
        <c:crossAx val="1533036512"/>
        <c:crosses val="max"/>
        <c:auto val="0"/>
        <c:lblOffset val="100"/>
        <c:baseTimeUnit val="days"/>
        <c:majorUnit val="30"/>
        <c:majorTimeUnit val="days"/>
      </c:dateAx>
      <c:valAx>
        <c:axId val="153303651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436809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0"/>
          <c:order val="0"/>
          <c:tx>
            <c:strRef>
              <c:f>Matrix!$O$10</c:f>
              <c:strCache>
                <c:ptCount val="1"/>
                <c:pt idx="0">
                  <c:v>Rand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cat>
            <c:numRef>
              <c:f>Matrix!$B$11:$B$211</c:f>
              <c:numCache>
                <c:formatCode>General</c:formatCode>
                <c:ptCount val="201"/>
                <c:pt idx="0">
                  <c:v>83</c:v>
                </c:pt>
                <c:pt idx="1">
                  <c:v>85</c:v>
                </c:pt>
                <c:pt idx="2">
                  <c:v>87</c:v>
                </c:pt>
                <c:pt idx="3">
                  <c:v>89</c:v>
                </c:pt>
                <c:pt idx="4">
                  <c:v>91</c:v>
                </c:pt>
                <c:pt idx="5">
                  <c:v>93</c:v>
                </c:pt>
                <c:pt idx="6">
                  <c:v>95</c:v>
                </c:pt>
                <c:pt idx="7">
                  <c:v>97</c:v>
                </c:pt>
                <c:pt idx="8">
                  <c:v>98</c:v>
                </c:pt>
                <c:pt idx="9">
                  <c:v>99</c:v>
                </c:pt>
                <c:pt idx="10">
                  <c:v>100</c:v>
                </c:pt>
                <c:pt idx="11">
                  <c:v>101</c:v>
                </c:pt>
                <c:pt idx="12">
                  <c:v>102</c:v>
                </c:pt>
                <c:pt idx="13">
                  <c:v>103</c:v>
                </c:pt>
                <c:pt idx="14">
                  <c:v>104</c:v>
                </c:pt>
                <c:pt idx="15">
                  <c:v>105</c:v>
                </c:pt>
                <c:pt idx="16">
                  <c:v>106</c:v>
                </c:pt>
                <c:pt idx="17">
                  <c:v>107</c:v>
                </c:pt>
                <c:pt idx="18">
                  <c:v>108</c:v>
                </c:pt>
                <c:pt idx="19">
                  <c:v>109</c:v>
                </c:pt>
                <c:pt idx="20">
                  <c:v>110</c:v>
                </c:pt>
                <c:pt idx="21">
                  <c:v>111</c:v>
                </c:pt>
                <c:pt idx="22">
                  <c:v>112</c:v>
                </c:pt>
                <c:pt idx="23">
                  <c:v>113</c:v>
                </c:pt>
                <c:pt idx="24">
                  <c:v>114</c:v>
                </c:pt>
                <c:pt idx="25">
                  <c:v>115</c:v>
                </c:pt>
                <c:pt idx="26">
                  <c:v>116</c:v>
                </c:pt>
                <c:pt idx="27">
                  <c:v>117</c:v>
                </c:pt>
                <c:pt idx="28">
                  <c:v>118</c:v>
                </c:pt>
                <c:pt idx="29">
                  <c:v>119</c:v>
                </c:pt>
                <c:pt idx="30">
                  <c:v>120</c:v>
                </c:pt>
                <c:pt idx="31">
                  <c:v>121</c:v>
                </c:pt>
                <c:pt idx="32">
                  <c:v>122</c:v>
                </c:pt>
                <c:pt idx="33">
                  <c:v>123</c:v>
                </c:pt>
                <c:pt idx="34">
                  <c:v>124</c:v>
                </c:pt>
                <c:pt idx="35">
                  <c:v>125</c:v>
                </c:pt>
                <c:pt idx="36">
                  <c:v>126</c:v>
                </c:pt>
                <c:pt idx="37">
                  <c:v>127</c:v>
                </c:pt>
                <c:pt idx="38">
                  <c:v>128</c:v>
                </c:pt>
                <c:pt idx="39">
                  <c:v>129</c:v>
                </c:pt>
                <c:pt idx="40">
                  <c:v>130</c:v>
                </c:pt>
                <c:pt idx="41">
                  <c:v>131</c:v>
                </c:pt>
                <c:pt idx="42">
                  <c:v>132</c:v>
                </c:pt>
                <c:pt idx="43">
                  <c:v>133</c:v>
                </c:pt>
                <c:pt idx="44">
                  <c:v>134</c:v>
                </c:pt>
                <c:pt idx="45">
                  <c:v>135</c:v>
                </c:pt>
                <c:pt idx="46">
                  <c:v>136</c:v>
                </c:pt>
                <c:pt idx="47">
                  <c:v>137</c:v>
                </c:pt>
                <c:pt idx="48">
                  <c:v>138</c:v>
                </c:pt>
                <c:pt idx="49">
                  <c:v>139</c:v>
                </c:pt>
                <c:pt idx="50">
                  <c:v>140</c:v>
                </c:pt>
                <c:pt idx="51">
                  <c:v>141</c:v>
                </c:pt>
                <c:pt idx="52">
                  <c:v>142</c:v>
                </c:pt>
                <c:pt idx="53">
                  <c:v>143</c:v>
                </c:pt>
                <c:pt idx="54">
                  <c:v>144</c:v>
                </c:pt>
                <c:pt idx="55">
                  <c:v>145</c:v>
                </c:pt>
                <c:pt idx="56">
                  <c:v>146</c:v>
                </c:pt>
                <c:pt idx="57">
                  <c:v>147</c:v>
                </c:pt>
                <c:pt idx="58">
                  <c:v>148</c:v>
                </c:pt>
                <c:pt idx="59">
                  <c:v>149</c:v>
                </c:pt>
                <c:pt idx="60">
                  <c:v>150</c:v>
                </c:pt>
                <c:pt idx="61">
                  <c:v>151</c:v>
                </c:pt>
                <c:pt idx="62">
                  <c:v>152</c:v>
                </c:pt>
                <c:pt idx="63">
                  <c:v>153</c:v>
                </c:pt>
                <c:pt idx="64">
                  <c:v>154</c:v>
                </c:pt>
                <c:pt idx="65">
                  <c:v>155</c:v>
                </c:pt>
                <c:pt idx="66">
                  <c:v>156</c:v>
                </c:pt>
                <c:pt idx="67">
                  <c:v>157</c:v>
                </c:pt>
                <c:pt idx="68">
                  <c:v>158</c:v>
                </c:pt>
                <c:pt idx="69">
                  <c:v>159</c:v>
                </c:pt>
                <c:pt idx="70">
                  <c:v>160</c:v>
                </c:pt>
                <c:pt idx="71">
                  <c:v>161</c:v>
                </c:pt>
                <c:pt idx="72">
                  <c:v>162</c:v>
                </c:pt>
                <c:pt idx="73">
                  <c:v>163</c:v>
                </c:pt>
                <c:pt idx="74">
                  <c:v>164</c:v>
                </c:pt>
                <c:pt idx="75">
                  <c:v>165</c:v>
                </c:pt>
                <c:pt idx="76">
                  <c:v>166</c:v>
                </c:pt>
                <c:pt idx="77">
                  <c:v>167</c:v>
                </c:pt>
                <c:pt idx="78">
                  <c:v>168</c:v>
                </c:pt>
                <c:pt idx="79">
                  <c:v>169</c:v>
                </c:pt>
                <c:pt idx="80">
                  <c:v>170</c:v>
                </c:pt>
                <c:pt idx="81">
                  <c:v>171</c:v>
                </c:pt>
                <c:pt idx="82">
                  <c:v>172</c:v>
                </c:pt>
                <c:pt idx="83">
                  <c:v>173</c:v>
                </c:pt>
                <c:pt idx="84">
                  <c:v>174</c:v>
                </c:pt>
                <c:pt idx="85">
                  <c:v>175</c:v>
                </c:pt>
                <c:pt idx="86">
                  <c:v>176</c:v>
                </c:pt>
                <c:pt idx="87">
                  <c:v>177</c:v>
                </c:pt>
                <c:pt idx="88">
                  <c:v>178</c:v>
                </c:pt>
                <c:pt idx="89">
                  <c:v>179</c:v>
                </c:pt>
                <c:pt idx="90">
                  <c:v>180</c:v>
                </c:pt>
                <c:pt idx="91">
                  <c:v>181</c:v>
                </c:pt>
                <c:pt idx="92">
                  <c:v>182</c:v>
                </c:pt>
                <c:pt idx="93">
                  <c:v>183</c:v>
                </c:pt>
                <c:pt idx="94">
                  <c:v>184</c:v>
                </c:pt>
                <c:pt idx="95">
                  <c:v>185</c:v>
                </c:pt>
                <c:pt idx="96">
                  <c:v>186</c:v>
                </c:pt>
                <c:pt idx="97">
                  <c:v>187</c:v>
                </c:pt>
                <c:pt idx="98">
                  <c:v>188</c:v>
                </c:pt>
                <c:pt idx="99">
                  <c:v>189</c:v>
                </c:pt>
                <c:pt idx="100">
                  <c:v>190</c:v>
                </c:pt>
                <c:pt idx="101">
                  <c:v>191</c:v>
                </c:pt>
                <c:pt idx="102">
                  <c:v>192</c:v>
                </c:pt>
                <c:pt idx="103">
                  <c:v>193</c:v>
                </c:pt>
                <c:pt idx="104">
                  <c:v>194</c:v>
                </c:pt>
                <c:pt idx="105">
                  <c:v>195</c:v>
                </c:pt>
                <c:pt idx="106">
                  <c:v>196</c:v>
                </c:pt>
                <c:pt idx="107">
                  <c:v>197</c:v>
                </c:pt>
                <c:pt idx="108">
                  <c:v>198</c:v>
                </c:pt>
                <c:pt idx="109">
                  <c:v>199</c:v>
                </c:pt>
                <c:pt idx="110">
                  <c:v>200</c:v>
                </c:pt>
                <c:pt idx="111">
                  <c:v>201</c:v>
                </c:pt>
                <c:pt idx="112">
                  <c:v>202</c:v>
                </c:pt>
                <c:pt idx="113">
                  <c:v>203</c:v>
                </c:pt>
                <c:pt idx="114">
                  <c:v>204</c:v>
                </c:pt>
                <c:pt idx="115">
                  <c:v>205</c:v>
                </c:pt>
                <c:pt idx="116">
                  <c:v>206</c:v>
                </c:pt>
                <c:pt idx="117">
                  <c:v>207</c:v>
                </c:pt>
                <c:pt idx="118">
                  <c:v>208</c:v>
                </c:pt>
                <c:pt idx="119">
                  <c:v>209</c:v>
                </c:pt>
                <c:pt idx="120">
                  <c:v>210</c:v>
                </c:pt>
                <c:pt idx="121">
                  <c:v>211</c:v>
                </c:pt>
                <c:pt idx="122">
                  <c:v>212</c:v>
                </c:pt>
                <c:pt idx="123">
                  <c:v>213</c:v>
                </c:pt>
                <c:pt idx="124">
                  <c:v>214</c:v>
                </c:pt>
                <c:pt idx="125">
                  <c:v>215</c:v>
                </c:pt>
                <c:pt idx="126">
                  <c:v>216</c:v>
                </c:pt>
                <c:pt idx="127">
                  <c:v>217</c:v>
                </c:pt>
                <c:pt idx="128">
                  <c:v>218</c:v>
                </c:pt>
                <c:pt idx="129">
                  <c:v>219</c:v>
                </c:pt>
                <c:pt idx="130">
                  <c:v>220</c:v>
                </c:pt>
                <c:pt idx="131">
                  <c:v>221</c:v>
                </c:pt>
                <c:pt idx="132">
                  <c:v>222</c:v>
                </c:pt>
                <c:pt idx="133">
                  <c:v>223</c:v>
                </c:pt>
                <c:pt idx="134">
                  <c:v>224</c:v>
                </c:pt>
                <c:pt idx="135">
                  <c:v>225</c:v>
                </c:pt>
                <c:pt idx="136">
                  <c:v>226</c:v>
                </c:pt>
                <c:pt idx="137">
                  <c:v>227</c:v>
                </c:pt>
                <c:pt idx="138">
                  <c:v>228</c:v>
                </c:pt>
                <c:pt idx="139">
                  <c:v>229</c:v>
                </c:pt>
                <c:pt idx="140">
                  <c:v>230</c:v>
                </c:pt>
                <c:pt idx="141">
                  <c:v>231</c:v>
                </c:pt>
                <c:pt idx="142">
                  <c:v>232</c:v>
                </c:pt>
                <c:pt idx="143">
                  <c:v>233</c:v>
                </c:pt>
                <c:pt idx="144">
                  <c:v>234</c:v>
                </c:pt>
                <c:pt idx="145">
                  <c:v>235</c:v>
                </c:pt>
                <c:pt idx="146">
                  <c:v>236</c:v>
                </c:pt>
                <c:pt idx="147">
                  <c:v>237</c:v>
                </c:pt>
                <c:pt idx="148">
                  <c:v>238</c:v>
                </c:pt>
                <c:pt idx="149">
                  <c:v>239</c:v>
                </c:pt>
                <c:pt idx="150">
                  <c:v>240</c:v>
                </c:pt>
                <c:pt idx="151">
                  <c:v>241</c:v>
                </c:pt>
                <c:pt idx="152">
                  <c:v>242</c:v>
                </c:pt>
                <c:pt idx="153">
                  <c:v>243</c:v>
                </c:pt>
                <c:pt idx="154">
                  <c:v>244</c:v>
                </c:pt>
                <c:pt idx="155">
                  <c:v>245</c:v>
                </c:pt>
                <c:pt idx="156">
                  <c:v>246</c:v>
                </c:pt>
                <c:pt idx="157">
                  <c:v>247</c:v>
                </c:pt>
                <c:pt idx="158">
                  <c:v>248</c:v>
                </c:pt>
                <c:pt idx="159">
                  <c:v>249</c:v>
                </c:pt>
                <c:pt idx="160">
                  <c:v>250</c:v>
                </c:pt>
                <c:pt idx="161">
                  <c:v>251</c:v>
                </c:pt>
                <c:pt idx="162">
                  <c:v>252</c:v>
                </c:pt>
                <c:pt idx="163">
                  <c:v>253</c:v>
                </c:pt>
                <c:pt idx="164">
                  <c:v>254</c:v>
                </c:pt>
                <c:pt idx="165">
                  <c:v>255</c:v>
                </c:pt>
                <c:pt idx="166">
                  <c:v>256</c:v>
                </c:pt>
                <c:pt idx="167">
                  <c:v>257</c:v>
                </c:pt>
                <c:pt idx="168">
                  <c:v>258</c:v>
                </c:pt>
                <c:pt idx="169">
                  <c:v>259</c:v>
                </c:pt>
                <c:pt idx="170">
                  <c:v>260</c:v>
                </c:pt>
                <c:pt idx="171">
                  <c:v>261</c:v>
                </c:pt>
                <c:pt idx="172">
                  <c:v>262</c:v>
                </c:pt>
                <c:pt idx="173">
                  <c:v>263</c:v>
                </c:pt>
                <c:pt idx="174">
                  <c:v>264</c:v>
                </c:pt>
                <c:pt idx="175">
                  <c:v>265</c:v>
                </c:pt>
                <c:pt idx="176">
                  <c:v>266</c:v>
                </c:pt>
                <c:pt idx="177">
                  <c:v>267</c:v>
                </c:pt>
                <c:pt idx="178">
                  <c:v>268</c:v>
                </c:pt>
                <c:pt idx="179">
                  <c:v>269</c:v>
                </c:pt>
                <c:pt idx="180">
                  <c:v>270</c:v>
                </c:pt>
                <c:pt idx="181">
                  <c:v>271</c:v>
                </c:pt>
                <c:pt idx="182">
                  <c:v>272</c:v>
                </c:pt>
                <c:pt idx="183">
                  <c:v>273</c:v>
                </c:pt>
                <c:pt idx="184">
                  <c:v>274</c:v>
                </c:pt>
                <c:pt idx="185">
                  <c:v>275</c:v>
                </c:pt>
                <c:pt idx="186">
                  <c:v>276</c:v>
                </c:pt>
                <c:pt idx="187">
                  <c:v>277</c:v>
                </c:pt>
                <c:pt idx="188">
                  <c:v>278</c:v>
                </c:pt>
                <c:pt idx="189">
                  <c:v>279</c:v>
                </c:pt>
                <c:pt idx="190">
                  <c:v>280</c:v>
                </c:pt>
                <c:pt idx="191">
                  <c:v>282</c:v>
                </c:pt>
                <c:pt idx="192">
                  <c:v>284</c:v>
                </c:pt>
                <c:pt idx="193">
                  <c:v>286</c:v>
                </c:pt>
                <c:pt idx="194">
                  <c:v>288</c:v>
                </c:pt>
                <c:pt idx="195">
                  <c:v>290</c:v>
                </c:pt>
                <c:pt idx="196">
                  <c:v>292</c:v>
                </c:pt>
                <c:pt idx="197">
                  <c:v>294</c:v>
                </c:pt>
                <c:pt idx="198">
                  <c:v>296</c:v>
                </c:pt>
                <c:pt idx="199">
                  <c:v>298</c:v>
                </c:pt>
                <c:pt idx="200">
                  <c:v>300</c:v>
                </c:pt>
              </c:numCache>
            </c:numRef>
          </c:cat>
          <c:val>
            <c:numRef>
              <c:f>Matrix!$O$11:$O$210</c:f>
              <c:numCache>
                <c:formatCode>General</c:formatCode>
                <c:ptCount val="200"/>
                <c:pt idx="0">
                  <c:v>162</c:v>
                </c:pt>
                <c:pt idx="1">
                  <c:v>164</c:v>
                </c:pt>
                <c:pt idx="2">
                  <c:v>165.83333333333334</c:v>
                </c:pt>
                <c:pt idx="3">
                  <c:v>163.57142857142858</c:v>
                </c:pt>
                <c:pt idx="4">
                  <c:v>161.75</c:v>
                </c:pt>
                <c:pt idx="5">
                  <c:v>159.375</c:v>
                </c:pt>
                <c:pt idx="6">
                  <c:v>157.625</c:v>
                </c:pt>
                <c:pt idx="7">
                  <c:v>154.125</c:v>
                </c:pt>
                <c:pt idx="8">
                  <c:v>156.125</c:v>
                </c:pt>
                <c:pt idx="9">
                  <c:v>155</c:v>
                </c:pt>
                <c:pt idx="10">
                  <c:v>152.875</c:v>
                </c:pt>
                <c:pt idx="11">
                  <c:v>152.75</c:v>
                </c:pt>
                <c:pt idx="12">
                  <c:v>152.375</c:v>
                </c:pt>
                <c:pt idx="13">
                  <c:v>152.25</c:v>
                </c:pt>
                <c:pt idx="14">
                  <c:v>153.125</c:v>
                </c:pt>
                <c:pt idx="15">
                  <c:v>156.875</c:v>
                </c:pt>
                <c:pt idx="16">
                  <c:v>155.875</c:v>
                </c:pt>
                <c:pt idx="17">
                  <c:v>156</c:v>
                </c:pt>
                <c:pt idx="18">
                  <c:v>156.25</c:v>
                </c:pt>
                <c:pt idx="19">
                  <c:v>157.875</c:v>
                </c:pt>
                <c:pt idx="20">
                  <c:v>161.25</c:v>
                </c:pt>
                <c:pt idx="21">
                  <c:v>161.75</c:v>
                </c:pt>
                <c:pt idx="22">
                  <c:v>164</c:v>
                </c:pt>
                <c:pt idx="23">
                  <c:v>161.375</c:v>
                </c:pt>
                <c:pt idx="24">
                  <c:v>161</c:v>
                </c:pt>
                <c:pt idx="25">
                  <c:v>161.25</c:v>
                </c:pt>
                <c:pt idx="26">
                  <c:v>161.625</c:v>
                </c:pt>
                <c:pt idx="27">
                  <c:v>160.75</c:v>
                </c:pt>
                <c:pt idx="28">
                  <c:v>158.75</c:v>
                </c:pt>
                <c:pt idx="29">
                  <c:v>160</c:v>
                </c:pt>
                <c:pt idx="30">
                  <c:v>160.125</c:v>
                </c:pt>
                <c:pt idx="31">
                  <c:v>161.125</c:v>
                </c:pt>
                <c:pt idx="32">
                  <c:v>163.25</c:v>
                </c:pt>
                <c:pt idx="33">
                  <c:v>164</c:v>
                </c:pt>
                <c:pt idx="34">
                  <c:v>162.625</c:v>
                </c:pt>
                <c:pt idx="35">
                  <c:v>162.625</c:v>
                </c:pt>
                <c:pt idx="36">
                  <c:v>162.375</c:v>
                </c:pt>
                <c:pt idx="37">
                  <c:v>163</c:v>
                </c:pt>
                <c:pt idx="38">
                  <c:v>162.5</c:v>
                </c:pt>
                <c:pt idx="39">
                  <c:v>164</c:v>
                </c:pt>
                <c:pt idx="40">
                  <c:v>162</c:v>
                </c:pt>
                <c:pt idx="41">
                  <c:v>160.625</c:v>
                </c:pt>
                <c:pt idx="42">
                  <c:v>161.375</c:v>
                </c:pt>
                <c:pt idx="43">
                  <c:v>163</c:v>
                </c:pt>
                <c:pt idx="44">
                  <c:v>161.125</c:v>
                </c:pt>
                <c:pt idx="45">
                  <c:v>161.5</c:v>
                </c:pt>
                <c:pt idx="46">
                  <c:v>158.625</c:v>
                </c:pt>
                <c:pt idx="47">
                  <c:v>158.375</c:v>
                </c:pt>
                <c:pt idx="48">
                  <c:v>160.375</c:v>
                </c:pt>
                <c:pt idx="49">
                  <c:v>159.5</c:v>
                </c:pt>
                <c:pt idx="50">
                  <c:v>158.125</c:v>
                </c:pt>
                <c:pt idx="51">
                  <c:v>156.5</c:v>
                </c:pt>
                <c:pt idx="52">
                  <c:v>160.75</c:v>
                </c:pt>
                <c:pt idx="53">
                  <c:v>161.375</c:v>
                </c:pt>
                <c:pt idx="54">
                  <c:v>163.25</c:v>
                </c:pt>
                <c:pt idx="55">
                  <c:v>161.875</c:v>
                </c:pt>
                <c:pt idx="56">
                  <c:v>162.625</c:v>
                </c:pt>
                <c:pt idx="57">
                  <c:v>162.875</c:v>
                </c:pt>
                <c:pt idx="58">
                  <c:v>166.1875</c:v>
                </c:pt>
                <c:pt idx="59">
                  <c:v>165.5625</c:v>
                </c:pt>
                <c:pt idx="60">
                  <c:v>163.5625</c:v>
                </c:pt>
                <c:pt idx="61">
                  <c:v>162.6875</c:v>
                </c:pt>
                <c:pt idx="62">
                  <c:v>161</c:v>
                </c:pt>
                <c:pt idx="63">
                  <c:v>160.625</c:v>
                </c:pt>
                <c:pt idx="64">
                  <c:v>158.25</c:v>
                </c:pt>
                <c:pt idx="65">
                  <c:v>159.5</c:v>
                </c:pt>
                <c:pt idx="66">
                  <c:v>156.0625</c:v>
                </c:pt>
                <c:pt idx="67">
                  <c:v>156.4375</c:v>
                </c:pt>
                <c:pt idx="68">
                  <c:v>155.4375</c:v>
                </c:pt>
                <c:pt idx="69">
                  <c:v>143.625</c:v>
                </c:pt>
                <c:pt idx="70">
                  <c:v>143</c:v>
                </c:pt>
                <c:pt idx="71">
                  <c:v>143.375</c:v>
                </c:pt>
                <c:pt idx="72">
                  <c:v>145.125</c:v>
                </c:pt>
                <c:pt idx="73">
                  <c:v>142.3125</c:v>
                </c:pt>
                <c:pt idx="74">
                  <c:v>144.5625</c:v>
                </c:pt>
                <c:pt idx="75">
                  <c:v>146.4375</c:v>
                </c:pt>
                <c:pt idx="76">
                  <c:v>149.1875</c:v>
                </c:pt>
                <c:pt idx="77">
                  <c:v>161.625</c:v>
                </c:pt>
                <c:pt idx="78">
                  <c:v>163.5625</c:v>
                </c:pt>
                <c:pt idx="79">
                  <c:v>161.375</c:v>
                </c:pt>
                <c:pt idx="80">
                  <c:v>158.6875</c:v>
                </c:pt>
                <c:pt idx="81">
                  <c:v>161.6875</c:v>
                </c:pt>
                <c:pt idx="82">
                  <c:v>160.5625</c:v>
                </c:pt>
                <c:pt idx="83">
                  <c:v>160.5625</c:v>
                </c:pt>
                <c:pt idx="84">
                  <c:v>159.0625</c:v>
                </c:pt>
                <c:pt idx="85">
                  <c:v>159.1875</c:v>
                </c:pt>
                <c:pt idx="86">
                  <c:v>158.9375</c:v>
                </c:pt>
                <c:pt idx="87">
                  <c:v>160.9375</c:v>
                </c:pt>
                <c:pt idx="88">
                  <c:v>164.125</c:v>
                </c:pt>
                <c:pt idx="89">
                  <c:v>162.5625</c:v>
                </c:pt>
                <c:pt idx="90">
                  <c:v>163.4375</c:v>
                </c:pt>
                <c:pt idx="91">
                  <c:v>161.8125</c:v>
                </c:pt>
                <c:pt idx="92">
                  <c:v>160.125</c:v>
                </c:pt>
                <c:pt idx="93">
                  <c:v>159</c:v>
                </c:pt>
                <c:pt idx="94">
                  <c:v>159.125</c:v>
                </c:pt>
                <c:pt idx="95">
                  <c:v>159.8125</c:v>
                </c:pt>
                <c:pt idx="96">
                  <c:v>158.1875</c:v>
                </c:pt>
                <c:pt idx="97">
                  <c:v>157.1875</c:v>
                </c:pt>
                <c:pt idx="98">
                  <c:v>155.3125</c:v>
                </c:pt>
                <c:pt idx="99">
                  <c:v>154.375</c:v>
                </c:pt>
                <c:pt idx="100">
                  <c:v>156.75</c:v>
                </c:pt>
                <c:pt idx="101">
                  <c:v>155.375</c:v>
                </c:pt>
                <c:pt idx="102">
                  <c:v>155.5</c:v>
                </c:pt>
                <c:pt idx="103">
                  <c:v>154.5</c:v>
                </c:pt>
                <c:pt idx="104">
                  <c:v>153.5</c:v>
                </c:pt>
                <c:pt idx="105">
                  <c:v>153.625</c:v>
                </c:pt>
                <c:pt idx="106">
                  <c:v>154.375</c:v>
                </c:pt>
                <c:pt idx="107">
                  <c:v>157</c:v>
                </c:pt>
                <c:pt idx="108">
                  <c:v>157.4375</c:v>
                </c:pt>
                <c:pt idx="109">
                  <c:v>158.3125</c:v>
                </c:pt>
                <c:pt idx="110">
                  <c:v>158.0625</c:v>
                </c:pt>
                <c:pt idx="111">
                  <c:v>157.8125</c:v>
                </c:pt>
                <c:pt idx="112">
                  <c:v>157.5625</c:v>
                </c:pt>
                <c:pt idx="113">
                  <c:v>160.3125</c:v>
                </c:pt>
                <c:pt idx="114">
                  <c:v>160.4375</c:v>
                </c:pt>
                <c:pt idx="115">
                  <c:v>159.5625</c:v>
                </c:pt>
                <c:pt idx="116">
                  <c:v>157.75</c:v>
                </c:pt>
                <c:pt idx="117">
                  <c:v>156.8125</c:v>
                </c:pt>
                <c:pt idx="118">
                  <c:v>157.1875</c:v>
                </c:pt>
                <c:pt idx="119">
                  <c:v>157.6875</c:v>
                </c:pt>
                <c:pt idx="120">
                  <c:v>156.9375</c:v>
                </c:pt>
                <c:pt idx="121">
                  <c:v>155.1875</c:v>
                </c:pt>
                <c:pt idx="122">
                  <c:v>155.25</c:v>
                </c:pt>
                <c:pt idx="123">
                  <c:v>153.3125</c:v>
                </c:pt>
                <c:pt idx="124">
                  <c:v>155.75</c:v>
                </c:pt>
                <c:pt idx="125">
                  <c:v>155.6875</c:v>
                </c:pt>
                <c:pt idx="126">
                  <c:v>156.1875</c:v>
                </c:pt>
                <c:pt idx="127">
                  <c:v>155.0625</c:v>
                </c:pt>
                <c:pt idx="128">
                  <c:v>155.9375</c:v>
                </c:pt>
                <c:pt idx="129">
                  <c:v>157.5625</c:v>
                </c:pt>
                <c:pt idx="130">
                  <c:v>159.125</c:v>
                </c:pt>
                <c:pt idx="131">
                  <c:v>159</c:v>
                </c:pt>
                <c:pt idx="132">
                  <c:v>158.625</c:v>
                </c:pt>
                <c:pt idx="133">
                  <c:v>157.75</c:v>
                </c:pt>
                <c:pt idx="134">
                  <c:v>156.875</c:v>
                </c:pt>
                <c:pt idx="135">
                  <c:v>159.5</c:v>
                </c:pt>
                <c:pt idx="136">
                  <c:v>161.125</c:v>
                </c:pt>
                <c:pt idx="137">
                  <c:v>158.75</c:v>
                </c:pt>
                <c:pt idx="138">
                  <c:v>156.25</c:v>
                </c:pt>
                <c:pt idx="139">
                  <c:v>156.5</c:v>
                </c:pt>
                <c:pt idx="140">
                  <c:v>155.625</c:v>
                </c:pt>
                <c:pt idx="141">
                  <c:v>157.5625</c:v>
                </c:pt>
                <c:pt idx="142">
                  <c:v>157.75</c:v>
                </c:pt>
                <c:pt idx="143">
                  <c:v>155</c:v>
                </c:pt>
                <c:pt idx="144">
                  <c:v>154.625</c:v>
                </c:pt>
                <c:pt idx="145">
                  <c:v>156.5</c:v>
                </c:pt>
                <c:pt idx="146">
                  <c:v>157.25</c:v>
                </c:pt>
                <c:pt idx="147">
                  <c:v>160</c:v>
                </c:pt>
                <c:pt idx="148">
                  <c:v>160.875</c:v>
                </c:pt>
                <c:pt idx="149">
                  <c:v>159.1875</c:v>
                </c:pt>
                <c:pt idx="150">
                  <c:v>158.625</c:v>
                </c:pt>
                <c:pt idx="151">
                  <c:v>161.75</c:v>
                </c:pt>
                <c:pt idx="152">
                  <c:v>161.25</c:v>
                </c:pt>
                <c:pt idx="153">
                  <c:v>161.625</c:v>
                </c:pt>
                <c:pt idx="154">
                  <c:v>162.5</c:v>
                </c:pt>
                <c:pt idx="155">
                  <c:v>159.5</c:v>
                </c:pt>
                <c:pt idx="156">
                  <c:v>159.375</c:v>
                </c:pt>
                <c:pt idx="157">
                  <c:v>159.375</c:v>
                </c:pt>
                <c:pt idx="158">
                  <c:v>156.5</c:v>
                </c:pt>
                <c:pt idx="159">
                  <c:v>153.25</c:v>
                </c:pt>
                <c:pt idx="160">
                  <c:v>152.875</c:v>
                </c:pt>
                <c:pt idx="161">
                  <c:v>150.125</c:v>
                </c:pt>
                <c:pt idx="162">
                  <c:v>151.25</c:v>
                </c:pt>
                <c:pt idx="163">
                  <c:v>154.875</c:v>
                </c:pt>
                <c:pt idx="164">
                  <c:v>154.875</c:v>
                </c:pt>
                <c:pt idx="165">
                  <c:v>156.25</c:v>
                </c:pt>
                <c:pt idx="166">
                  <c:v>159.875</c:v>
                </c:pt>
                <c:pt idx="167">
                  <c:v>162</c:v>
                </c:pt>
                <c:pt idx="168">
                  <c:v>162.375</c:v>
                </c:pt>
                <c:pt idx="169">
                  <c:v>162.25</c:v>
                </c:pt>
                <c:pt idx="170">
                  <c:v>160.625</c:v>
                </c:pt>
                <c:pt idx="171">
                  <c:v>159.375</c:v>
                </c:pt>
                <c:pt idx="172">
                  <c:v>157.375</c:v>
                </c:pt>
                <c:pt idx="173">
                  <c:v>156.125</c:v>
                </c:pt>
                <c:pt idx="174">
                  <c:v>155.5</c:v>
                </c:pt>
                <c:pt idx="175">
                  <c:v>153.875</c:v>
                </c:pt>
                <c:pt idx="176">
                  <c:v>154.25</c:v>
                </c:pt>
                <c:pt idx="177">
                  <c:v>156.125</c:v>
                </c:pt>
                <c:pt idx="178">
                  <c:v>157</c:v>
                </c:pt>
                <c:pt idx="179">
                  <c:v>155.875</c:v>
                </c:pt>
                <c:pt idx="180">
                  <c:v>157.625</c:v>
                </c:pt>
                <c:pt idx="181">
                  <c:v>153.625</c:v>
                </c:pt>
                <c:pt idx="182">
                  <c:v>150</c:v>
                </c:pt>
                <c:pt idx="183">
                  <c:v>152.375</c:v>
                </c:pt>
                <c:pt idx="184">
                  <c:v>151</c:v>
                </c:pt>
                <c:pt idx="185">
                  <c:v>152.25</c:v>
                </c:pt>
                <c:pt idx="186">
                  <c:v>153.375</c:v>
                </c:pt>
                <c:pt idx="187">
                  <c:v>153.375</c:v>
                </c:pt>
                <c:pt idx="188">
                  <c:v>150.5</c:v>
                </c:pt>
                <c:pt idx="189">
                  <c:v>154.25</c:v>
                </c:pt>
                <c:pt idx="190">
                  <c:v>157.75</c:v>
                </c:pt>
                <c:pt idx="191">
                  <c:v>155</c:v>
                </c:pt>
                <c:pt idx="192">
                  <c:v>156.375</c:v>
                </c:pt>
                <c:pt idx="193">
                  <c:v>153.625</c:v>
                </c:pt>
                <c:pt idx="194">
                  <c:v>152.5</c:v>
                </c:pt>
                <c:pt idx="195">
                  <c:v>153.25</c:v>
                </c:pt>
                <c:pt idx="196">
                  <c:v>154.375</c:v>
                </c:pt>
                <c:pt idx="197">
                  <c:v>156.125</c:v>
                </c:pt>
                <c:pt idx="198">
                  <c:v>156.57142857142858</c:v>
                </c:pt>
                <c:pt idx="199">
                  <c:v>157.83333333333334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08-4FEF-8A09-E8A1F7504550}"/>
            </c:ext>
          </c:extLst>
        </c:ser>
        <c:ser>
          <c:idx val="1"/>
          <c:order val="1"/>
          <c:tx>
            <c:strRef>
              <c:f>Matrix!$P$10</c:f>
              <c:strCache>
                <c:ptCount val="1"/>
                <c:pt idx="0">
                  <c:v>Storm (C)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Matrix!$B$11:$B$211</c:f>
              <c:numCache>
                <c:formatCode>General</c:formatCode>
                <c:ptCount val="201"/>
                <c:pt idx="0">
                  <c:v>83</c:v>
                </c:pt>
                <c:pt idx="1">
                  <c:v>85</c:v>
                </c:pt>
                <c:pt idx="2">
                  <c:v>87</c:v>
                </c:pt>
                <c:pt idx="3">
                  <c:v>89</c:v>
                </c:pt>
                <c:pt idx="4">
                  <c:v>91</c:v>
                </c:pt>
                <c:pt idx="5">
                  <c:v>93</c:v>
                </c:pt>
                <c:pt idx="6">
                  <c:v>95</c:v>
                </c:pt>
                <c:pt idx="7">
                  <c:v>97</c:v>
                </c:pt>
                <c:pt idx="8">
                  <c:v>98</c:v>
                </c:pt>
                <c:pt idx="9">
                  <c:v>99</c:v>
                </c:pt>
                <c:pt idx="10">
                  <c:v>100</c:v>
                </c:pt>
                <c:pt idx="11">
                  <c:v>101</c:v>
                </c:pt>
                <c:pt idx="12">
                  <c:v>102</c:v>
                </c:pt>
                <c:pt idx="13">
                  <c:v>103</c:v>
                </c:pt>
                <c:pt idx="14">
                  <c:v>104</c:v>
                </c:pt>
                <c:pt idx="15">
                  <c:v>105</c:v>
                </c:pt>
                <c:pt idx="16">
                  <c:v>106</c:v>
                </c:pt>
                <c:pt idx="17">
                  <c:v>107</c:v>
                </c:pt>
                <c:pt idx="18">
                  <c:v>108</c:v>
                </c:pt>
                <c:pt idx="19">
                  <c:v>109</c:v>
                </c:pt>
                <c:pt idx="20">
                  <c:v>110</c:v>
                </c:pt>
                <c:pt idx="21">
                  <c:v>111</c:v>
                </c:pt>
                <c:pt idx="22">
                  <c:v>112</c:v>
                </c:pt>
                <c:pt idx="23">
                  <c:v>113</c:v>
                </c:pt>
                <c:pt idx="24">
                  <c:v>114</c:v>
                </c:pt>
                <c:pt idx="25">
                  <c:v>115</c:v>
                </c:pt>
                <c:pt idx="26">
                  <c:v>116</c:v>
                </c:pt>
                <c:pt idx="27">
                  <c:v>117</c:v>
                </c:pt>
                <c:pt idx="28">
                  <c:v>118</c:v>
                </c:pt>
                <c:pt idx="29">
                  <c:v>119</c:v>
                </c:pt>
                <c:pt idx="30">
                  <c:v>120</c:v>
                </c:pt>
                <c:pt idx="31">
                  <c:v>121</c:v>
                </c:pt>
                <c:pt idx="32">
                  <c:v>122</c:v>
                </c:pt>
                <c:pt idx="33">
                  <c:v>123</c:v>
                </c:pt>
                <c:pt idx="34">
                  <c:v>124</c:v>
                </c:pt>
                <c:pt idx="35">
                  <c:v>125</c:v>
                </c:pt>
                <c:pt idx="36">
                  <c:v>126</c:v>
                </c:pt>
                <c:pt idx="37">
                  <c:v>127</c:v>
                </c:pt>
                <c:pt idx="38">
                  <c:v>128</c:v>
                </c:pt>
                <c:pt idx="39">
                  <c:v>129</c:v>
                </c:pt>
                <c:pt idx="40">
                  <c:v>130</c:v>
                </c:pt>
                <c:pt idx="41">
                  <c:v>131</c:v>
                </c:pt>
                <c:pt idx="42">
                  <c:v>132</c:v>
                </c:pt>
                <c:pt idx="43">
                  <c:v>133</c:v>
                </c:pt>
                <c:pt idx="44">
                  <c:v>134</c:v>
                </c:pt>
                <c:pt idx="45">
                  <c:v>135</c:v>
                </c:pt>
                <c:pt idx="46">
                  <c:v>136</c:v>
                </c:pt>
                <c:pt idx="47">
                  <c:v>137</c:v>
                </c:pt>
                <c:pt idx="48">
                  <c:v>138</c:v>
                </c:pt>
                <c:pt idx="49">
                  <c:v>139</c:v>
                </c:pt>
                <c:pt idx="50">
                  <c:v>140</c:v>
                </c:pt>
                <c:pt idx="51">
                  <c:v>141</c:v>
                </c:pt>
                <c:pt idx="52">
                  <c:v>142</c:v>
                </c:pt>
                <c:pt idx="53">
                  <c:v>143</c:v>
                </c:pt>
                <c:pt idx="54">
                  <c:v>144</c:v>
                </c:pt>
                <c:pt idx="55">
                  <c:v>145</c:v>
                </c:pt>
                <c:pt idx="56">
                  <c:v>146</c:v>
                </c:pt>
                <c:pt idx="57">
                  <c:v>147</c:v>
                </c:pt>
                <c:pt idx="58">
                  <c:v>148</c:v>
                </c:pt>
                <c:pt idx="59">
                  <c:v>149</c:v>
                </c:pt>
                <c:pt idx="60">
                  <c:v>150</c:v>
                </c:pt>
                <c:pt idx="61">
                  <c:v>151</c:v>
                </c:pt>
                <c:pt idx="62">
                  <c:v>152</c:v>
                </c:pt>
                <c:pt idx="63">
                  <c:v>153</c:v>
                </c:pt>
                <c:pt idx="64">
                  <c:v>154</c:v>
                </c:pt>
                <c:pt idx="65">
                  <c:v>155</c:v>
                </c:pt>
                <c:pt idx="66">
                  <c:v>156</c:v>
                </c:pt>
                <c:pt idx="67">
                  <c:v>157</c:v>
                </c:pt>
                <c:pt idx="68">
                  <c:v>158</c:v>
                </c:pt>
                <c:pt idx="69">
                  <c:v>159</c:v>
                </c:pt>
                <c:pt idx="70">
                  <c:v>160</c:v>
                </c:pt>
                <c:pt idx="71">
                  <c:v>161</c:v>
                </c:pt>
                <c:pt idx="72">
                  <c:v>162</c:v>
                </c:pt>
                <c:pt idx="73">
                  <c:v>163</c:v>
                </c:pt>
                <c:pt idx="74">
                  <c:v>164</c:v>
                </c:pt>
                <c:pt idx="75">
                  <c:v>165</c:v>
                </c:pt>
                <c:pt idx="76">
                  <c:v>166</c:v>
                </c:pt>
                <c:pt idx="77">
                  <c:v>167</c:v>
                </c:pt>
                <c:pt idx="78">
                  <c:v>168</c:v>
                </c:pt>
                <c:pt idx="79">
                  <c:v>169</c:v>
                </c:pt>
                <c:pt idx="80">
                  <c:v>170</c:v>
                </c:pt>
                <c:pt idx="81">
                  <c:v>171</c:v>
                </c:pt>
                <c:pt idx="82">
                  <c:v>172</c:v>
                </c:pt>
                <c:pt idx="83">
                  <c:v>173</c:v>
                </c:pt>
                <c:pt idx="84">
                  <c:v>174</c:v>
                </c:pt>
                <c:pt idx="85">
                  <c:v>175</c:v>
                </c:pt>
                <c:pt idx="86">
                  <c:v>176</c:v>
                </c:pt>
                <c:pt idx="87">
                  <c:v>177</c:v>
                </c:pt>
                <c:pt idx="88">
                  <c:v>178</c:v>
                </c:pt>
                <c:pt idx="89">
                  <c:v>179</c:v>
                </c:pt>
                <c:pt idx="90">
                  <c:v>180</c:v>
                </c:pt>
                <c:pt idx="91">
                  <c:v>181</c:v>
                </c:pt>
                <c:pt idx="92">
                  <c:v>182</c:v>
                </c:pt>
                <c:pt idx="93">
                  <c:v>183</c:v>
                </c:pt>
                <c:pt idx="94">
                  <c:v>184</c:v>
                </c:pt>
                <c:pt idx="95">
                  <c:v>185</c:v>
                </c:pt>
                <c:pt idx="96">
                  <c:v>186</c:v>
                </c:pt>
                <c:pt idx="97">
                  <c:v>187</c:v>
                </c:pt>
                <c:pt idx="98">
                  <c:v>188</c:v>
                </c:pt>
                <c:pt idx="99">
                  <c:v>189</c:v>
                </c:pt>
                <c:pt idx="100">
                  <c:v>190</c:v>
                </c:pt>
                <c:pt idx="101">
                  <c:v>191</c:v>
                </c:pt>
                <c:pt idx="102">
                  <c:v>192</c:v>
                </c:pt>
                <c:pt idx="103">
                  <c:v>193</c:v>
                </c:pt>
                <c:pt idx="104">
                  <c:v>194</c:v>
                </c:pt>
                <c:pt idx="105">
                  <c:v>195</c:v>
                </c:pt>
                <c:pt idx="106">
                  <c:v>196</c:v>
                </c:pt>
                <c:pt idx="107">
                  <c:v>197</c:v>
                </c:pt>
                <c:pt idx="108">
                  <c:v>198</c:v>
                </c:pt>
                <c:pt idx="109">
                  <c:v>199</c:v>
                </c:pt>
                <c:pt idx="110">
                  <c:v>200</c:v>
                </c:pt>
                <c:pt idx="111">
                  <c:v>201</c:v>
                </c:pt>
                <c:pt idx="112">
                  <c:v>202</c:v>
                </c:pt>
                <c:pt idx="113">
                  <c:v>203</c:v>
                </c:pt>
                <c:pt idx="114">
                  <c:v>204</c:v>
                </c:pt>
                <c:pt idx="115">
                  <c:v>205</c:v>
                </c:pt>
                <c:pt idx="116">
                  <c:v>206</c:v>
                </c:pt>
                <c:pt idx="117">
                  <c:v>207</c:v>
                </c:pt>
                <c:pt idx="118">
                  <c:v>208</c:v>
                </c:pt>
                <c:pt idx="119">
                  <c:v>209</c:v>
                </c:pt>
                <c:pt idx="120">
                  <c:v>210</c:v>
                </c:pt>
                <c:pt idx="121">
                  <c:v>211</c:v>
                </c:pt>
                <c:pt idx="122">
                  <c:v>212</c:v>
                </c:pt>
                <c:pt idx="123">
                  <c:v>213</c:v>
                </c:pt>
                <c:pt idx="124">
                  <c:v>214</c:v>
                </c:pt>
                <c:pt idx="125">
                  <c:v>215</c:v>
                </c:pt>
                <c:pt idx="126">
                  <c:v>216</c:v>
                </c:pt>
                <c:pt idx="127">
                  <c:v>217</c:v>
                </c:pt>
                <c:pt idx="128">
                  <c:v>218</c:v>
                </c:pt>
                <c:pt idx="129">
                  <c:v>219</c:v>
                </c:pt>
                <c:pt idx="130">
                  <c:v>220</c:v>
                </c:pt>
                <c:pt idx="131">
                  <c:v>221</c:v>
                </c:pt>
                <c:pt idx="132">
                  <c:v>222</c:v>
                </c:pt>
                <c:pt idx="133">
                  <c:v>223</c:v>
                </c:pt>
                <c:pt idx="134">
                  <c:v>224</c:v>
                </c:pt>
                <c:pt idx="135">
                  <c:v>225</c:v>
                </c:pt>
                <c:pt idx="136">
                  <c:v>226</c:v>
                </c:pt>
                <c:pt idx="137">
                  <c:v>227</c:v>
                </c:pt>
                <c:pt idx="138">
                  <c:v>228</c:v>
                </c:pt>
                <c:pt idx="139">
                  <c:v>229</c:v>
                </c:pt>
                <c:pt idx="140">
                  <c:v>230</c:v>
                </c:pt>
                <c:pt idx="141">
                  <c:v>231</c:v>
                </c:pt>
                <c:pt idx="142">
                  <c:v>232</c:v>
                </c:pt>
                <c:pt idx="143">
                  <c:v>233</c:v>
                </c:pt>
                <c:pt idx="144">
                  <c:v>234</c:v>
                </c:pt>
                <c:pt idx="145">
                  <c:v>235</c:v>
                </c:pt>
                <c:pt idx="146">
                  <c:v>236</c:v>
                </c:pt>
                <c:pt idx="147">
                  <c:v>237</c:v>
                </c:pt>
                <c:pt idx="148">
                  <c:v>238</c:v>
                </c:pt>
                <c:pt idx="149">
                  <c:v>239</c:v>
                </c:pt>
                <c:pt idx="150">
                  <c:v>240</c:v>
                </c:pt>
                <c:pt idx="151">
                  <c:v>241</c:v>
                </c:pt>
                <c:pt idx="152">
                  <c:v>242</c:v>
                </c:pt>
                <c:pt idx="153">
                  <c:v>243</c:v>
                </c:pt>
                <c:pt idx="154">
                  <c:v>244</c:v>
                </c:pt>
                <c:pt idx="155">
                  <c:v>245</c:v>
                </c:pt>
                <c:pt idx="156">
                  <c:v>246</c:v>
                </c:pt>
                <c:pt idx="157">
                  <c:v>247</c:v>
                </c:pt>
                <c:pt idx="158">
                  <c:v>248</c:v>
                </c:pt>
                <c:pt idx="159">
                  <c:v>249</c:v>
                </c:pt>
                <c:pt idx="160">
                  <c:v>250</c:v>
                </c:pt>
                <c:pt idx="161">
                  <c:v>251</c:v>
                </c:pt>
                <c:pt idx="162">
                  <c:v>252</c:v>
                </c:pt>
                <c:pt idx="163">
                  <c:v>253</c:v>
                </c:pt>
                <c:pt idx="164">
                  <c:v>254</c:v>
                </c:pt>
                <c:pt idx="165">
                  <c:v>255</c:v>
                </c:pt>
                <c:pt idx="166">
                  <c:v>256</c:v>
                </c:pt>
                <c:pt idx="167">
                  <c:v>257</c:v>
                </c:pt>
                <c:pt idx="168">
                  <c:v>258</c:v>
                </c:pt>
                <c:pt idx="169">
                  <c:v>259</c:v>
                </c:pt>
                <c:pt idx="170">
                  <c:v>260</c:v>
                </c:pt>
                <c:pt idx="171">
                  <c:v>261</c:v>
                </c:pt>
                <c:pt idx="172">
                  <c:v>262</c:v>
                </c:pt>
                <c:pt idx="173">
                  <c:v>263</c:v>
                </c:pt>
                <c:pt idx="174">
                  <c:v>264</c:v>
                </c:pt>
                <c:pt idx="175">
                  <c:v>265</c:v>
                </c:pt>
                <c:pt idx="176">
                  <c:v>266</c:v>
                </c:pt>
                <c:pt idx="177">
                  <c:v>267</c:v>
                </c:pt>
                <c:pt idx="178">
                  <c:v>268</c:v>
                </c:pt>
                <c:pt idx="179">
                  <c:v>269</c:v>
                </c:pt>
                <c:pt idx="180">
                  <c:v>270</c:v>
                </c:pt>
                <c:pt idx="181">
                  <c:v>271</c:v>
                </c:pt>
                <c:pt idx="182">
                  <c:v>272</c:v>
                </c:pt>
                <c:pt idx="183">
                  <c:v>273</c:v>
                </c:pt>
                <c:pt idx="184">
                  <c:v>274</c:v>
                </c:pt>
                <c:pt idx="185">
                  <c:v>275</c:v>
                </c:pt>
                <c:pt idx="186">
                  <c:v>276</c:v>
                </c:pt>
                <c:pt idx="187">
                  <c:v>277</c:v>
                </c:pt>
                <c:pt idx="188">
                  <c:v>278</c:v>
                </c:pt>
                <c:pt idx="189">
                  <c:v>279</c:v>
                </c:pt>
                <c:pt idx="190">
                  <c:v>280</c:v>
                </c:pt>
                <c:pt idx="191">
                  <c:v>282</c:v>
                </c:pt>
                <c:pt idx="192">
                  <c:v>284</c:v>
                </c:pt>
                <c:pt idx="193">
                  <c:v>286</c:v>
                </c:pt>
                <c:pt idx="194">
                  <c:v>288</c:v>
                </c:pt>
                <c:pt idx="195">
                  <c:v>290</c:v>
                </c:pt>
                <c:pt idx="196">
                  <c:v>292</c:v>
                </c:pt>
                <c:pt idx="197">
                  <c:v>294</c:v>
                </c:pt>
                <c:pt idx="198">
                  <c:v>296</c:v>
                </c:pt>
                <c:pt idx="199">
                  <c:v>298</c:v>
                </c:pt>
                <c:pt idx="200">
                  <c:v>300</c:v>
                </c:pt>
              </c:numCache>
            </c:numRef>
          </c:cat>
          <c:val>
            <c:numRef>
              <c:f>Matrix!$P$11:$P$210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0.25</c:v>
                </c:pt>
                <c:pt idx="57">
                  <c:v>0.25</c:v>
                </c:pt>
                <c:pt idx="58">
                  <c:v>0.25</c:v>
                </c:pt>
                <c:pt idx="59">
                  <c:v>0.25</c:v>
                </c:pt>
                <c:pt idx="60">
                  <c:v>0.25</c:v>
                </c:pt>
                <c:pt idx="61">
                  <c:v>0.25</c:v>
                </c:pt>
                <c:pt idx="62">
                  <c:v>0.25</c:v>
                </c:pt>
                <c:pt idx="63">
                  <c:v>0.25</c:v>
                </c:pt>
                <c:pt idx="64">
                  <c:v>0.25</c:v>
                </c:pt>
                <c:pt idx="65">
                  <c:v>0.25</c:v>
                </c:pt>
                <c:pt idx="66">
                  <c:v>0.25</c:v>
                </c:pt>
                <c:pt idx="67">
                  <c:v>0.25</c:v>
                </c:pt>
                <c:pt idx="68">
                  <c:v>0.25</c:v>
                </c:pt>
                <c:pt idx="69">
                  <c:v>0.25</c:v>
                </c:pt>
                <c:pt idx="70">
                  <c:v>0.25</c:v>
                </c:pt>
                <c:pt idx="71">
                  <c:v>0.25</c:v>
                </c:pt>
                <c:pt idx="72">
                  <c:v>0</c:v>
                </c:pt>
                <c:pt idx="73">
                  <c:v>2.125</c:v>
                </c:pt>
                <c:pt idx="74">
                  <c:v>2.125</c:v>
                </c:pt>
                <c:pt idx="75">
                  <c:v>2.125</c:v>
                </c:pt>
                <c:pt idx="76">
                  <c:v>2.125</c:v>
                </c:pt>
                <c:pt idx="77">
                  <c:v>2.125</c:v>
                </c:pt>
                <c:pt idx="78">
                  <c:v>2.125</c:v>
                </c:pt>
                <c:pt idx="79">
                  <c:v>2.125</c:v>
                </c:pt>
                <c:pt idx="80">
                  <c:v>2.125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0.125</c:v>
                </c:pt>
                <c:pt idx="93">
                  <c:v>0.125</c:v>
                </c:pt>
                <c:pt idx="94">
                  <c:v>0.125</c:v>
                </c:pt>
                <c:pt idx="95">
                  <c:v>0.125</c:v>
                </c:pt>
                <c:pt idx="96">
                  <c:v>0.125</c:v>
                </c:pt>
                <c:pt idx="97">
                  <c:v>0.125</c:v>
                </c:pt>
                <c:pt idx="98">
                  <c:v>0.125</c:v>
                </c:pt>
                <c:pt idx="99">
                  <c:v>0.125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1.125</c:v>
                </c:pt>
                <c:pt idx="116">
                  <c:v>1.25</c:v>
                </c:pt>
                <c:pt idx="117">
                  <c:v>1.25</c:v>
                </c:pt>
                <c:pt idx="118">
                  <c:v>0.25</c:v>
                </c:pt>
                <c:pt idx="119">
                  <c:v>0.25</c:v>
                </c:pt>
                <c:pt idx="120">
                  <c:v>0.5</c:v>
                </c:pt>
                <c:pt idx="121">
                  <c:v>0.5</c:v>
                </c:pt>
                <c:pt idx="122">
                  <c:v>1.125</c:v>
                </c:pt>
                <c:pt idx="123">
                  <c:v>1</c:v>
                </c:pt>
                <c:pt idx="124">
                  <c:v>0.875</c:v>
                </c:pt>
                <c:pt idx="125">
                  <c:v>0.875</c:v>
                </c:pt>
                <c:pt idx="126">
                  <c:v>0.875</c:v>
                </c:pt>
                <c:pt idx="127">
                  <c:v>0.875</c:v>
                </c:pt>
                <c:pt idx="128">
                  <c:v>0.625</c:v>
                </c:pt>
                <c:pt idx="129">
                  <c:v>0.625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0.125</c:v>
                </c:pt>
                <c:pt idx="142">
                  <c:v>0.25</c:v>
                </c:pt>
                <c:pt idx="143">
                  <c:v>0.25</c:v>
                </c:pt>
                <c:pt idx="144">
                  <c:v>0.25</c:v>
                </c:pt>
                <c:pt idx="145">
                  <c:v>0.5</c:v>
                </c:pt>
                <c:pt idx="146">
                  <c:v>0.5</c:v>
                </c:pt>
                <c:pt idx="147">
                  <c:v>0.5</c:v>
                </c:pt>
                <c:pt idx="148">
                  <c:v>0.5</c:v>
                </c:pt>
                <c:pt idx="149">
                  <c:v>0.375</c:v>
                </c:pt>
                <c:pt idx="150">
                  <c:v>0.25</c:v>
                </c:pt>
                <c:pt idx="151">
                  <c:v>0.25</c:v>
                </c:pt>
                <c:pt idx="152">
                  <c:v>0.25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08-4FEF-8A09-E8A1F7504550}"/>
            </c:ext>
          </c:extLst>
        </c:ser>
        <c:ser>
          <c:idx val="2"/>
          <c:order val="2"/>
          <c:tx>
            <c:strRef>
              <c:f>Matrix!$Q$10</c:f>
              <c:strCache>
                <c:ptCount val="1"/>
                <c:pt idx="0">
                  <c:v>Storm (N)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Matrix!$B$11:$B$211</c:f>
              <c:numCache>
                <c:formatCode>General</c:formatCode>
                <c:ptCount val="201"/>
                <c:pt idx="0">
                  <c:v>83</c:v>
                </c:pt>
                <c:pt idx="1">
                  <c:v>85</c:v>
                </c:pt>
                <c:pt idx="2">
                  <c:v>87</c:v>
                </c:pt>
                <c:pt idx="3">
                  <c:v>89</c:v>
                </c:pt>
                <c:pt idx="4">
                  <c:v>91</c:v>
                </c:pt>
                <c:pt idx="5">
                  <c:v>93</c:v>
                </c:pt>
                <c:pt idx="6">
                  <c:v>95</c:v>
                </c:pt>
                <c:pt idx="7">
                  <c:v>97</c:v>
                </c:pt>
                <c:pt idx="8">
                  <c:v>98</c:v>
                </c:pt>
                <c:pt idx="9">
                  <c:v>99</c:v>
                </c:pt>
                <c:pt idx="10">
                  <c:v>100</c:v>
                </c:pt>
                <c:pt idx="11">
                  <c:v>101</c:v>
                </c:pt>
                <c:pt idx="12">
                  <c:v>102</c:v>
                </c:pt>
                <c:pt idx="13">
                  <c:v>103</c:v>
                </c:pt>
                <c:pt idx="14">
                  <c:v>104</c:v>
                </c:pt>
                <c:pt idx="15">
                  <c:v>105</c:v>
                </c:pt>
                <c:pt idx="16">
                  <c:v>106</c:v>
                </c:pt>
                <c:pt idx="17">
                  <c:v>107</c:v>
                </c:pt>
                <c:pt idx="18">
                  <c:v>108</c:v>
                </c:pt>
                <c:pt idx="19">
                  <c:v>109</c:v>
                </c:pt>
                <c:pt idx="20">
                  <c:v>110</c:v>
                </c:pt>
                <c:pt idx="21">
                  <c:v>111</c:v>
                </c:pt>
                <c:pt idx="22">
                  <c:v>112</c:v>
                </c:pt>
                <c:pt idx="23">
                  <c:v>113</c:v>
                </c:pt>
                <c:pt idx="24">
                  <c:v>114</c:v>
                </c:pt>
                <c:pt idx="25">
                  <c:v>115</c:v>
                </c:pt>
                <c:pt idx="26">
                  <c:v>116</c:v>
                </c:pt>
                <c:pt idx="27">
                  <c:v>117</c:v>
                </c:pt>
                <c:pt idx="28">
                  <c:v>118</c:v>
                </c:pt>
                <c:pt idx="29">
                  <c:v>119</c:v>
                </c:pt>
                <c:pt idx="30">
                  <c:v>120</c:v>
                </c:pt>
                <c:pt idx="31">
                  <c:v>121</c:v>
                </c:pt>
                <c:pt idx="32">
                  <c:v>122</c:v>
                </c:pt>
                <c:pt idx="33">
                  <c:v>123</c:v>
                </c:pt>
                <c:pt idx="34">
                  <c:v>124</c:v>
                </c:pt>
                <c:pt idx="35">
                  <c:v>125</c:v>
                </c:pt>
                <c:pt idx="36">
                  <c:v>126</c:v>
                </c:pt>
                <c:pt idx="37">
                  <c:v>127</c:v>
                </c:pt>
                <c:pt idx="38">
                  <c:v>128</c:v>
                </c:pt>
                <c:pt idx="39">
                  <c:v>129</c:v>
                </c:pt>
                <c:pt idx="40">
                  <c:v>130</c:v>
                </c:pt>
                <c:pt idx="41">
                  <c:v>131</c:v>
                </c:pt>
                <c:pt idx="42">
                  <c:v>132</c:v>
                </c:pt>
                <c:pt idx="43">
                  <c:v>133</c:v>
                </c:pt>
                <c:pt idx="44">
                  <c:v>134</c:v>
                </c:pt>
                <c:pt idx="45">
                  <c:v>135</c:v>
                </c:pt>
                <c:pt idx="46">
                  <c:v>136</c:v>
                </c:pt>
                <c:pt idx="47">
                  <c:v>137</c:v>
                </c:pt>
                <c:pt idx="48">
                  <c:v>138</c:v>
                </c:pt>
                <c:pt idx="49">
                  <c:v>139</c:v>
                </c:pt>
                <c:pt idx="50">
                  <c:v>140</c:v>
                </c:pt>
                <c:pt idx="51">
                  <c:v>141</c:v>
                </c:pt>
                <c:pt idx="52">
                  <c:v>142</c:v>
                </c:pt>
                <c:pt idx="53">
                  <c:v>143</c:v>
                </c:pt>
                <c:pt idx="54">
                  <c:v>144</c:v>
                </c:pt>
                <c:pt idx="55">
                  <c:v>145</c:v>
                </c:pt>
                <c:pt idx="56">
                  <c:v>146</c:v>
                </c:pt>
                <c:pt idx="57">
                  <c:v>147</c:v>
                </c:pt>
                <c:pt idx="58">
                  <c:v>148</c:v>
                </c:pt>
                <c:pt idx="59">
                  <c:v>149</c:v>
                </c:pt>
                <c:pt idx="60">
                  <c:v>150</c:v>
                </c:pt>
                <c:pt idx="61">
                  <c:v>151</c:v>
                </c:pt>
                <c:pt idx="62">
                  <c:v>152</c:v>
                </c:pt>
                <c:pt idx="63">
                  <c:v>153</c:v>
                </c:pt>
                <c:pt idx="64">
                  <c:v>154</c:v>
                </c:pt>
                <c:pt idx="65">
                  <c:v>155</c:v>
                </c:pt>
                <c:pt idx="66">
                  <c:v>156</c:v>
                </c:pt>
                <c:pt idx="67">
                  <c:v>157</c:v>
                </c:pt>
                <c:pt idx="68">
                  <c:v>158</c:v>
                </c:pt>
                <c:pt idx="69">
                  <c:v>159</c:v>
                </c:pt>
                <c:pt idx="70">
                  <c:v>160</c:v>
                </c:pt>
                <c:pt idx="71">
                  <c:v>161</c:v>
                </c:pt>
                <c:pt idx="72">
                  <c:v>162</c:v>
                </c:pt>
                <c:pt idx="73">
                  <c:v>163</c:v>
                </c:pt>
                <c:pt idx="74">
                  <c:v>164</c:v>
                </c:pt>
                <c:pt idx="75">
                  <c:v>165</c:v>
                </c:pt>
                <c:pt idx="76">
                  <c:v>166</c:v>
                </c:pt>
                <c:pt idx="77">
                  <c:v>167</c:v>
                </c:pt>
                <c:pt idx="78">
                  <c:v>168</c:v>
                </c:pt>
                <c:pt idx="79">
                  <c:v>169</c:v>
                </c:pt>
                <c:pt idx="80">
                  <c:v>170</c:v>
                </c:pt>
                <c:pt idx="81">
                  <c:v>171</c:v>
                </c:pt>
                <c:pt idx="82">
                  <c:v>172</c:v>
                </c:pt>
                <c:pt idx="83">
                  <c:v>173</c:v>
                </c:pt>
                <c:pt idx="84">
                  <c:v>174</c:v>
                </c:pt>
                <c:pt idx="85">
                  <c:v>175</c:v>
                </c:pt>
                <c:pt idx="86">
                  <c:v>176</c:v>
                </c:pt>
                <c:pt idx="87">
                  <c:v>177</c:v>
                </c:pt>
                <c:pt idx="88">
                  <c:v>178</c:v>
                </c:pt>
                <c:pt idx="89">
                  <c:v>179</c:v>
                </c:pt>
                <c:pt idx="90">
                  <c:v>180</c:v>
                </c:pt>
                <c:pt idx="91">
                  <c:v>181</c:v>
                </c:pt>
                <c:pt idx="92">
                  <c:v>182</c:v>
                </c:pt>
                <c:pt idx="93">
                  <c:v>183</c:v>
                </c:pt>
                <c:pt idx="94">
                  <c:v>184</c:v>
                </c:pt>
                <c:pt idx="95">
                  <c:v>185</c:v>
                </c:pt>
                <c:pt idx="96">
                  <c:v>186</c:v>
                </c:pt>
                <c:pt idx="97">
                  <c:v>187</c:v>
                </c:pt>
                <c:pt idx="98">
                  <c:v>188</c:v>
                </c:pt>
                <c:pt idx="99">
                  <c:v>189</c:v>
                </c:pt>
                <c:pt idx="100">
                  <c:v>190</c:v>
                </c:pt>
                <c:pt idx="101">
                  <c:v>191</c:v>
                </c:pt>
                <c:pt idx="102">
                  <c:v>192</c:v>
                </c:pt>
                <c:pt idx="103">
                  <c:v>193</c:v>
                </c:pt>
                <c:pt idx="104">
                  <c:v>194</c:v>
                </c:pt>
                <c:pt idx="105">
                  <c:v>195</c:v>
                </c:pt>
                <c:pt idx="106">
                  <c:v>196</c:v>
                </c:pt>
                <c:pt idx="107">
                  <c:v>197</c:v>
                </c:pt>
                <c:pt idx="108">
                  <c:v>198</c:v>
                </c:pt>
                <c:pt idx="109">
                  <c:v>199</c:v>
                </c:pt>
                <c:pt idx="110">
                  <c:v>200</c:v>
                </c:pt>
                <c:pt idx="111">
                  <c:v>201</c:v>
                </c:pt>
                <c:pt idx="112">
                  <c:v>202</c:v>
                </c:pt>
                <c:pt idx="113">
                  <c:v>203</c:v>
                </c:pt>
                <c:pt idx="114">
                  <c:v>204</c:v>
                </c:pt>
                <c:pt idx="115">
                  <c:v>205</c:v>
                </c:pt>
                <c:pt idx="116">
                  <c:v>206</c:v>
                </c:pt>
                <c:pt idx="117">
                  <c:v>207</c:v>
                </c:pt>
                <c:pt idx="118">
                  <c:v>208</c:v>
                </c:pt>
                <c:pt idx="119">
                  <c:v>209</c:v>
                </c:pt>
                <c:pt idx="120">
                  <c:v>210</c:v>
                </c:pt>
                <c:pt idx="121">
                  <c:v>211</c:v>
                </c:pt>
                <c:pt idx="122">
                  <c:v>212</c:v>
                </c:pt>
                <c:pt idx="123">
                  <c:v>213</c:v>
                </c:pt>
                <c:pt idx="124">
                  <c:v>214</c:v>
                </c:pt>
                <c:pt idx="125">
                  <c:v>215</c:v>
                </c:pt>
                <c:pt idx="126">
                  <c:v>216</c:v>
                </c:pt>
                <c:pt idx="127">
                  <c:v>217</c:v>
                </c:pt>
                <c:pt idx="128">
                  <c:v>218</c:v>
                </c:pt>
                <c:pt idx="129">
                  <c:v>219</c:v>
                </c:pt>
                <c:pt idx="130">
                  <c:v>220</c:v>
                </c:pt>
                <c:pt idx="131">
                  <c:v>221</c:v>
                </c:pt>
                <c:pt idx="132">
                  <c:v>222</c:v>
                </c:pt>
                <c:pt idx="133">
                  <c:v>223</c:v>
                </c:pt>
                <c:pt idx="134">
                  <c:v>224</c:v>
                </c:pt>
                <c:pt idx="135">
                  <c:v>225</c:v>
                </c:pt>
                <c:pt idx="136">
                  <c:v>226</c:v>
                </c:pt>
                <c:pt idx="137">
                  <c:v>227</c:v>
                </c:pt>
                <c:pt idx="138">
                  <c:v>228</c:v>
                </c:pt>
                <c:pt idx="139">
                  <c:v>229</c:v>
                </c:pt>
                <c:pt idx="140">
                  <c:v>230</c:v>
                </c:pt>
                <c:pt idx="141">
                  <c:v>231</c:v>
                </c:pt>
                <c:pt idx="142">
                  <c:v>232</c:v>
                </c:pt>
                <c:pt idx="143">
                  <c:v>233</c:v>
                </c:pt>
                <c:pt idx="144">
                  <c:v>234</c:v>
                </c:pt>
                <c:pt idx="145">
                  <c:v>235</c:v>
                </c:pt>
                <c:pt idx="146">
                  <c:v>236</c:v>
                </c:pt>
                <c:pt idx="147">
                  <c:v>237</c:v>
                </c:pt>
                <c:pt idx="148">
                  <c:v>238</c:v>
                </c:pt>
                <c:pt idx="149">
                  <c:v>239</c:v>
                </c:pt>
                <c:pt idx="150">
                  <c:v>240</c:v>
                </c:pt>
                <c:pt idx="151">
                  <c:v>241</c:v>
                </c:pt>
                <c:pt idx="152">
                  <c:v>242</c:v>
                </c:pt>
                <c:pt idx="153">
                  <c:v>243</c:v>
                </c:pt>
                <c:pt idx="154">
                  <c:v>244</c:v>
                </c:pt>
                <c:pt idx="155">
                  <c:v>245</c:v>
                </c:pt>
                <c:pt idx="156">
                  <c:v>246</c:v>
                </c:pt>
                <c:pt idx="157">
                  <c:v>247</c:v>
                </c:pt>
                <c:pt idx="158">
                  <c:v>248</c:v>
                </c:pt>
                <c:pt idx="159">
                  <c:v>249</c:v>
                </c:pt>
                <c:pt idx="160">
                  <c:v>250</c:v>
                </c:pt>
                <c:pt idx="161">
                  <c:v>251</c:v>
                </c:pt>
                <c:pt idx="162">
                  <c:v>252</c:v>
                </c:pt>
                <c:pt idx="163">
                  <c:v>253</c:v>
                </c:pt>
                <c:pt idx="164">
                  <c:v>254</c:v>
                </c:pt>
                <c:pt idx="165">
                  <c:v>255</c:v>
                </c:pt>
                <c:pt idx="166">
                  <c:v>256</c:v>
                </c:pt>
                <c:pt idx="167">
                  <c:v>257</c:v>
                </c:pt>
                <c:pt idx="168">
                  <c:v>258</c:v>
                </c:pt>
                <c:pt idx="169">
                  <c:v>259</c:v>
                </c:pt>
                <c:pt idx="170">
                  <c:v>260</c:v>
                </c:pt>
                <c:pt idx="171">
                  <c:v>261</c:v>
                </c:pt>
                <c:pt idx="172">
                  <c:v>262</c:v>
                </c:pt>
                <c:pt idx="173">
                  <c:v>263</c:v>
                </c:pt>
                <c:pt idx="174">
                  <c:v>264</c:v>
                </c:pt>
                <c:pt idx="175">
                  <c:v>265</c:v>
                </c:pt>
                <c:pt idx="176">
                  <c:v>266</c:v>
                </c:pt>
                <c:pt idx="177">
                  <c:v>267</c:v>
                </c:pt>
                <c:pt idx="178">
                  <c:v>268</c:v>
                </c:pt>
                <c:pt idx="179">
                  <c:v>269</c:v>
                </c:pt>
                <c:pt idx="180">
                  <c:v>270</c:v>
                </c:pt>
                <c:pt idx="181">
                  <c:v>271</c:v>
                </c:pt>
                <c:pt idx="182">
                  <c:v>272</c:v>
                </c:pt>
                <c:pt idx="183">
                  <c:v>273</c:v>
                </c:pt>
                <c:pt idx="184">
                  <c:v>274</c:v>
                </c:pt>
                <c:pt idx="185">
                  <c:v>275</c:v>
                </c:pt>
                <c:pt idx="186">
                  <c:v>276</c:v>
                </c:pt>
                <c:pt idx="187">
                  <c:v>277</c:v>
                </c:pt>
                <c:pt idx="188">
                  <c:v>278</c:v>
                </c:pt>
                <c:pt idx="189">
                  <c:v>279</c:v>
                </c:pt>
                <c:pt idx="190">
                  <c:v>280</c:v>
                </c:pt>
                <c:pt idx="191">
                  <c:v>282</c:v>
                </c:pt>
                <c:pt idx="192">
                  <c:v>284</c:v>
                </c:pt>
                <c:pt idx="193">
                  <c:v>286</c:v>
                </c:pt>
                <c:pt idx="194">
                  <c:v>288</c:v>
                </c:pt>
                <c:pt idx="195">
                  <c:v>290</c:v>
                </c:pt>
                <c:pt idx="196">
                  <c:v>292</c:v>
                </c:pt>
                <c:pt idx="197">
                  <c:v>294</c:v>
                </c:pt>
                <c:pt idx="198">
                  <c:v>296</c:v>
                </c:pt>
                <c:pt idx="199">
                  <c:v>298</c:v>
                </c:pt>
                <c:pt idx="200">
                  <c:v>300</c:v>
                </c:pt>
              </c:numCache>
            </c:numRef>
          </c:cat>
          <c:val>
            <c:numRef>
              <c:f>Matrix!$Q$11:$Q$210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0.125</c:v>
                </c:pt>
                <c:pt idx="59">
                  <c:v>0.125</c:v>
                </c:pt>
                <c:pt idx="60">
                  <c:v>0.125</c:v>
                </c:pt>
                <c:pt idx="61">
                  <c:v>0.125</c:v>
                </c:pt>
                <c:pt idx="62">
                  <c:v>0.125</c:v>
                </c:pt>
                <c:pt idx="63">
                  <c:v>0.125</c:v>
                </c:pt>
                <c:pt idx="64">
                  <c:v>0.125</c:v>
                </c:pt>
                <c:pt idx="65">
                  <c:v>0.125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0.625</c:v>
                </c:pt>
                <c:pt idx="88">
                  <c:v>0.625</c:v>
                </c:pt>
                <c:pt idx="89">
                  <c:v>0.625</c:v>
                </c:pt>
                <c:pt idx="90">
                  <c:v>0.625</c:v>
                </c:pt>
                <c:pt idx="91">
                  <c:v>0.625</c:v>
                </c:pt>
                <c:pt idx="92">
                  <c:v>0.625</c:v>
                </c:pt>
                <c:pt idx="93">
                  <c:v>0.625</c:v>
                </c:pt>
                <c:pt idx="94">
                  <c:v>0.875</c:v>
                </c:pt>
                <c:pt idx="95">
                  <c:v>0.25</c:v>
                </c:pt>
                <c:pt idx="96">
                  <c:v>0.25</c:v>
                </c:pt>
                <c:pt idx="97">
                  <c:v>0.25</c:v>
                </c:pt>
                <c:pt idx="98">
                  <c:v>0.25</c:v>
                </c:pt>
                <c:pt idx="99">
                  <c:v>0.25</c:v>
                </c:pt>
                <c:pt idx="100">
                  <c:v>0.25</c:v>
                </c:pt>
                <c:pt idx="101">
                  <c:v>0.25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6</c:v>
                </c:pt>
                <c:pt idx="106">
                  <c:v>6</c:v>
                </c:pt>
                <c:pt idx="107">
                  <c:v>6</c:v>
                </c:pt>
                <c:pt idx="108">
                  <c:v>6</c:v>
                </c:pt>
                <c:pt idx="109">
                  <c:v>6</c:v>
                </c:pt>
                <c:pt idx="110">
                  <c:v>6</c:v>
                </c:pt>
                <c:pt idx="111">
                  <c:v>6</c:v>
                </c:pt>
                <c:pt idx="112">
                  <c:v>6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08-4FEF-8A09-E8A1F7504550}"/>
            </c:ext>
          </c:extLst>
        </c:ser>
        <c:ser>
          <c:idx val="3"/>
          <c:order val="3"/>
          <c:tx>
            <c:strRef>
              <c:f>Matrix!$R$10</c:f>
              <c:strCache>
                <c:ptCount val="1"/>
                <c:pt idx="0">
                  <c:v>Nightcrawler (C)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Matrix!$B$11:$B$211</c:f>
              <c:numCache>
                <c:formatCode>General</c:formatCode>
                <c:ptCount val="201"/>
                <c:pt idx="0">
                  <c:v>83</c:v>
                </c:pt>
                <c:pt idx="1">
                  <c:v>85</c:v>
                </c:pt>
                <c:pt idx="2">
                  <c:v>87</c:v>
                </c:pt>
                <c:pt idx="3">
                  <c:v>89</c:v>
                </c:pt>
                <c:pt idx="4">
                  <c:v>91</c:v>
                </c:pt>
                <c:pt idx="5">
                  <c:v>93</c:v>
                </c:pt>
                <c:pt idx="6">
                  <c:v>95</c:v>
                </c:pt>
                <c:pt idx="7">
                  <c:v>97</c:v>
                </c:pt>
                <c:pt idx="8">
                  <c:v>98</c:v>
                </c:pt>
                <c:pt idx="9">
                  <c:v>99</c:v>
                </c:pt>
                <c:pt idx="10">
                  <c:v>100</c:v>
                </c:pt>
                <c:pt idx="11">
                  <c:v>101</c:v>
                </c:pt>
                <c:pt idx="12">
                  <c:v>102</c:v>
                </c:pt>
                <c:pt idx="13">
                  <c:v>103</c:v>
                </c:pt>
                <c:pt idx="14">
                  <c:v>104</c:v>
                </c:pt>
                <c:pt idx="15">
                  <c:v>105</c:v>
                </c:pt>
                <c:pt idx="16">
                  <c:v>106</c:v>
                </c:pt>
                <c:pt idx="17">
                  <c:v>107</c:v>
                </c:pt>
                <c:pt idx="18">
                  <c:v>108</c:v>
                </c:pt>
                <c:pt idx="19">
                  <c:v>109</c:v>
                </c:pt>
                <c:pt idx="20">
                  <c:v>110</c:v>
                </c:pt>
                <c:pt idx="21">
                  <c:v>111</c:v>
                </c:pt>
                <c:pt idx="22">
                  <c:v>112</c:v>
                </c:pt>
                <c:pt idx="23">
                  <c:v>113</c:v>
                </c:pt>
                <c:pt idx="24">
                  <c:v>114</c:v>
                </c:pt>
                <c:pt idx="25">
                  <c:v>115</c:v>
                </c:pt>
                <c:pt idx="26">
                  <c:v>116</c:v>
                </c:pt>
                <c:pt idx="27">
                  <c:v>117</c:v>
                </c:pt>
                <c:pt idx="28">
                  <c:v>118</c:v>
                </c:pt>
                <c:pt idx="29">
                  <c:v>119</c:v>
                </c:pt>
                <c:pt idx="30">
                  <c:v>120</c:v>
                </c:pt>
                <c:pt idx="31">
                  <c:v>121</c:v>
                </c:pt>
                <c:pt idx="32">
                  <c:v>122</c:v>
                </c:pt>
                <c:pt idx="33">
                  <c:v>123</c:v>
                </c:pt>
                <c:pt idx="34">
                  <c:v>124</c:v>
                </c:pt>
                <c:pt idx="35">
                  <c:v>125</c:v>
                </c:pt>
                <c:pt idx="36">
                  <c:v>126</c:v>
                </c:pt>
                <c:pt idx="37">
                  <c:v>127</c:v>
                </c:pt>
                <c:pt idx="38">
                  <c:v>128</c:v>
                </c:pt>
                <c:pt idx="39">
                  <c:v>129</c:v>
                </c:pt>
                <c:pt idx="40">
                  <c:v>130</c:v>
                </c:pt>
                <c:pt idx="41">
                  <c:v>131</c:v>
                </c:pt>
                <c:pt idx="42">
                  <c:v>132</c:v>
                </c:pt>
                <c:pt idx="43">
                  <c:v>133</c:v>
                </c:pt>
                <c:pt idx="44">
                  <c:v>134</c:v>
                </c:pt>
                <c:pt idx="45">
                  <c:v>135</c:v>
                </c:pt>
                <c:pt idx="46">
                  <c:v>136</c:v>
                </c:pt>
                <c:pt idx="47">
                  <c:v>137</c:v>
                </c:pt>
                <c:pt idx="48">
                  <c:v>138</c:v>
                </c:pt>
                <c:pt idx="49">
                  <c:v>139</c:v>
                </c:pt>
                <c:pt idx="50">
                  <c:v>140</c:v>
                </c:pt>
                <c:pt idx="51">
                  <c:v>141</c:v>
                </c:pt>
                <c:pt idx="52">
                  <c:v>142</c:v>
                </c:pt>
                <c:pt idx="53">
                  <c:v>143</c:v>
                </c:pt>
                <c:pt idx="54">
                  <c:v>144</c:v>
                </c:pt>
                <c:pt idx="55">
                  <c:v>145</c:v>
                </c:pt>
                <c:pt idx="56">
                  <c:v>146</c:v>
                </c:pt>
                <c:pt idx="57">
                  <c:v>147</c:v>
                </c:pt>
                <c:pt idx="58">
                  <c:v>148</c:v>
                </c:pt>
                <c:pt idx="59">
                  <c:v>149</c:v>
                </c:pt>
                <c:pt idx="60">
                  <c:v>150</c:v>
                </c:pt>
                <c:pt idx="61">
                  <c:v>151</c:v>
                </c:pt>
                <c:pt idx="62">
                  <c:v>152</c:v>
                </c:pt>
                <c:pt idx="63">
                  <c:v>153</c:v>
                </c:pt>
                <c:pt idx="64">
                  <c:v>154</c:v>
                </c:pt>
                <c:pt idx="65">
                  <c:v>155</c:v>
                </c:pt>
                <c:pt idx="66">
                  <c:v>156</c:v>
                </c:pt>
                <c:pt idx="67">
                  <c:v>157</c:v>
                </c:pt>
                <c:pt idx="68">
                  <c:v>158</c:v>
                </c:pt>
                <c:pt idx="69">
                  <c:v>159</c:v>
                </c:pt>
                <c:pt idx="70">
                  <c:v>160</c:v>
                </c:pt>
                <c:pt idx="71">
                  <c:v>161</c:v>
                </c:pt>
                <c:pt idx="72">
                  <c:v>162</c:v>
                </c:pt>
                <c:pt idx="73">
                  <c:v>163</c:v>
                </c:pt>
                <c:pt idx="74">
                  <c:v>164</c:v>
                </c:pt>
                <c:pt idx="75">
                  <c:v>165</c:v>
                </c:pt>
                <c:pt idx="76">
                  <c:v>166</c:v>
                </c:pt>
                <c:pt idx="77">
                  <c:v>167</c:v>
                </c:pt>
                <c:pt idx="78">
                  <c:v>168</c:v>
                </c:pt>
                <c:pt idx="79">
                  <c:v>169</c:v>
                </c:pt>
                <c:pt idx="80">
                  <c:v>170</c:v>
                </c:pt>
                <c:pt idx="81">
                  <c:v>171</c:v>
                </c:pt>
                <c:pt idx="82">
                  <c:v>172</c:v>
                </c:pt>
                <c:pt idx="83">
                  <c:v>173</c:v>
                </c:pt>
                <c:pt idx="84">
                  <c:v>174</c:v>
                </c:pt>
                <c:pt idx="85">
                  <c:v>175</c:v>
                </c:pt>
                <c:pt idx="86">
                  <c:v>176</c:v>
                </c:pt>
                <c:pt idx="87">
                  <c:v>177</c:v>
                </c:pt>
                <c:pt idx="88">
                  <c:v>178</c:v>
                </c:pt>
                <c:pt idx="89">
                  <c:v>179</c:v>
                </c:pt>
                <c:pt idx="90">
                  <c:v>180</c:v>
                </c:pt>
                <c:pt idx="91">
                  <c:v>181</c:v>
                </c:pt>
                <c:pt idx="92">
                  <c:v>182</c:v>
                </c:pt>
                <c:pt idx="93">
                  <c:v>183</c:v>
                </c:pt>
                <c:pt idx="94">
                  <c:v>184</c:v>
                </c:pt>
                <c:pt idx="95">
                  <c:v>185</c:v>
                </c:pt>
                <c:pt idx="96">
                  <c:v>186</c:v>
                </c:pt>
                <c:pt idx="97">
                  <c:v>187</c:v>
                </c:pt>
                <c:pt idx="98">
                  <c:v>188</c:v>
                </c:pt>
                <c:pt idx="99">
                  <c:v>189</c:v>
                </c:pt>
                <c:pt idx="100">
                  <c:v>190</c:v>
                </c:pt>
                <c:pt idx="101">
                  <c:v>191</c:v>
                </c:pt>
                <c:pt idx="102">
                  <c:v>192</c:v>
                </c:pt>
                <c:pt idx="103">
                  <c:v>193</c:v>
                </c:pt>
                <c:pt idx="104">
                  <c:v>194</c:v>
                </c:pt>
                <c:pt idx="105">
                  <c:v>195</c:v>
                </c:pt>
                <c:pt idx="106">
                  <c:v>196</c:v>
                </c:pt>
                <c:pt idx="107">
                  <c:v>197</c:v>
                </c:pt>
                <c:pt idx="108">
                  <c:v>198</c:v>
                </c:pt>
                <c:pt idx="109">
                  <c:v>199</c:v>
                </c:pt>
                <c:pt idx="110">
                  <c:v>200</c:v>
                </c:pt>
                <c:pt idx="111">
                  <c:v>201</c:v>
                </c:pt>
                <c:pt idx="112">
                  <c:v>202</c:v>
                </c:pt>
                <c:pt idx="113">
                  <c:v>203</c:v>
                </c:pt>
                <c:pt idx="114">
                  <c:v>204</c:v>
                </c:pt>
                <c:pt idx="115">
                  <c:v>205</c:v>
                </c:pt>
                <c:pt idx="116">
                  <c:v>206</c:v>
                </c:pt>
                <c:pt idx="117">
                  <c:v>207</c:v>
                </c:pt>
                <c:pt idx="118">
                  <c:v>208</c:v>
                </c:pt>
                <c:pt idx="119">
                  <c:v>209</c:v>
                </c:pt>
                <c:pt idx="120">
                  <c:v>210</c:v>
                </c:pt>
                <c:pt idx="121">
                  <c:v>211</c:v>
                </c:pt>
                <c:pt idx="122">
                  <c:v>212</c:v>
                </c:pt>
                <c:pt idx="123">
                  <c:v>213</c:v>
                </c:pt>
                <c:pt idx="124">
                  <c:v>214</c:v>
                </c:pt>
                <c:pt idx="125">
                  <c:v>215</c:v>
                </c:pt>
                <c:pt idx="126">
                  <c:v>216</c:v>
                </c:pt>
                <c:pt idx="127">
                  <c:v>217</c:v>
                </c:pt>
                <c:pt idx="128">
                  <c:v>218</c:v>
                </c:pt>
                <c:pt idx="129">
                  <c:v>219</c:v>
                </c:pt>
                <c:pt idx="130">
                  <c:v>220</c:v>
                </c:pt>
                <c:pt idx="131">
                  <c:v>221</c:v>
                </c:pt>
                <c:pt idx="132">
                  <c:v>222</c:v>
                </c:pt>
                <c:pt idx="133">
                  <c:v>223</c:v>
                </c:pt>
                <c:pt idx="134">
                  <c:v>224</c:v>
                </c:pt>
                <c:pt idx="135">
                  <c:v>225</c:v>
                </c:pt>
                <c:pt idx="136">
                  <c:v>226</c:v>
                </c:pt>
                <c:pt idx="137">
                  <c:v>227</c:v>
                </c:pt>
                <c:pt idx="138">
                  <c:v>228</c:v>
                </c:pt>
                <c:pt idx="139">
                  <c:v>229</c:v>
                </c:pt>
                <c:pt idx="140">
                  <c:v>230</c:v>
                </c:pt>
                <c:pt idx="141">
                  <c:v>231</c:v>
                </c:pt>
                <c:pt idx="142">
                  <c:v>232</c:v>
                </c:pt>
                <c:pt idx="143">
                  <c:v>233</c:v>
                </c:pt>
                <c:pt idx="144">
                  <c:v>234</c:v>
                </c:pt>
                <c:pt idx="145">
                  <c:v>235</c:v>
                </c:pt>
                <c:pt idx="146">
                  <c:v>236</c:v>
                </c:pt>
                <c:pt idx="147">
                  <c:v>237</c:v>
                </c:pt>
                <c:pt idx="148">
                  <c:v>238</c:v>
                </c:pt>
                <c:pt idx="149">
                  <c:v>239</c:v>
                </c:pt>
                <c:pt idx="150">
                  <c:v>240</c:v>
                </c:pt>
                <c:pt idx="151">
                  <c:v>241</c:v>
                </c:pt>
                <c:pt idx="152">
                  <c:v>242</c:v>
                </c:pt>
                <c:pt idx="153">
                  <c:v>243</c:v>
                </c:pt>
                <c:pt idx="154">
                  <c:v>244</c:v>
                </c:pt>
                <c:pt idx="155">
                  <c:v>245</c:v>
                </c:pt>
                <c:pt idx="156">
                  <c:v>246</c:v>
                </c:pt>
                <c:pt idx="157">
                  <c:v>247</c:v>
                </c:pt>
                <c:pt idx="158">
                  <c:v>248</c:v>
                </c:pt>
                <c:pt idx="159">
                  <c:v>249</c:v>
                </c:pt>
                <c:pt idx="160">
                  <c:v>250</c:v>
                </c:pt>
                <c:pt idx="161">
                  <c:v>251</c:v>
                </c:pt>
                <c:pt idx="162">
                  <c:v>252</c:v>
                </c:pt>
                <c:pt idx="163">
                  <c:v>253</c:v>
                </c:pt>
                <c:pt idx="164">
                  <c:v>254</c:v>
                </c:pt>
                <c:pt idx="165">
                  <c:v>255</c:v>
                </c:pt>
                <c:pt idx="166">
                  <c:v>256</c:v>
                </c:pt>
                <c:pt idx="167">
                  <c:v>257</c:v>
                </c:pt>
                <c:pt idx="168">
                  <c:v>258</c:v>
                </c:pt>
                <c:pt idx="169">
                  <c:v>259</c:v>
                </c:pt>
                <c:pt idx="170">
                  <c:v>260</c:v>
                </c:pt>
                <c:pt idx="171">
                  <c:v>261</c:v>
                </c:pt>
                <c:pt idx="172">
                  <c:v>262</c:v>
                </c:pt>
                <c:pt idx="173">
                  <c:v>263</c:v>
                </c:pt>
                <c:pt idx="174">
                  <c:v>264</c:v>
                </c:pt>
                <c:pt idx="175">
                  <c:v>265</c:v>
                </c:pt>
                <c:pt idx="176">
                  <c:v>266</c:v>
                </c:pt>
                <c:pt idx="177">
                  <c:v>267</c:v>
                </c:pt>
                <c:pt idx="178">
                  <c:v>268</c:v>
                </c:pt>
                <c:pt idx="179">
                  <c:v>269</c:v>
                </c:pt>
                <c:pt idx="180">
                  <c:v>270</c:v>
                </c:pt>
                <c:pt idx="181">
                  <c:v>271</c:v>
                </c:pt>
                <c:pt idx="182">
                  <c:v>272</c:v>
                </c:pt>
                <c:pt idx="183">
                  <c:v>273</c:v>
                </c:pt>
                <c:pt idx="184">
                  <c:v>274</c:v>
                </c:pt>
                <c:pt idx="185">
                  <c:v>275</c:v>
                </c:pt>
                <c:pt idx="186">
                  <c:v>276</c:v>
                </c:pt>
                <c:pt idx="187">
                  <c:v>277</c:v>
                </c:pt>
                <c:pt idx="188">
                  <c:v>278</c:v>
                </c:pt>
                <c:pt idx="189">
                  <c:v>279</c:v>
                </c:pt>
                <c:pt idx="190">
                  <c:v>280</c:v>
                </c:pt>
                <c:pt idx="191">
                  <c:v>282</c:v>
                </c:pt>
                <c:pt idx="192">
                  <c:v>284</c:v>
                </c:pt>
                <c:pt idx="193">
                  <c:v>286</c:v>
                </c:pt>
                <c:pt idx="194">
                  <c:v>288</c:v>
                </c:pt>
                <c:pt idx="195">
                  <c:v>290</c:v>
                </c:pt>
                <c:pt idx="196">
                  <c:v>292</c:v>
                </c:pt>
                <c:pt idx="197">
                  <c:v>294</c:v>
                </c:pt>
                <c:pt idx="198">
                  <c:v>296</c:v>
                </c:pt>
                <c:pt idx="199">
                  <c:v>298</c:v>
                </c:pt>
                <c:pt idx="200">
                  <c:v>300</c:v>
                </c:pt>
              </c:numCache>
            </c:numRef>
          </c:cat>
          <c:val>
            <c:numRef>
              <c:f>Matrix!$R$11:$R$210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0.125</c:v>
                </c:pt>
                <c:pt idx="100">
                  <c:v>0.25</c:v>
                </c:pt>
                <c:pt idx="101">
                  <c:v>0.25</c:v>
                </c:pt>
                <c:pt idx="102">
                  <c:v>0.25</c:v>
                </c:pt>
                <c:pt idx="103">
                  <c:v>0.25</c:v>
                </c:pt>
                <c:pt idx="104">
                  <c:v>0.25</c:v>
                </c:pt>
                <c:pt idx="105">
                  <c:v>0.25</c:v>
                </c:pt>
                <c:pt idx="106">
                  <c:v>0.25</c:v>
                </c:pt>
                <c:pt idx="107">
                  <c:v>0.125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E08-4FEF-8A09-E8A1F7504550}"/>
            </c:ext>
          </c:extLst>
        </c:ser>
        <c:ser>
          <c:idx val="4"/>
          <c:order val="4"/>
          <c:tx>
            <c:strRef>
              <c:f>Matrix!$S$10</c:f>
              <c:strCache>
                <c:ptCount val="1"/>
                <c:pt idx="0">
                  <c:v>Nightcrawler (N)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Matrix!$B$11:$B$211</c:f>
              <c:numCache>
                <c:formatCode>General</c:formatCode>
                <c:ptCount val="201"/>
                <c:pt idx="0">
                  <c:v>83</c:v>
                </c:pt>
                <c:pt idx="1">
                  <c:v>85</c:v>
                </c:pt>
                <c:pt idx="2">
                  <c:v>87</c:v>
                </c:pt>
                <c:pt idx="3">
                  <c:v>89</c:v>
                </c:pt>
                <c:pt idx="4">
                  <c:v>91</c:v>
                </c:pt>
                <c:pt idx="5">
                  <c:v>93</c:v>
                </c:pt>
                <c:pt idx="6">
                  <c:v>95</c:v>
                </c:pt>
                <c:pt idx="7">
                  <c:v>97</c:v>
                </c:pt>
                <c:pt idx="8">
                  <c:v>98</c:v>
                </c:pt>
                <c:pt idx="9">
                  <c:v>99</c:v>
                </c:pt>
                <c:pt idx="10">
                  <c:v>100</c:v>
                </c:pt>
                <c:pt idx="11">
                  <c:v>101</c:v>
                </c:pt>
                <c:pt idx="12">
                  <c:v>102</c:v>
                </c:pt>
                <c:pt idx="13">
                  <c:v>103</c:v>
                </c:pt>
                <c:pt idx="14">
                  <c:v>104</c:v>
                </c:pt>
                <c:pt idx="15">
                  <c:v>105</c:v>
                </c:pt>
                <c:pt idx="16">
                  <c:v>106</c:v>
                </c:pt>
                <c:pt idx="17">
                  <c:v>107</c:v>
                </c:pt>
                <c:pt idx="18">
                  <c:v>108</c:v>
                </c:pt>
                <c:pt idx="19">
                  <c:v>109</c:v>
                </c:pt>
                <c:pt idx="20">
                  <c:v>110</c:v>
                </c:pt>
                <c:pt idx="21">
                  <c:v>111</c:v>
                </c:pt>
                <c:pt idx="22">
                  <c:v>112</c:v>
                </c:pt>
                <c:pt idx="23">
                  <c:v>113</c:v>
                </c:pt>
                <c:pt idx="24">
                  <c:v>114</c:v>
                </c:pt>
                <c:pt idx="25">
                  <c:v>115</c:v>
                </c:pt>
                <c:pt idx="26">
                  <c:v>116</c:v>
                </c:pt>
                <c:pt idx="27">
                  <c:v>117</c:v>
                </c:pt>
                <c:pt idx="28">
                  <c:v>118</c:v>
                </c:pt>
                <c:pt idx="29">
                  <c:v>119</c:v>
                </c:pt>
                <c:pt idx="30">
                  <c:v>120</c:v>
                </c:pt>
                <c:pt idx="31">
                  <c:v>121</c:v>
                </c:pt>
                <c:pt idx="32">
                  <c:v>122</c:v>
                </c:pt>
                <c:pt idx="33">
                  <c:v>123</c:v>
                </c:pt>
                <c:pt idx="34">
                  <c:v>124</c:v>
                </c:pt>
                <c:pt idx="35">
                  <c:v>125</c:v>
                </c:pt>
                <c:pt idx="36">
                  <c:v>126</c:v>
                </c:pt>
                <c:pt idx="37">
                  <c:v>127</c:v>
                </c:pt>
                <c:pt idx="38">
                  <c:v>128</c:v>
                </c:pt>
                <c:pt idx="39">
                  <c:v>129</c:v>
                </c:pt>
                <c:pt idx="40">
                  <c:v>130</c:v>
                </c:pt>
                <c:pt idx="41">
                  <c:v>131</c:v>
                </c:pt>
                <c:pt idx="42">
                  <c:v>132</c:v>
                </c:pt>
                <c:pt idx="43">
                  <c:v>133</c:v>
                </c:pt>
                <c:pt idx="44">
                  <c:v>134</c:v>
                </c:pt>
                <c:pt idx="45">
                  <c:v>135</c:v>
                </c:pt>
                <c:pt idx="46">
                  <c:v>136</c:v>
                </c:pt>
                <c:pt idx="47">
                  <c:v>137</c:v>
                </c:pt>
                <c:pt idx="48">
                  <c:v>138</c:v>
                </c:pt>
                <c:pt idx="49">
                  <c:v>139</c:v>
                </c:pt>
                <c:pt idx="50">
                  <c:v>140</c:v>
                </c:pt>
                <c:pt idx="51">
                  <c:v>141</c:v>
                </c:pt>
                <c:pt idx="52">
                  <c:v>142</c:v>
                </c:pt>
                <c:pt idx="53">
                  <c:v>143</c:v>
                </c:pt>
                <c:pt idx="54">
                  <c:v>144</c:v>
                </c:pt>
                <c:pt idx="55">
                  <c:v>145</c:v>
                </c:pt>
                <c:pt idx="56">
                  <c:v>146</c:v>
                </c:pt>
                <c:pt idx="57">
                  <c:v>147</c:v>
                </c:pt>
                <c:pt idx="58">
                  <c:v>148</c:v>
                </c:pt>
                <c:pt idx="59">
                  <c:v>149</c:v>
                </c:pt>
                <c:pt idx="60">
                  <c:v>150</c:v>
                </c:pt>
                <c:pt idx="61">
                  <c:v>151</c:v>
                </c:pt>
                <c:pt idx="62">
                  <c:v>152</c:v>
                </c:pt>
                <c:pt idx="63">
                  <c:v>153</c:v>
                </c:pt>
                <c:pt idx="64">
                  <c:v>154</c:v>
                </c:pt>
                <c:pt idx="65">
                  <c:v>155</c:v>
                </c:pt>
                <c:pt idx="66">
                  <c:v>156</c:v>
                </c:pt>
                <c:pt idx="67">
                  <c:v>157</c:v>
                </c:pt>
                <c:pt idx="68">
                  <c:v>158</c:v>
                </c:pt>
                <c:pt idx="69">
                  <c:v>159</c:v>
                </c:pt>
                <c:pt idx="70">
                  <c:v>160</c:v>
                </c:pt>
                <c:pt idx="71">
                  <c:v>161</c:v>
                </c:pt>
                <c:pt idx="72">
                  <c:v>162</c:v>
                </c:pt>
                <c:pt idx="73">
                  <c:v>163</c:v>
                </c:pt>
                <c:pt idx="74">
                  <c:v>164</c:v>
                </c:pt>
                <c:pt idx="75">
                  <c:v>165</c:v>
                </c:pt>
                <c:pt idx="76">
                  <c:v>166</c:v>
                </c:pt>
                <c:pt idx="77">
                  <c:v>167</c:v>
                </c:pt>
                <c:pt idx="78">
                  <c:v>168</c:v>
                </c:pt>
                <c:pt idx="79">
                  <c:v>169</c:v>
                </c:pt>
                <c:pt idx="80">
                  <c:v>170</c:v>
                </c:pt>
                <c:pt idx="81">
                  <c:v>171</c:v>
                </c:pt>
                <c:pt idx="82">
                  <c:v>172</c:v>
                </c:pt>
                <c:pt idx="83">
                  <c:v>173</c:v>
                </c:pt>
                <c:pt idx="84">
                  <c:v>174</c:v>
                </c:pt>
                <c:pt idx="85">
                  <c:v>175</c:v>
                </c:pt>
                <c:pt idx="86">
                  <c:v>176</c:v>
                </c:pt>
                <c:pt idx="87">
                  <c:v>177</c:v>
                </c:pt>
                <c:pt idx="88">
                  <c:v>178</c:v>
                </c:pt>
                <c:pt idx="89">
                  <c:v>179</c:v>
                </c:pt>
                <c:pt idx="90">
                  <c:v>180</c:v>
                </c:pt>
                <c:pt idx="91">
                  <c:v>181</c:v>
                </c:pt>
                <c:pt idx="92">
                  <c:v>182</c:v>
                </c:pt>
                <c:pt idx="93">
                  <c:v>183</c:v>
                </c:pt>
                <c:pt idx="94">
                  <c:v>184</c:v>
                </c:pt>
                <c:pt idx="95">
                  <c:v>185</c:v>
                </c:pt>
                <c:pt idx="96">
                  <c:v>186</c:v>
                </c:pt>
                <c:pt idx="97">
                  <c:v>187</c:v>
                </c:pt>
                <c:pt idx="98">
                  <c:v>188</c:v>
                </c:pt>
                <c:pt idx="99">
                  <c:v>189</c:v>
                </c:pt>
                <c:pt idx="100">
                  <c:v>190</c:v>
                </c:pt>
                <c:pt idx="101">
                  <c:v>191</c:v>
                </c:pt>
                <c:pt idx="102">
                  <c:v>192</c:v>
                </c:pt>
                <c:pt idx="103">
                  <c:v>193</c:v>
                </c:pt>
                <c:pt idx="104">
                  <c:v>194</c:v>
                </c:pt>
                <c:pt idx="105">
                  <c:v>195</c:v>
                </c:pt>
                <c:pt idx="106">
                  <c:v>196</c:v>
                </c:pt>
                <c:pt idx="107">
                  <c:v>197</c:v>
                </c:pt>
                <c:pt idx="108">
                  <c:v>198</c:v>
                </c:pt>
                <c:pt idx="109">
                  <c:v>199</c:v>
                </c:pt>
                <c:pt idx="110">
                  <c:v>200</c:v>
                </c:pt>
                <c:pt idx="111">
                  <c:v>201</c:v>
                </c:pt>
                <c:pt idx="112">
                  <c:v>202</c:v>
                </c:pt>
                <c:pt idx="113">
                  <c:v>203</c:v>
                </c:pt>
                <c:pt idx="114">
                  <c:v>204</c:v>
                </c:pt>
                <c:pt idx="115">
                  <c:v>205</c:v>
                </c:pt>
                <c:pt idx="116">
                  <c:v>206</c:v>
                </c:pt>
                <c:pt idx="117">
                  <c:v>207</c:v>
                </c:pt>
                <c:pt idx="118">
                  <c:v>208</c:v>
                </c:pt>
                <c:pt idx="119">
                  <c:v>209</c:v>
                </c:pt>
                <c:pt idx="120">
                  <c:v>210</c:v>
                </c:pt>
                <c:pt idx="121">
                  <c:v>211</c:v>
                </c:pt>
                <c:pt idx="122">
                  <c:v>212</c:v>
                </c:pt>
                <c:pt idx="123">
                  <c:v>213</c:v>
                </c:pt>
                <c:pt idx="124">
                  <c:v>214</c:v>
                </c:pt>
                <c:pt idx="125">
                  <c:v>215</c:v>
                </c:pt>
                <c:pt idx="126">
                  <c:v>216</c:v>
                </c:pt>
                <c:pt idx="127">
                  <c:v>217</c:v>
                </c:pt>
                <c:pt idx="128">
                  <c:v>218</c:v>
                </c:pt>
                <c:pt idx="129">
                  <c:v>219</c:v>
                </c:pt>
                <c:pt idx="130">
                  <c:v>220</c:v>
                </c:pt>
                <c:pt idx="131">
                  <c:v>221</c:v>
                </c:pt>
                <c:pt idx="132">
                  <c:v>222</c:v>
                </c:pt>
                <c:pt idx="133">
                  <c:v>223</c:v>
                </c:pt>
                <c:pt idx="134">
                  <c:v>224</c:v>
                </c:pt>
                <c:pt idx="135">
                  <c:v>225</c:v>
                </c:pt>
                <c:pt idx="136">
                  <c:v>226</c:v>
                </c:pt>
                <c:pt idx="137">
                  <c:v>227</c:v>
                </c:pt>
                <c:pt idx="138">
                  <c:v>228</c:v>
                </c:pt>
                <c:pt idx="139">
                  <c:v>229</c:v>
                </c:pt>
                <c:pt idx="140">
                  <c:v>230</c:v>
                </c:pt>
                <c:pt idx="141">
                  <c:v>231</c:v>
                </c:pt>
                <c:pt idx="142">
                  <c:v>232</c:v>
                </c:pt>
                <c:pt idx="143">
                  <c:v>233</c:v>
                </c:pt>
                <c:pt idx="144">
                  <c:v>234</c:v>
                </c:pt>
                <c:pt idx="145">
                  <c:v>235</c:v>
                </c:pt>
                <c:pt idx="146">
                  <c:v>236</c:v>
                </c:pt>
                <c:pt idx="147">
                  <c:v>237</c:v>
                </c:pt>
                <c:pt idx="148">
                  <c:v>238</c:v>
                </c:pt>
                <c:pt idx="149">
                  <c:v>239</c:v>
                </c:pt>
                <c:pt idx="150">
                  <c:v>240</c:v>
                </c:pt>
                <c:pt idx="151">
                  <c:v>241</c:v>
                </c:pt>
                <c:pt idx="152">
                  <c:v>242</c:v>
                </c:pt>
                <c:pt idx="153">
                  <c:v>243</c:v>
                </c:pt>
                <c:pt idx="154">
                  <c:v>244</c:v>
                </c:pt>
                <c:pt idx="155">
                  <c:v>245</c:v>
                </c:pt>
                <c:pt idx="156">
                  <c:v>246</c:v>
                </c:pt>
                <c:pt idx="157">
                  <c:v>247</c:v>
                </c:pt>
                <c:pt idx="158">
                  <c:v>248</c:v>
                </c:pt>
                <c:pt idx="159">
                  <c:v>249</c:v>
                </c:pt>
                <c:pt idx="160">
                  <c:v>250</c:v>
                </c:pt>
                <c:pt idx="161">
                  <c:v>251</c:v>
                </c:pt>
                <c:pt idx="162">
                  <c:v>252</c:v>
                </c:pt>
                <c:pt idx="163">
                  <c:v>253</c:v>
                </c:pt>
                <c:pt idx="164">
                  <c:v>254</c:v>
                </c:pt>
                <c:pt idx="165">
                  <c:v>255</c:v>
                </c:pt>
                <c:pt idx="166">
                  <c:v>256</c:v>
                </c:pt>
                <c:pt idx="167">
                  <c:v>257</c:v>
                </c:pt>
                <c:pt idx="168">
                  <c:v>258</c:v>
                </c:pt>
                <c:pt idx="169">
                  <c:v>259</c:v>
                </c:pt>
                <c:pt idx="170">
                  <c:v>260</c:v>
                </c:pt>
                <c:pt idx="171">
                  <c:v>261</c:v>
                </c:pt>
                <c:pt idx="172">
                  <c:v>262</c:v>
                </c:pt>
                <c:pt idx="173">
                  <c:v>263</c:v>
                </c:pt>
                <c:pt idx="174">
                  <c:v>264</c:v>
                </c:pt>
                <c:pt idx="175">
                  <c:v>265</c:v>
                </c:pt>
                <c:pt idx="176">
                  <c:v>266</c:v>
                </c:pt>
                <c:pt idx="177">
                  <c:v>267</c:v>
                </c:pt>
                <c:pt idx="178">
                  <c:v>268</c:v>
                </c:pt>
                <c:pt idx="179">
                  <c:v>269</c:v>
                </c:pt>
                <c:pt idx="180">
                  <c:v>270</c:v>
                </c:pt>
                <c:pt idx="181">
                  <c:v>271</c:v>
                </c:pt>
                <c:pt idx="182">
                  <c:v>272</c:v>
                </c:pt>
                <c:pt idx="183">
                  <c:v>273</c:v>
                </c:pt>
                <c:pt idx="184">
                  <c:v>274</c:v>
                </c:pt>
                <c:pt idx="185">
                  <c:v>275</c:v>
                </c:pt>
                <c:pt idx="186">
                  <c:v>276</c:v>
                </c:pt>
                <c:pt idx="187">
                  <c:v>277</c:v>
                </c:pt>
                <c:pt idx="188">
                  <c:v>278</c:v>
                </c:pt>
                <c:pt idx="189">
                  <c:v>279</c:v>
                </c:pt>
                <c:pt idx="190">
                  <c:v>280</c:v>
                </c:pt>
                <c:pt idx="191">
                  <c:v>282</c:v>
                </c:pt>
                <c:pt idx="192">
                  <c:v>284</c:v>
                </c:pt>
                <c:pt idx="193">
                  <c:v>286</c:v>
                </c:pt>
                <c:pt idx="194">
                  <c:v>288</c:v>
                </c:pt>
                <c:pt idx="195">
                  <c:v>290</c:v>
                </c:pt>
                <c:pt idx="196">
                  <c:v>292</c:v>
                </c:pt>
                <c:pt idx="197">
                  <c:v>294</c:v>
                </c:pt>
                <c:pt idx="198">
                  <c:v>296</c:v>
                </c:pt>
                <c:pt idx="199">
                  <c:v>298</c:v>
                </c:pt>
                <c:pt idx="200">
                  <c:v>300</c:v>
                </c:pt>
              </c:numCache>
            </c:numRef>
          </c:cat>
          <c:val>
            <c:numRef>
              <c:f>Matrix!$S$11:$S$210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0.375</c:v>
                </c:pt>
                <c:pt idx="82">
                  <c:v>0.375</c:v>
                </c:pt>
                <c:pt idx="83">
                  <c:v>0.375</c:v>
                </c:pt>
                <c:pt idx="84">
                  <c:v>0.375</c:v>
                </c:pt>
                <c:pt idx="85">
                  <c:v>0.375</c:v>
                </c:pt>
                <c:pt idx="86">
                  <c:v>0.375</c:v>
                </c:pt>
                <c:pt idx="87">
                  <c:v>0.375</c:v>
                </c:pt>
                <c:pt idx="88">
                  <c:v>0.375</c:v>
                </c:pt>
                <c:pt idx="89">
                  <c:v>0</c:v>
                </c:pt>
                <c:pt idx="90">
                  <c:v>0.125</c:v>
                </c:pt>
                <c:pt idx="91">
                  <c:v>0.125</c:v>
                </c:pt>
                <c:pt idx="92">
                  <c:v>0.125</c:v>
                </c:pt>
                <c:pt idx="93">
                  <c:v>0.125</c:v>
                </c:pt>
                <c:pt idx="94">
                  <c:v>0.125</c:v>
                </c:pt>
                <c:pt idx="95">
                  <c:v>0.125</c:v>
                </c:pt>
                <c:pt idx="96">
                  <c:v>0.125</c:v>
                </c:pt>
                <c:pt idx="97">
                  <c:v>0.125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E08-4FEF-8A09-E8A1F7504550}"/>
            </c:ext>
          </c:extLst>
        </c:ser>
        <c:ser>
          <c:idx val="5"/>
          <c:order val="5"/>
          <c:tx>
            <c:strRef>
              <c:f>Matrix!$T$10</c:f>
              <c:strCache>
                <c:ptCount val="1"/>
                <c:pt idx="0">
                  <c:v>Gambit (C)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numRef>
              <c:f>Matrix!$B$11:$B$211</c:f>
              <c:numCache>
                <c:formatCode>General</c:formatCode>
                <c:ptCount val="201"/>
                <c:pt idx="0">
                  <c:v>83</c:v>
                </c:pt>
                <c:pt idx="1">
                  <c:v>85</c:v>
                </c:pt>
                <c:pt idx="2">
                  <c:v>87</c:v>
                </c:pt>
                <c:pt idx="3">
                  <c:v>89</c:v>
                </c:pt>
                <c:pt idx="4">
                  <c:v>91</c:v>
                </c:pt>
                <c:pt idx="5">
                  <c:v>93</c:v>
                </c:pt>
                <c:pt idx="6">
                  <c:v>95</c:v>
                </c:pt>
                <c:pt idx="7">
                  <c:v>97</c:v>
                </c:pt>
                <c:pt idx="8">
                  <c:v>98</c:v>
                </c:pt>
                <c:pt idx="9">
                  <c:v>99</c:v>
                </c:pt>
                <c:pt idx="10">
                  <c:v>100</c:v>
                </c:pt>
                <c:pt idx="11">
                  <c:v>101</c:v>
                </c:pt>
                <c:pt idx="12">
                  <c:v>102</c:v>
                </c:pt>
                <c:pt idx="13">
                  <c:v>103</c:v>
                </c:pt>
                <c:pt idx="14">
                  <c:v>104</c:v>
                </c:pt>
                <c:pt idx="15">
                  <c:v>105</c:v>
                </c:pt>
                <c:pt idx="16">
                  <c:v>106</c:v>
                </c:pt>
                <c:pt idx="17">
                  <c:v>107</c:v>
                </c:pt>
                <c:pt idx="18">
                  <c:v>108</c:v>
                </c:pt>
                <c:pt idx="19">
                  <c:v>109</c:v>
                </c:pt>
                <c:pt idx="20">
                  <c:v>110</c:v>
                </c:pt>
                <c:pt idx="21">
                  <c:v>111</c:v>
                </c:pt>
                <c:pt idx="22">
                  <c:v>112</c:v>
                </c:pt>
                <c:pt idx="23">
                  <c:v>113</c:v>
                </c:pt>
                <c:pt idx="24">
                  <c:v>114</c:v>
                </c:pt>
                <c:pt idx="25">
                  <c:v>115</c:v>
                </c:pt>
                <c:pt idx="26">
                  <c:v>116</c:v>
                </c:pt>
                <c:pt idx="27">
                  <c:v>117</c:v>
                </c:pt>
                <c:pt idx="28">
                  <c:v>118</c:v>
                </c:pt>
                <c:pt idx="29">
                  <c:v>119</c:v>
                </c:pt>
                <c:pt idx="30">
                  <c:v>120</c:v>
                </c:pt>
                <c:pt idx="31">
                  <c:v>121</c:v>
                </c:pt>
                <c:pt idx="32">
                  <c:v>122</c:v>
                </c:pt>
                <c:pt idx="33">
                  <c:v>123</c:v>
                </c:pt>
                <c:pt idx="34">
                  <c:v>124</c:v>
                </c:pt>
                <c:pt idx="35">
                  <c:v>125</c:v>
                </c:pt>
                <c:pt idx="36">
                  <c:v>126</c:v>
                </c:pt>
                <c:pt idx="37">
                  <c:v>127</c:v>
                </c:pt>
                <c:pt idx="38">
                  <c:v>128</c:v>
                </c:pt>
                <c:pt idx="39">
                  <c:v>129</c:v>
                </c:pt>
                <c:pt idx="40">
                  <c:v>130</c:v>
                </c:pt>
                <c:pt idx="41">
                  <c:v>131</c:v>
                </c:pt>
                <c:pt idx="42">
                  <c:v>132</c:v>
                </c:pt>
                <c:pt idx="43">
                  <c:v>133</c:v>
                </c:pt>
                <c:pt idx="44">
                  <c:v>134</c:v>
                </c:pt>
                <c:pt idx="45">
                  <c:v>135</c:v>
                </c:pt>
                <c:pt idx="46">
                  <c:v>136</c:v>
                </c:pt>
                <c:pt idx="47">
                  <c:v>137</c:v>
                </c:pt>
                <c:pt idx="48">
                  <c:v>138</c:v>
                </c:pt>
                <c:pt idx="49">
                  <c:v>139</c:v>
                </c:pt>
                <c:pt idx="50">
                  <c:v>140</c:v>
                </c:pt>
                <c:pt idx="51">
                  <c:v>141</c:v>
                </c:pt>
                <c:pt idx="52">
                  <c:v>142</c:v>
                </c:pt>
                <c:pt idx="53">
                  <c:v>143</c:v>
                </c:pt>
                <c:pt idx="54">
                  <c:v>144</c:v>
                </c:pt>
                <c:pt idx="55">
                  <c:v>145</c:v>
                </c:pt>
                <c:pt idx="56">
                  <c:v>146</c:v>
                </c:pt>
                <c:pt idx="57">
                  <c:v>147</c:v>
                </c:pt>
                <c:pt idx="58">
                  <c:v>148</c:v>
                </c:pt>
                <c:pt idx="59">
                  <c:v>149</c:v>
                </c:pt>
                <c:pt idx="60">
                  <c:v>150</c:v>
                </c:pt>
                <c:pt idx="61">
                  <c:v>151</c:v>
                </c:pt>
                <c:pt idx="62">
                  <c:v>152</c:v>
                </c:pt>
                <c:pt idx="63">
                  <c:v>153</c:v>
                </c:pt>
                <c:pt idx="64">
                  <c:v>154</c:v>
                </c:pt>
                <c:pt idx="65">
                  <c:v>155</c:v>
                </c:pt>
                <c:pt idx="66">
                  <c:v>156</c:v>
                </c:pt>
                <c:pt idx="67">
                  <c:v>157</c:v>
                </c:pt>
                <c:pt idx="68">
                  <c:v>158</c:v>
                </c:pt>
                <c:pt idx="69">
                  <c:v>159</c:v>
                </c:pt>
                <c:pt idx="70">
                  <c:v>160</c:v>
                </c:pt>
                <c:pt idx="71">
                  <c:v>161</c:v>
                </c:pt>
                <c:pt idx="72">
                  <c:v>162</c:v>
                </c:pt>
                <c:pt idx="73">
                  <c:v>163</c:v>
                </c:pt>
                <c:pt idx="74">
                  <c:v>164</c:v>
                </c:pt>
                <c:pt idx="75">
                  <c:v>165</c:v>
                </c:pt>
                <c:pt idx="76">
                  <c:v>166</c:v>
                </c:pt>
                <c:pt idx="77">
                  <c:v>167</c:v>
                </c:pt>
                <c:pt idx="78">
                  <c:v>168</c:v>
                </c:pt>
                <c:pt idx="79">
                  <c:v>169</c:v>
                </c:pt>
                <c:pt idx="80">
                  <c:v>170</c:v>
                </c:pt>
                <c:pt idx="81">
                  <c:v>171</c:v>
                </c:pt>
                <c:pt idx="82">
                  <c:v>172</c:v>
                </c:pt>
                <c:pt idx="83">
                  <c:v>173</c:v>
                </c:pt>
                <c:pt idx="84">
                  <c:v>174</c:v>
                </c:pt>
                <c:pt idx="85">
                  <c:v>175</c:v>
                </c:pt>
                <c:pt idx="86">
                  <c:v>176</c:v>
                </c:pt>
                <c:pt idx="87">
                  <c:v>177</c:v>
                </c:pt>
                <c:pt idx="88">
                  <c:v>178</c:v>
                </c:pt>
                <c:pt idx="89">
                  <c:v>179</c:v>
                </c:pt>
                <c:pt idx="90">
                  <c:v>180</c:v>
                </c:pt>
                <c:pt idx="91">
                  <c:v>181</c:v>
                </c:pt>
                <c:pt idx="92">
                  <c:v>182</c:v>
                </c:pt>
                <c:pt idx="93">
                  <c:v>183</c:v>
                </c:pt>
                <c:pt idx="94">
                  <c:v>184</c:v>
                </c:pt>
                <c:pt idx="95">
                  <c:v>185</c:v>
                </c:pt>
                <c:pt idx="96">
                  <c:v>186</c:v>
                </c:pt>
                <c:pt idx="97">
                  <c:v>187</c:v>
                </c:pt>
                <c:pt idx="98">
                  <c:v>188</c:v>
                </c:pt>
                <c:pt idx="99">
                  <c:v>189</c:v>
                </c:pt>
                <c:pt idx="100">
                  <c:v>190</c:v>
                </c:pt>
                <c:pt idx="101">
                  <c:v>191</c:v>
                </c:pt>
                <c:pt idx="102">
                  <c:v>192</c:v>
                </c:pt>
                <c:pt idx="103">
                  <c:v>193</c:v>
                </c:pt>
                <c:pt idx="104">
                  <c:v>194</c:v>
                </c:pt>
                <c:pt idx="105">
                  <c:v>195</c:v>
                </c:pt>
                <c:pt idx="106">
                  <c:v>196</c:v>
                </c:pt>
                <c:pt idx="107">
                  <c:v>197</c:v>
                </c:pt>
                <c:pt idx="108">
                  <c:v>198</c:v>
                </c:pt>
                <c:pt idx="109">
                  <c:v>199</c:v>
                </c:pt>
                <c:pt idx="110">
                  <c:v>200</c:v>
                </c:pt>
                <c:pt idx="111">
                  <c:v>201</c:v>
                </c:pt>
                <c:pt idx="112">
                  <c:v>202</c:v>
                </c:pt>
                <c:pt idx="113">
                  <c:v>203</c:v>
                </c:pt>
                <c:pt idx="114">
                  <c:v>204</c:v>
                </c:pt>
                <c:pt idx="115">
                  <c:v>205</c:v>
                </c:pt>
                <c:pt idx="116">
                  <c:v>206</c:v>
                </c:pt>
                <c:pt idx="117">
                  <c:v>207</c:v>
                </c:pt>
                <c:pt idx="118">
                  <c:v>208</c:v>
                </c:pt>
                <c:pt idx="119">
                  <c:v>209</c:v>
                </c:pt>
                <c:pt idx="120">
                  <c:v>210</c:v>
                </c:pt>
                <c:pt idx="121">
                  <c:v>211</c:v>
                </c:pt>
                <c:pt idx="122">
                  <c:v>212</c:v>
                </c:pt>
                <c:pt idx="123">
                  <c:v>213</c:v>
                </c:pt>
                <c:pt idx="124">
                  <c:v>214</c:v>
                </c:pt>
                <c:pt idx="125">
                  <c:v>215</c:v>
                </c:pt>
                <c:pt idx="126">
                  <c:v>216</c:v>
                </c:pt>
                <c:pt idx="127">
                  <c:v>217</c:v>
                </c:pt>
                <c:pt idx="128">
                  <c:v>218</c:v>
                </c:pt>
                <c:pt idx="129">
                  <c:v>219</c:v>
                </c:pt>
                <c:pt idx="130">
                  <c:v>220</c:v>
                </c:pt>
                <c:pt idx="131">
                  <c:v>221</c:v>
                </c:pt>
                <c:pt idx="132">
                  <c:v>222</c:v>
                </c:pt>
                <c:pt idx="133">
                  <c:v>223</c:v>
                </c:pt>
                <c:pt idx="134">
                  <c:v>224</c:v>
                </c:pt>
                <c:pt idx="135">
                  <c:v>225</c:v>
                </c:pt>
                <c:pt idx="136">
                  <c:v>226</c:v>
                </c:pt>
                <c:pt idx="137">
                  <c:v>227</c:v>
                </c:pt>
                <c:pt idx="138">
                  <c:v>228</c:v>
                </c:pt>
                <c:pt idx="139">
                  <c:v>229</c:v>
                </c:pt>
                <c:pt idx="140">
                  <c:v>230</c:v>
                </c:pt>
                <c:pt idx="141">
                  <c:v>231</c:v>
                </c:pt>
                <c:pt idx="142">
                  <c:v>232</c:v>
                </c:pt>
                <c:pt idx="143">
                  <c:v>233</c:v>
                </c:pt>
                <c:pt idx="144">
                  <c:v>234</c:v>
                </c:pt>
                <c:pt idx="145">
                  <c:v>235</c:v>
                </c:pt>
                <c:pt idx="146">
                  <c:v>236</c:v>
                </c:pt>
                <c:pt idx="147">
                  <c:v>237</c:v>
                </c:pt>
                <c:pt idx="148">
                  <c:v>238</c:v>
                </c:pt>
                <c:pt idx="149">
                  <c:v>239</c:v>
                </c:pt>
                <c:pt idx="150">
                  <c:v>240</c:v>
                </c:pt>
                <c:pt idx="151">
                  <c:v>241</c:v>
                </c:pt>
                <c:pt idx="152">
                  <c:v>242</c:v>
                </c:pt>
                <c:pt idx="153">
                  <c:v>243</c:v>
                </c:pt>
                <c:pt idx="154">
                  <c:v>244</c:v>
                </c:pt>
                <c:pt idx="155">
                  <c:v>245</c:v>
                </c:pt>
                <c:pt idx="156">
                  <c:v>246</c:v>
                </c:pt>
                <c:pt idx="157">
                  <c:v>247</c:v>
                </c:pt>
                <c:pt idx="158">
                  <c:v>248</c:v>
                </c:pt>
                <c:pt idx="159">
                  <c:v>249</c:v>
                </c:pt>
                <c:pt idx="160">
                  <c:v>250</c:v>
                </c:pt>
                <c:pt idx="161">
                  <c:v>251</c:v>
                </c:pt>
                <c:pt idx="162">
                  <c:v>252</c:v>
                </c:pt>
                <c:pt idx="163">
                  <c:v>253</c:v>
                </c:pt>
                <c:pt idx="164">
                  <c:v>254</c:v>
                </c:pt>
                <c:pt idx="165">
                  <c:v>255</c:v>
                </c:pt>
                <c:pt idx="166">
                  <c:v>256</c:v>
                </c:pt>
                <c:pt idx="167">
                  <c:v>257</c:v>
                </c:pt>
                <c:pt idx="168">
                  <c:v>258</c:v>
                </c:pt>
                <c:pt idx="169">
                  <c:v>259</c:v>
                </c:pt>
                <c:pt idx="170">
                  <c:v>260</c:v>
                </c:pt>
                <c:pt idx="171">
                  <c:v>261</c:v>
                </c:pt>
                <c:pt idx="172">
                  <c:v>262</c:v>
                </c:pt>
                <c:pt idx="173">
                  <c:v>263</c:v>
                </c:pt>
                <c:pt idx="174">
                  <c:v>264</c:v>
                </c:pt>
                <c:pt idx="175">
                  <c:v>265</c:v>
                </c:pt>
                <c:pt idx="176">
                  <c:v>266</c:v>
                </c:pt>
                <c:pt idx="177">
                  <c:v>267</c:v>
                </c:pt>
                <c:pt idx="178">
                  <c:v>268</c:v>
                </c:pt>
                <c:pt idx="179">
                  <c:v>269</c:v>
                </c:pt>
                <c:pt idx="180">
                  <c:v>270</c:v>
                </c:pt>
                <c:pt idx="181">
                  <c:v>271</c:v>
                </c:pt>
                <c:pt idx="182">
                  <c:v>272</c:v>
                </c:pt>
                <c:pt idx="183">
                  <c:v>273</c:v>
                </c:pt>
                <c:pt idx="184">
                  <c:v>274</c:v>
                </c:pt>
                <c:pt idx="185">
                  <c:v>275</c:v>
                </c:pt>
                <c:pt idx="186">
                  <c:v>276</c:v>
                </c:pt>
                <c:pt idx="187">
                  <c:v>277</c:v>
                </c:pt>
                <c:pt idx="188">
                  <c:v>278</c:v>
                </c:pt>
                <c:pt idx="189">
                  <c:v>279</c:v>
                </c:pt>
                <c:pt idx="190">
                  <c:v>280</c:v>
                </c:pt>
                <c:pt idx="191">
                  <c:v>282</c:v>
                </c:pt>
                <c:pt idx="192">
                  <c:v>284</c:v>
                </c:pt>
                <c:pt idx="193">
                  <c:v>286</c:v>
                </c:pt>
                <c:pt idx="194">
                  <c:v>288</c:v>
                </c:pt>
                <c:pt idx="195">
                  <c:v>290</c:v>
                </c:pt>
                <c:pt idx="196">
                  <c:v>292</c:v>
                </c:pt>
                <c:pt idx="197">
                  <c:v>294</c:v>
                </c:pt>
                <c:pt idx="198">
                  <c:v>296</c:v>
                </c:pt>
                <c:pt idx="199">
                  <c:v>298</c:v>
                </c:pt>
                <c:pt idx="200">
                  <c:v>300</c:v>
                </c:pt>
              </c:numCache>
            </c:numRef>
          </c:cat>
          <c:val>
            <c:numRef>
              <c:f>Matrix!$T$11:$T$210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E08-4FEF-8A09-E8A1F7504550}"/>
            </c:ext>
          </c:extLst>
        </c:ser>
        <c:ser>
          <c:idx val="6"/>
          <c:order val="6"/>
          <c:tx>
            <c:strRef>
              <c:f>Matrix!$U$10</c:f>
              <c:strCache>
                <c:ptCount val="1"/>
                <c:pt idx="0">
                  <c:v>Gambit (N)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cat>
            <c:numRef>
              <c:f>Matrix!$B$11:$B$211</c:f>
              <c:numCache>
                <c:formatCode>General</c:formatCode>
                <c:ptCount val="201"/>
                <c:pt idx="0">
                  <c:v>83</c:v>
                </c:pt>
                <c:pt idx="1">
                  <c:v>85</c:v>
                </c:pt>
                <c:pt idx="2">
                  <c:v>87</c:v>
                </c:pt>
                <c:pt idx="3">
                  <c:v>89</c:v>
                </c:pt>
                <c:pt idx="4">
                  <c:v>91</c:v>
                </c:pt>
                <c:pt idx="5">
                  <c:v>93</c:v>
                </c:pt>
                <c:pt idx="6">
                  <c:v>95</c:v>
                </c:pt>
                <c:pt idx="7">
                  <c:v>97</c:v>
                </c:pt>
                <c:pt idx="8">
                  <c:v>98</c:v>
                </c:pt>
                <c:pt idx="9">
                  <c:v>99</c:v>
                </c:pt>
                <c:pt idx="10">
                  <c:v>100</c:v>
                </c:pt>
                <c:pt idx="11">
                  <c:v>101</c:v>
                </c:pt>
                <c:pt idx="12">
                  <c:v>102</c:v>
                </c:pt>
                <c:pt idx="13">
                  <c:v>103</c:v>
                </c:pt>
                <c:pt idx="14">
                  <c:v>104</c:v>
                </c:pt>
                <c:pt idx="15">
                  <c:v>105</c:v>
                </c:pt>
                <c:pt idx="16">
                  <c:v>106</c:v>
                </c:pt>
                <c:pt idx="17">
                  <c:v>107</c:v>
                </c:pt>
                <c:pt idx="18">
                  <c:v>108</c:v>
                </c:pt>
                <c:pt idx="19">
                  <c:v>109</c:v>
                </c:pt>
                <c:pt idx="20">
                  <c:v>110</c:v>
                </c:pt>
                <c:pt idx="21">
                  <c:v>111</c:v>
                </c:pt>
                <c:pt idx="22">
                  <c:v>112</c:v>
                </c:pt>
                <c:pt idx="23">
                  <c:v>113</c:v>
                </c:pt>
                <c:pt idx="24">
                  <c:v>114</c:v>
                </c:pt>
                <c:pt idx="25">
                  <c:v>115</c:v>
                </c:pt>
                <c:pt idx="26">
                  <c:v>116</c:v>
                </c:pt>
                <c:pt idx="27">
                  <c:v>117</c:v>
                </c:pt>
                <c:pt idx="28">
                  <c:v>118</c:v>
                </c:pt>
                <c:pt idx="29">
                  <c:v>119</c:v>
                </c:pt>
                <c:pt idx="30">
                  <c:v>120</c:v>
                </c:pt>
                <c:pt idx="31">
                  <c:v>121</c:v>
                </c:pt>
                <c:pt idx="32">
                  <c:v>122</c:v>
                </c:pt>
                <c:pt idx="33">
                  <c:v>123</c:v>
                </c:pt>
                <c:pt idx="34">
                  <c:v>124</c:v>
                </c:pt>
                <c:pt idx="35">
                  <c:v>125</c:v>
                </c:pt>
                <c:pt idx="36">
                  <c:v>126</c:v>
                </c:pt>
                <c:pt idx="37">
                  <c:v>127</c:v>
                </c:pt>
                <c:pt idx="38">
                  <c:v>128</c:v>
                </c:pt>
                <c:pt idx="39">
                  <c:v>129</c:v>
                </c:pt>
                <c:pt idx="40">
                  <c:v>130</c:v>
                </c:pt>
                <c:pt idx="41">
                  <c:v>131</c:v>
                </c:pt>
                <c:pt idx="42">
                  <c:v>132</c:v>
                </c:pt>
                <c:pt idx="43">
                  <c:v>133</c:v>
                </c:pt>
                <c:pt idx="44">
                  <c:v>134</c:v>
                </c:pt>
                <c:pt idx="45">
                  <c:v>135</c:v>
                </c:pt>
                <c:pt idx="46">
                  <c:v>136</c:v>
                </c:pt>
                <c:pt idx="47">
                  <c:v>137</c:v>
                </c:pt>
                <c:pt idx="48">
                  <c:v>138</c:v>
                </c:pt>
                <c:pt idx="49">
                  <c:v>139</c:v>
                </c:pt>
                <c:pt idx="50">
                  <c:v>140</c:v>
                </c:pt>
                <c:pt idx="51">
                  <c:v>141</c:v>
                </c:pt>
                <c:pt idx="52">
                  <c:v>142</c:v>
                </c:pt>
                <c:pt idx="53">
                  <c:v>143</c:v>
                </c:pt>
                <c:pt idx="54">
                  <c:v>144</c:v>
                </c:pt>
                <c:pt idx="55">
                  <c:v>145</c:v>
                </c:pt>
                <c:pt idx="56">
                  <c:v>146</c:v>
                </c:pt>
                <c:pt idx="57">
                  <c:v>147</c:v>
                </c:pt>
                <c:pt idx="58">
                  <c:v>148</c:v>
                </c:pt>
                <c:pt idx="59">
                  <c:v>149</c:v>
                </c:pt>
                <c:pt idx="60">
                  <c:v>150</c:v>
                </c:pt>
                <c:pt idx="61">
                  <c:v>151</c:v>
                </c:pt>
                <c:pt idx="62">
                  <c:v>152</c:v>
                </c:pt>
                <c:pt idx="63">
                  <c:v>153</c:v>
                </c:pt>
                <c:pt idx="64">
                  <c:v>154</c:v>
                </c:pt>
                <c:pt idx="65">
                  <c:v>155</c:v>
                </c:pt>
                <c:pt idx="66">
                  <c:v>156</c:v>
                </c:pt>
                <c:pt idx="67">
                  <c:v>157</c:v>
                </c:pt>
                <c:pt idx="68">
                  <c:v>158</c:v>
                </c:pt>
                <c:pt idx="69">
                  <c:v>159</c:v>
                </c:pt>
                <c:pt idx="70">
                  <c:v>160</c:v>
                </c:pt>
                <c:pt idx="71">
                  <c:v>161</c:v>
                </c:pt>
                <c:pt idx="72">
                  <c:v>162</c:v>
                </c:pt>
                <c:pt idx="73">
                  <c:v>163</c:v>
                </c:pt>
                <c:pt idx="74">
                  <c:v>164</c:v>
                </c:pt>
                <c:pt idx="75">
                  <c:v>165</c:v>
                </c:pt>
                <c:pt idx="76">
                  <c:v>166</c:v>
                </c:pt>
                <c:pt idx="77">
                  <c:v>167</c:v>
                </c:pt>
                <c:pt idx="78">
                  <c:v>168</c:v>
                </c:pt>
                <c:pt idx="79">
                  <c:v>169</c:v>
                </c:pt>
                <c:pt idx="80">
                  <c:v>170</c:v>
                </c:pt>
                <c:pt idx="81">
                  <c:v>171</c:v>
                </c:pt>
                <c:pt idx="82">
                  <c:v>172</c:v>
                </c:pt>
                <c:pt idx="83">
                  <c:v>173</c:v>
                </c:pt>
                <c:pt idx="84">
                  <c:v>174</c:v>
                </c:pt>
                <c:pt idx="85">
                  <c:v>175</c:v>
                </c:pt>
                <c:pt idx="86">
                  <c:v>176</c:v>
                </c:pt>
                <c:pt idx="87">
                  <c:v>177</c:v>
                </c:pt>
                <c:pt idx="88">
                  <c:v>178</c:v>
                </c:pt>
                <c:pt idx="89">
                  <c:v>179</c:v>
                </c:pt>
                <c:pt idx="90">
                  <c:v>180</c:v>
                </c:pt>
                <c:pt idx="91">
                  <c:v>181</c:v>
                </c:pt>
                <c:pt idx="92">
                  <c:v>182</c:v>
                </c:pt>
                <c:pt idx="93">
                  <c:v>183</c:v>
                </c:pt>
                <c:pt idx="94">
                  <c:v>184</c:v>
                </c:pt>
                <c:pt idx="95">
                  <c:v>185</c:v>
                </c:pt>
                <c:pt idx="96">
                  <c:v>186</c:v>
                </c:pt>
                <c:pt idx="97">
                  <c:v>187</c:v>
                </c:pt>
                <c:pt idx="98">
                  <c:v>188</c:v>
                </c:pt>
                <c:pt idx="99">
                  <c:v>189</c:v>
                </c:pt>
                <c:pt idx="100">
                  <c:v>190</c:v>
                </c:pt>
                <c:pt idx="101">
                  <c:v>191</c:v>
                </c:pt>
                <c:pt idx="102">
                  <c:v>192</c:v>
                </c:pt>
                <c:pt idx="103">
                  <c:v>193</c:v>
                </c:pt>
                <c:pt idx="104">
                  <c:v>194</c:v>
                </c:pt>
                <c:pt idx="105">
                  <c:v>195</c:v>
                </c:pt>
                <c:pt idx="106">
                  <c:v>196</c:v>
                </c:pt>
                <c:pt idx="107">
                  <c:v>197</c:v>
                </c:pt>
                <c:pt idx="108">
                  <c:v>198</c:v>
                </c:pt>
                <c:pt idx="109">
                  <c:v>199</c:v>
                </c:pt>
                <c:pt idx="110">
                  <c:v>200</c:v>
                </c:pt>
                <c:pt idx="111">
                  <c:v>201</c:v>
                </c:pt>
                <c:pt idx="112">
                  <c:v>202</c:v>
                </c:pt>
                <c:pt idx="113">
                  <c:v>203</c:v>
                </c:pt>
                <c:pt idx="114">
                  <c:v>204</c:v>
                </c:pt>
                <c:pt idx="115">
                  <c:v>205</c:v>
                </c:pt>
                <c:pt idx="116">
                  <c:v>206</c:v>
                </c:pt>
                <c:pt idx="117">
                  <c:v>207</c:v>
                </c:pt>
                <c:pt idx="118">
                  <c:v>208</c:v>
                </c:pt>
                <c:pt idx="119">
                  <c:v>209</c:v>
                </c:pt>
                <c:pt idx="120">
                  <c:v>210</c:v>
                </c:pt>
                <c:pt idx="121">
                  <c:v>211</c:v>
                </c:pt>
                <c:pt idx="122">
                  <c:v>212</c:v>
                </c:pt>
                <c:pt idx="123">
                  <c:v>213</c:v>
                </c:pt>
                <c:pt idx="124">
                  <c:v>214</c:v>
                </c:pt>
                <c:pt idx="125">
                  <c:v>215</c:v>
                </c:pt>
                <c:pt idx="126">
                  <c:v>216</c:v>
                </c:pt>
                <c:pt idx="127">
                  <c:v>217</c:v>
                </c:pt>
                <c:pt idx="128">
                  <c:v>218</c:v>
                </c:pt>
                <c:pt idx="129">
                  <c:v>219</c:v>
                </c:pt>
                <c:pt idx="130">
                  <c:v>220</c:v>
                </c:pt>
                <c:pt idx="131">
                  <c:v>221</c:v>
                </c:pt>
                <c:pt idx="132">
                  <c:v>222</c:v>
                </c:pt>
                <c:pt idx="133">
                  <c:v>223</c:v>
                </c:pt>
                <c:pt idx="134">
                  <c:v>224</c:v>
                </c:pt>
                <c:pt idx="135">
                  <c:v>225</c:v>
                </c:pt>
                <c:pt idx="136">
                  <c:v>226</c:v>
                </c:pt>
                <c:pt idx="137">
                  <c:v>227</c:v>
                </c:pt>
                <c:pt idx="138">
                  <c:v>228</c:v>
                </c:pt>
                <c:pt idx="139">
                  <c:v>229</c:v>
                </c:pt>
                <c:pt idx="140">
                  <c:v>230</c:v>
                </c:pt>
                <c:pt idx="141">
                  <c:v>231</c:v>
                </c:pt>
                <c:pt idx="142">
                  <c:v>232</c:v>
                </c:pt>
                <c:pt idx="143">
                  <c:v>233</c:v>
                </c:pt>
                <c:pt idx="144">
                  <c:v>234</c:v>
                </c:pt>
                <c:pt idx="145">
                  <c:v>235</c:v>
                </c:pt>
                <c:pt idx="146">
                  <c:v>236</c:v>
                </c:pt>
                <c:pt idx="147">
                  <c:v>237</c:v>
                </c:pt>
                <c:pt idx="148">
                  <c:v>238</c:v>
                </c:pt>
                <c:pt idx="149">
                  <c:v>239</c:v>
                </c:pt>
                <c:pt idx="150">
                  <c:v>240</c:v>
                </c:pt>
                <c:pt idx="151">
                  <c:v>241</c:v>
                </c:pt>
                <c:pt idx="152">
                  <c:v>242</c:v>
                </c:pt>
                <c:pt idx="153">
                  <c:v>243</c:v>
                </c:pt>
                <c:pt idx="154">
                  <c:v>244</c:v>
                </c:pt>
                <c:pt idx="155">
                  <c:v>245</c:v>
                </c:pt>
                <c:pt idx="156">
                  <c:v>246</c:v>
                </c:pt>
                <c:pt idx="157">
                  <c:v>247</c:v>
                </c:pt>
                <c:pt idx="158">
                  <c:v>248</c:v>
                </c:pt>
                <c:pt idx="159">
                  <c:v>249</c:v>
                </c:pt>
                <c:pt idx="160">
                  <c:v>250</c:v>
                </c:pt>
                <c:pt idx="161">
                  <c:v>251</c:v>
                </c:pt>
                <c:pt idx="162">
                  <c:v>252</c:v>
                </c:pt>
                <c:pt idx="163">
                  <c:v>253</c:v>
                </c:pt>
                <c:pt idx="164">
                  <c:v>254</c:v>
                </c:pt>
                <c:pt idx="165">
                  <c:v>255</c:v>
                </c:pt>
                <c:pt idx="166">
                  <c:v>256</c:v>
                </c:pt>
                <c:pt idx="167">
                  <c:v>257</c:v>
                </c:pt>
                <c:pt idx="168">
                  <c:v>258</c:v>
                </c:pt>
                <c:pt idx="169">
                  <c:v>259</c:v>
                </c:pt>
                <c:pt idx="170">
                  <c:v>260</c:v>
                </c:pt>
                <c:pt idx="171">
                  <c:v>261</c:v>
                </c:pt>
                <c:pt idx="172">
                  <c:v>262</c:v>
                </c:pt>
                <c:pt idx="173">
                  <c:v>263</c:v>
                </c:pt>
                <c:pt idx="174">
                  <c:v>264</c:v>
                </c:pt>
                <c:pt idx="175">
                  <c:v>265</c:v>
                </c:pt>
                <c:pt idx="176">
                  <c:v>266</c:v>
                </c:pt>
                <c:pt idx="177">
                  <c:v>267</c:v>
                </c:pt>
                <c:pt idx="178">
                  <c:v>268</c:v>
                </c:pt>
                <c:pt idx="179">
                  <c:v>269</c:v>
                </c:pt>
                <c:pt idx="180">
                  <c:v>270</c:v>
                </c:pt>
                <c:pt idx="181">
                  <c:v>271</c:v>
                </c:pt>
                <c:pt idx="182">
                  <c:v>272</c:v>
                </c:pt>
                <c:pt idx="183">
                  <c:v>273</c:v>
                </c:pt>
                <c:pt idx="184">
                  <c:v>274</c:v>
                </c:pt>
                <c:pt idx="185">
                  <c:v>275</c:v>
                </c:pt>
                <c:pt idx="186">
                  <c:v>276</c:v>
                </c:pt>
                <c:pt idx="187">
                  <c:v>277</c:v>
                </c:pt>
                <c:pt idx="188">
                  <c:v>278</c:v>
                </c:pt>
                <c:pt idx="189">
                  <c:v>279</c:v>
                </c:pt>
                <c:pt idx="190">
                  <c:v>280</c:v>
                </c:pt>
                <c:pt idx="191">
                  <c:v>282</c:v>
                </c:pt>
                <c:pt idx="192">
                  <c:v>284</c:v>
                </c:pt>
                <c:pt idx="193">
                  <c:v>286</c:v>
                </c:pt>
                <c:pt idx="194">
                  <c:v>288</c:v>
                </c:pt>
                <c:pt idx="195">
                  <c:v>290</c:v>
                </c:pt>
                <c:pt idx="196">
                  <c:v>292</c:v>
                </c:pt>
                <c:pt idx="197">
                  <c:v>294</c:v>
                </c:pt>
                <c:pt idx="198">
                  <c:v>296</c:v>
                </c:pt>
                <c:pt idx="199">
                  <c:v>298</c:v>
                </c:pt>
                <c:pt idx="200">
                  <c:v>300</c:v>
                </c:pt>
              </c:numCache>
            </c:numRef>
          </c:cat>
          <c:val>
            <c:numRef>
              <c:f>Matrix!$U$11:$U$210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E08-4FEF-8A09-E8A1F7504550}"/>
            </c:ext>
          </c:extLst>
        </c:ser>
        <c:ser>
          <c:idx val="7"/>
          <c:order val="7"/>
          <c:tx>
            <c:strRef>
              <c:f>Matrix!$V$10</c:f>
              <c:strCache>
                <c:ptCount val="1"/>
                <c:pt idx="0">
                  <c:v>Magneto (C)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cat>
            <c:numRef>
              <c:f>Matrix!$B$11:$B$211</c:f>
              <c:numCache>
                <c:formatCode>General</c:formatCode>
                <c:ptCount val="201"/>
                <c:pt idx="0">
                  <c:v>83</c:v>
                </c:pt>
                <c:pt idx="1">
                  <c:v>85</c:v>
                </c:pt>
                <c:pt idx="2">
                  <c:v>87</c:v>
                </c:pt>
                <c:pt idx="3">
                  <c:v>89</c:v>
                </c:pt>
                <c:pt idx="4">
                  <c:v>91</c:v>
                </c:pt>
                <c:pt idx="5">
                  <c:v>93</c:v>
                </c:pt>
                <c:pt idx="6">
                  <c:v>95</c:v>
                </c:pt>
                <c:pt idx="7">
                  <c:v>97</c:v>
                </c:pt>
                <c:pt idx="8">
                  <c:v>98</c:v>
                </c:pt>
                <c:pt idx="9">
                  <c:v>99</c:v>
                </c:pt>
                <c:pt idx="10">
                  <c:v>100</c:v>
                </c:pt>
                <c:pt idx="11">
                  <c:v>101</c:v>
                </c:pt>
                <c:pt idx="12">
                  <c:v>102</c:v>
                </c:pt>
                <c:pt idx="13">
                  <c:v>103</c:v>
                </c:pt>
                <c:pt idx="14">
                  <c:v>104</c:v>
                </c:pt>
                <c:pt idx="15">
                  <c:v>105</c:v>
                </c:pt>
                <c:pt idx="16">
                  <c:v>106</c:v>
                </c:pt>
                <c:pt idx="17">
                  <c:v>107</c:v>
                </c:pt>
                <c:pt idx="18">
                  <c:v>108</c:v>
                </c:pt>
                <c:pt idx="19">
                  <c:v>109</c:v>
                </c:pt>
                <c:pt idx="20">
                  <c:v>110</c:v>
                </c:pt>
                <c:pt idx="21">
                  <c:v>111</c:v>
                </c:pt>
                <c:pt idx="22">
                  <c:v>112</c:v>
                </c:pt>
                <c:pt idx="23">
                  <c:v>113</c:v>
                </c:pt>
                <c:pt idx="24">
                  <c:v>114</c:v>
                </c:pt>
                <c:pt idx="25">
                  <c:v>115</c:v>
                </c:pt>
                <c:pt idx="26">
                  <c:v>116</c:v>
                </c:pt>
                <c:pt idx="27">
                  <c:v>117</c:v>
                </c:pt>
                <c:pt idx="28">
                  <c:v>118</c:v>
                </c:pt>
                <c:pt idx="29">
                  <c:v>119</c:v>
                </c:pt>
                <c:pt idx="30">
                  <c:v>120</c:v>
                </c:pt>
                <c:pt idx="31">
                  <c:v>121</c:v>
                </c:pt>
                <c:pt idx="32">
                  <c:v>122</c:v>
                </c:pt>
                <c:pt idx="33">
                  <c:v>123</c:v>
                </c:pt>
                <c:pt idx="34">
                  <c:v>124</c:v>
                </c:pt>
                <c:pt idx="35">
                  <c:v>125</c:v>
                </c:pt>
                <c:pt idx="36">
                  <c:v>126</c:v>
                </c:pt>
                <c:pt idx="37">
                  <c:v>127</c:v>
                </c:pt>
                <c:pt idx="38">
                  <c:v>128</c:v>
                </c:pt>
                <c:pt idx="39">
                  <c:v>129</c:v>
                </c:pt>
                <c:pt idx="40">
                  <c:v>130</c:v>
                </c:pt>
                <c:pt idx="41">
                  <c:v>131</c:v>
                </c:pt>
                <c:pt idx="42">
                  <c:v>132</c:v>
                </c:pt>
                <c:pt idx="43">
                  <c:v>133</c:v>
                </c:pt>
                <c:pt idx="44">
                  <c:v>134</c:v>
                </c:pt>
                <c:pt idx="45">
                  <c:v>135</c:v>
                </c:pt>
                <c:pt idx="46">
                  <c:v>136</c:v>
                </c:pt>
                <c:pt idx="47">
                  <c:v>137</c:v>
                </c:pt>
                <c:pt idx="48">
                  <c:v>138</c:v>
                </c:pt>
                <c:pt idx="49">
                  <c:v>139</c:v>
                </c:pt>
                <c:pt idx="50">
                  <c:v>140</c:v>
                </c:pt>
                <c:pt idx="51">
                  <c:v>141</c:v>
                </c:pt>
                <c:pt idx="52">
                  <c:v>142</c:v>
                </c:pt>
                <c:pt idx="53">
                  <c:v>143</c:v>
                </c:pt>
                <c:pt idx="54">
                  <c:v>144</c:v>
                </c:pt>
                <c:pt idx="55">
                  <c:v>145</c:v>
                </c:pt>
                <c:pt idx="56">
                  <c:v>146</c:v>
                </c:pt>
                <c:pt idx="57">
                  <c:v>147</c:v>
                </c:pt>
                <c:pt idx="58">
                  <c:v>148</c:v>
                </c:pt>
                <c:pt idx="59">
                  <c:v>149</c:v>
                </c:pt>
                <c:pt idx="60">
                  <c:v>150</c:v>
                </c:pt>
                <c:pt idx="61">
                  <c:v>151</c:v>
                </c:pt>
                <c:pt idx="62">
                  <c:v>152</c:v>
                </c:pt>
                <c:pt idx="63">
                  <c:v>153</c:v>
                </c:pt>
                <c:pt idx="64">
                  <c:v>154</c:v>
                </c:pt>
                <c:pt idx="65">
                  <c:v>155</c:v>
                </c:pt>
                <c:pt idx="66">
                  <c:v>156</c:v>
                </c:pt>
                <c:pt idx="67">
                  <c:v>157</c:v>
                </c:pt>
                <c:pt idx="68">
                  <c:v>158</c:v>
                </c:pt>
                <c:pt idx="69">
                  <c:v>159</c:v>
                </c:pt>
                <c:pt idx="70">
                  <c:v>160</c:v>
                </c:pt>
                <c:pt idx="71">
                  <c:v>161</c:v>
                </c:pt>
                <c:pt idx="72">
                  <c:v>162</c:v>
                </c:pt>
                <c:pt idx="73">
                  <c:v>163</c:v>
                </c:pt>
                <c:pt idx="74">
                  <c:v>164</c:v>
                </c:pt>
                <c:pt idx="75">
                  <c:v>165</c:v>
                </c:pt>
                <c:pt idx="76">
                  <c:v>166</c:v>
                </c:pt>
                <c:pt idx="77">
                  <c:v>167</c:v>
                </c:pt>
                <c:pt idx="78">
                  <c:v>168</c:v>
                </c:pt>
                <c:pt idx="79">
                  <c:v>169</c:v>
                </c:pt>
                <c:pt idx="80">
                  <c:v>170</c:v>
                </c:pt>
                <c:pt idx="81">
                  <c:v>171</c:v>
                </c:pt>
                <c:pt idx="82">
                  <c:v>172</c:v>
                </c:pt>
                <c:pt idx="83">
                  <c:v>173</c:v>
                </c:pt>
                <c:pt idx="84">
                  <c:v>174</c:v>
                </c:pt>
                <c:pt idx="85">
                  <c:v>175</c:v>
                </c:pt>
                <c:pt idx="86">
                  <c:v>176</c:v>
                </c:pt>
                <c:pt idx="87">
                  <c:v>177</c:v>
                </c:pt>
                <c:pt idx="88">
                  <c:v>178</c:v>
                </c:pt>
                <c:pt idx="89">
                  <c:v>179</c:v>
                </c:pt>
                <c:pt idx="90">
                  <c:v>180</c:v>
                </c:pt>
                <c:pt idx="91">
                  <c:v>181</c:v>
                </c:pt>
                <c:pt idx="92">
                  <c:v>182</c:v>
                </c:pt>
                <c:pt idx="93">
                  <c:v>183</c:v>
                </c:pt>
                <c:pt idx="94">
                  <c:v>184</c:v>
                </c:pt>
                <c:pt idx="95">
                  <c:v>185</c:v>
                </c:pt>
                <c:pt idx="96">
                  <c:v>186</c:v>
                </c:pt>
                <c:pt idx="97">
                  <c:v>187</c:v>
                </c:pt>
                <c:pt idx="98">
                  <c:v>188</c:v>
                </c:pt>
                <c:pt idx="99">
                  <c:v>189</c:v>
                </c:pt>
                <c:pt idx="100">
                  <c:v>190</c:v>
                </c:pt>
                <c:pt idx="101">
                  <c:v>191</c:v>
                </c:pt>
                <c:pt idx="102">
                  <c:v>192</c:v>
                </c:pt>
                <c:pt idx="103">
                  <c:v>193</c:v>
                </c:pt>
                <c:pt idx="104">
                  <c:v>194</c:v>
                </c:pt>
                <c:pt idx="105">
                  <c:v>195</c:v>
                </c:pt>
                <c:pt idx="106">
                  <c:v>196</c:v>
                </c:pt>
                <c:pt idx="107">
                  <c:v>197</c:v>
                </c:pt>
                <c:pt idx="108">
                  <c:v>198</c:v>
                </c:pt>
                <c:pt idx="109">
                  <c:v>199</c:v>
                </c:pt>
                <c:pt idx="110">
                  <c:v>200</c:v>
                </c:pt>
                <c:pt idx="111">
                  <c:v>201</c:v>
                </c:pt>
                <c:pt idx="112">
                  <c:v>202</c:v>
                </c:pt>
                <c:pt idx="113">
                  <c:v>203</c:v>
                </c:pt>
                <c:pt idx="114">
                  <c:v>204</c:v>
                </c:pt>
                <c:pt idx="115">
                  <c:v>205</c:v>
                </c:pt>
                <c:pt idx="116">
                  <c:v>206</c:v>
                </c:pt>
                <c:pt idx="117">
                  <c:v>207</c:v>
                </c:pt>
                <c:pt idx="118">
                  <c:v>208</c:v>
                </c:pt>
                <c:pt idx="119">
                  <c:v>209</c:v>
                </c:pt>
                <c:pt idx="120">
                  <c:v>210</c:v>
                </c:pt>
                <c:pt idx="121">
                  <c:v>211</c:v>
                </c:pt>
                <c:pt idx="122">
                  <c:v>212</c:v>
                </c:pt>
                <c:pt idx="123">
                  <c:v>213</c:v>
                </c:pt>
                <c:pt idx="124">
                  <c:v>214</c:v>
                </c:pt>
                <c:pt idx="125">
                  <c:v>215</c:v>
                </c:pt>
                <c:pt idx="126">
                  <c:v>216</c:v>
                </c:pt>
                <c:pt idx="127">
                  <c:v>217</c:v>
                </c:pt>
                <c:pt idx="128">
                  <c:v>218</c:v>
                </c:pt>
                <c:pt idx="129">
                  <c:v>219</c:v>
                </c:pt>
                <c:pt idx="130">
                  <c:v>220</c:v>
                </c:pt>
                <c:pt idx="131">
                  <c:v>221</c:v>
                </c:pt>
                <c:pt idx="132">
                  <c:v>222</c:v>
                </c:pt>
                <c:pt idx="133">
                  <c:v>223</c:v>
                </c:pt>
                <c:pt idx="134">
                  <c:v>224</c:v>
                </c:pt>
                <c:pt idx="135">
                  <c:v>225</c:v>
                </c:pt>
                <c:pt idx="136">
                  <c:v>226</c:v>
                </c:pt>
                <c:pt idx="137">
                  <c:v>227</c:v>
                </c:pt>
                <c:pt idx="138">
                  <c:v>228</c:v>
                </c:pt>
                <c:pt idx="139">
                  <c:v>229</c:v>
                </c:pt>
                <c:pt idx="140">
                  <c:v>230</c:v>
                </c:pt>
                <c:pt idx="141">
                  <c:v>231</c:v>
                </c:pt>
                <c:pt idx="142">
                  <c:v>232</c:v>
                </c:pt>
                <c:pt idx="143">
                  <c:v>233</c:v>
                </c:pt>
                <c:pt idx="144">
                  <c:v>234</c:v>
                </c:pt>
                <c:pt idx="145">
                  <c:v>235</c:v>
                </c:pt>
                <c:pt idx="146">
                  <c:v>236</c:v>
                </c:pt>
                <c:pt idx="147">
                  <c:v>237</c:v>
                </c:pt>
                <c:pt idx="148">
                  <c:v>238</c:v>
                </c:pt>
                <c:pt idx="149">
                  <c:v>239</c:v>
                </c:pt>
                <c:pt idx="150">
                  <c:v>240</c:v>
                </c:pt>
                <c:pt idx="151">
                  <c:v>241</c:v>
                </c:pt>
                <c:pt idx="152">
                  <c:v>242</c:v>
                </c:pt>
                <c:pt idx="153">
                  <c:v>243</c:v>
                </c:pt>
                <c:pt idx="154">
                  <c:v>244</c:v>
                </c:pt>
                <c:pt idx="155">
                  <c:v>245</c:v>
                </c:pt>
                <c:pt idx="156">
                  <c:v>246</c:v>
                </c:pt>
                <c:pt idx="157">
                  <c:v>247</c:v>
                </c:pt>
                <c:pt idx="158">
                  <c:v>248</c:v>
                </c:pt>
                <c:pt idx="159">
                  <c:v>249</c:v>
                </c:pt>
                <c:pt idx="160">
                  <c:v>250</c:v>
                </c:pt>
                <c:pt idx="161">
                  <c:v>251</c:v>
                </c:pt>
                <c:pt idx="162">
                  <c:v>252</c:v>
                </c:pt>
                <c:pt idx="163">
                  <c:v>253</c:v>
                </c:pt>
                <c:pt idx="164">
                  <c:v>254</c:v>
                </c:pt>
                <c:pt idx="165">
                  <c:v>255</c:v>
                </c:pt>
                <c:pt idx="166">
                  <c:v>256</c:v>
                </c:pt>
                <c:pt idx="167">
                  <c:v>257</c:v>
                </c:pt>
                <c:pt idx="168">
                  <c:v>258</c:v>
                </c:pt>
                <c:pt idx="169">
                  <c:v>259</c:v>
                </c:pt>
                <c:pt idx="170">
                  <c:v>260</c:v>
                </c:pt>
                <c:pt idx="171">
                  <c:v>261</c:v>
                </c:pt>
                <c:pt idx="172">
                  <c:v>262</c:v>
                </c:pt>
                <c:pt idx="173">
                  <c:v>263</c:v>
                </c:pt>
                <c:pt idx="174">
                  <c:v>264</c:v>
                </c:pt>
                <c:pt idx="175">
                  <c:v>265</c:v>
                </c:pt>
                <c:pt idx="176">
                  <c:v>266</c:v>
                </c:pt>
                <c:pt idx="177">
                  <c:v>267</c:v>
                </c:pt>
                <c:pt idx="178">
                  <c:v>268</c:v>
                </c:pt>
                <c:pt idx="179">
                  <c:v>269</c:v>
                </c:pt>
                <c:pt idx="180">
                  <c:v>270</c:v>
                </c:pt>
                <c:pt idx="181">
                  <c:v>271</c:v>
                </c:pt>
                <c:pt idx="182">
                  <c:v>272</c:v>
                </c:pt>
                <c:pt idx="183">
                  <c:v>273</c:v>
                </c:pt>
                <c:pt idx="184">
                  <c:v>274</c:v>
                </c:pt>
                <c:pt idx="185">
                  <c:v>275</c:v>
                </c:pt>
                <c:pt idx="186">
                  <c:v>276</c:v>
                </c:pt>
                <c:pt idx="187">
                  <c:v>277</c:v>
                </c:pt>
                <c:pt idx="188">
                  <c:v>278</c:v>
                </c:pt>
                <c:pt idx="189">
                  <c:v>279</c:v>
                </c:pt>
                <c:pt idx="190">
                  <c:v>280</c:v>
                </c:pt>
                <c:pt idx="191">
                  <c:v>282</c:v>
                </c:pt>
                <c:pt idx="192">
                  <c:v>284</c:v>
                </c:pt>
                <c:pt idx="193">
                  <c:v>286</c:v>
                </c:pt>
                <c:pt idx="194">
                  <c:v>288</c:v>
                </c:pt>
                <c:pt idx="195">
                  <c:v>290</c:v>
                </c:pt>
                <c:pt idx="196">
                  <c:v>292</c:v>
                </c:pt>
                <c:pt idx="197">
                  <c:v>294</c:v>
                </c:pt>
                <c:pt idx="198">
                  <c:v>296</c:v>
                </c:pt>
                <c:pt idx="199">
                  <c:v>298</c:v>
                </c:pt>
                <c:pt idx="200">
                  <c:v>300</c:v>
                </c:pt>
              </c:numCache>
            </c:numRef>
          </c:cat>
          <c:val>
            <c:numRef>
              <c:f>Matrix!$V$11:$V$210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0.25</c:v>
                </c:pt>
                <c:pt idx="58">
                  <c:v>0.25</c:v>
                </c:pt>
                <c:pt idx="59">
                  <c:v>0.25</c:v>
                </c:pt>
                <c:pt idx="60">
                  <c:v>0.25</c:v>
                </c:pt>
                <c:pt idx="61">
                  <c:v>0.25</c:v>
                </c:pt>
                <c:pt idx="62">
                  <c:v>0.25</c:v>
                </c:pt>
                <c:pt idx="63">
                  <c:v>0.25</c:v>
                </c:pt>
                <c:pt idx="64">
                  <c:v>0.25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11.25</c:v>
                </c:pt>
                <c:pt idx="182">
                  <c:v>12.625</c:v>
                </c:pt>
                <c:pt idx="183">
                  <c:v>12.625</c:v>
                </c:pt>
                <c:pt idx="184">
                  <c:v>12.625</c:v>
                </c:pt>
                <c:pt idx="185">
                  <c:v>12.625</c:v>
                </c:pt>
                <c:pt idx="186">
                  <c:v>12.625</c:v>
                </c:pt>
                <c:pt idx="187">
                  <c:v>12.625</c:v>
                </c:pt>
                <c:pt idx="188">
                  <c:v>12.625</c:v>
                </c:pt>
                <c:pt idx="189">
                  <c:v>1.375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E08-4FEF-8A09-E8A1F7504550}"/>
            </c:ext>
          </c:extLst>
        </c:ser>
        <c:ser>
          <c:idx val="8"/>
          <c:order val="8"/>
          <c:tx>
            <c:strRef>
              <c:f>Matrix!$W$10</c:f>
              <c:strCache>
                <c:ptCount val="1"/>
                <c:pt idx="0">
                  <c:v>Magneto (N)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cat>
            <c:numRef>
              <c:f>Matrix!$B$11:$B$211</c:f>
              <c:numCache>
                <c:formatCode>General</c:formatCode>
                <c:ptCount val="201"/>
                <c:pt idx="0">
                  <c:v>83</c:v>
                </c:pt>
                <c:pt idx="1">
                  <c:v>85</c:v>
                </c:pt>
                <c:pt idx="2">
                  <c:v>87</c:v>
                </c:pt>
                <c:pt idx="3">
                  <c:v>89</c:v>
                </c:pt>
                <c:pt idx="4">
                  <c:v>91</c:v>
                </c:pt>
                <c:pt idx="5">
                  <c:v>93</c:v>
                </c:pt>
                <c:pt idx="6">
                  <c:v>95</c:v>
                </c:pt>
                <c:pt idx="7">
                  <c:v>97</c:v>
                </c:pt>
                <c:pt idx="8">
                  <c:v>98</c:v>
                </c:pt>
                <c:pt idx="9">
                  <c:v>99</c:v>
                </c:pt>
                <c:pt idx="10">
                  <c:v>100</c:v>
                </c:pt>
                <c:pt idx="11">
                  <c:v>101</c:v>
                </c:pt>
                <c:pt idx="12">
                  <c:v>102</c:v>
                </c:pt>
                <c:pt idx="13">
                  <c:v>103</c:v>
                </c:pt>
                <c:pt idx="14">
                  <c:v>104</c:v>
                </c:pt>
                <c:pt idx="15">
                  <c:v>105</c:v>
                </c:pt>
                <c:pt idx="16">
                  <c:v>106</c:v>
                </c:pt>
                <c:pt idx="17">
                  <c:v>107</c:v>
                </c:pt>
                <c:pt idx="18">
                  <c:v>108</c:v>
                </c:pt>
                <c:pt idx="19">
                  <c:v>109</c:v>
                </c:pt>
                <c:pt idx="20">
                  <c:v>110</c:v>
                </c:pt>
                <c:pt idx="21">
                  <c:v>111</c:v>
                </c:pt>
                <c:pt idx="22">
                  <c:v>112</c:v>
                </c:pt>
                <c:pt idx="23">
                  <c:v>113</c:v>
                </c:pt>
                <c:pt idx="24">
                  <c:v>114</c:v>
                </c:pt>
                <c:pt idx="25">
                  <c:v>115</c:v>
                </c:pt>
                <c:pt idx="26">
                  <c:v>116</c:v>
                </c:pt>
                <c:pt idx="27">
                  <c:v>117</c:v>
                </c:pt>
                <c:pt idx="28">
                  <c:v>118</c:v>
                </c:pt>
                <c:pt idx="29">
                  <c:v>119</c:v>
                </c:pt>
                <c:pt idx="30">
                  <c:v>120</c:v>
                </c:pt>
                <c:pt idx="31">
                  <c:v>121</c:v>
                </c:pt>
                <c:pt idx="32">
                  <c:v>122</c:v>
                </c:pt>
                <c:pt idx="33">
                  <c:v>123</c:v>
                </c:pt>
                <c:pt idx="34">
                  <c:v>124</c:v>
                </c:pt>
                <c:pt idx="35">
                  <c:v>125</c:v>
                </c:pt>
                <c:pt idx="36">
                  <c:v>126</c:v>
                </c:pt>
                <c:pt idx="37">
                  <c:v>127</c:v>
                </c:pt>
                <c:pt idx="38">
                  <c:v>128</c:v>
                </c:pt>
                <c:pt idx="39">
                  <c:v>129</c:v>
                </c:pt>
                <c:pt idx="40">
                  <c:v>130</c:v>
                </c:pt>
                <c:pt idx="41">
                  <c:v>131</c:v>
                </c:pt>
                <c:pt idx="42">
                  <c:v>132</c:v>
                </c:pt>
                <c:pt idx="43">
                  <c:v>133</c:v>
                </c:pt>
                <c:pt idx="44">
                  <c:v>134</c:v>
                </c:pt>
                <c:pt idx="45">
                  <c:v>135</c:v>
                </c:pt>
                <c:pt idx="46">
                  <c:v>136</c:v>
                </c:pt>
                <c:pt idx="47">
                  <c:v>137</c:v>
                </c:pt>
                <c:pt idx="48">
                  <c:v>138</c:v>
                </c:pt>
                <c:pt idx="49">
                  <c:v>139</c:v>
                </c:pt>
                <c:pt idx="50">
                  <c:v>140</c:v>
                </c:pt>
                <c:pt idx="51">
                  <c:v>141</c:v>
                </c:pt>
                <c:pt idx="52">
                  <c:v>142</c:v>
                </c:pt>
                <c:pt idx="53">
                  <c:v>143</c:v>
                </c:pt>
                <c:pt idx="54">
                  <c:v>144</c:v>
                </c:pt>
                <c:pt idx="55">
                  <c:v>145</c:v>
                </c:pt>
                <c:pt idx="56">
                  <c:v>146</c:v>
                </c:pt>
                <c:pt idx="57">
                  <c:v>147</c:v>
                </c:pt>
                <c:pt idx="58">
                  <c:v>148</c:v>
                </c:pt>
                <c:pt idx="59">
                  <c:v>149</c:v>
                </c:pt>
                <c:pt idx="60">
                  <c:v>150</c:v>
                </c:pt>
                <c:pt idx="61">
                  <c:v>151</c:v>
                </c:pt>
                <c:pt idx="62">
                  <c:v>152</c:v>
                </c:pt>
                <c:pt idx="63">
                  <c:v>153</c:v>
                </c:pt>
                <c:pt idx="64">
                  <c:v>154</c:v>
                </c:pt>
                <c:pt idx="65">
                  <c:v>155</c:v>
                </c:pt>
                <c:pt idx="66">
                  <c:v>156</c:v>
                </c:pt>
                <c:pt idx="67">
                  <c:v>157</c:v>
                </c:pt>
                <c:pt idx="68">
                  <c:v>158</c:v>
                </c:pt>
                <c:pt idx="69">
                  <c:v>159</c:v>
                </c:pt>
                <c:pt idx="70">
                  <c:v>160</c:v>
                </c:pt>
                <c:pt idx="71">
                  <c:v>161</c:v>
                </c:pt>
                <c:pt idx="72">
                  <c:v>162</c:v>
                </c:pt>
                <c:pt idx="73">
                  <c:v>163</c:v>
                </c:pt>
                <c:pt idx="74">
                  <c:v>164</c:v>
                </c:pt>
                <c:pt idx="75">
                  <c:v>165</c:v>
                </c:pt>
                <c:pt idx="76">
                  <c:v>166</c:v>
                </c:pt>
                <c:pt idx="77">
                  <c:v>167</c:v>
                </c:pt>
                <c:pt idx="78">
                  <c:v>168</c:v>
                </c:pt>
                <c:pt idx="79">
                  <c:v>169</c:v>
                </c:pt>
                <c:pt idx="80">
                  <c:v>170</c:v>
                </c:pt>
                <c:pt idx="81">
                  <c:v>171</c:v>
                </c:pt>
                <c:pt idx="82">
                  <c:v>172</c:v>
                </c:pt>
                <c:pt idx="83">
                  <c:v>173</c:v>
                </c:pt>
                <c:pt idx="84">
                  <c:v>174</c:v>
                </c:pt>
                <c:pt idx="85">
                  <c:v>175</c:v>
                </c:pt>
                <c:pt idx="86">
                  <c:v>176</c:v>
                </c:pt>
                <c:pt idx="87">
                  <c:v>177</c:v>
                </c:pt>
                <c:pt idx="88">
                  <c:v>178</c:v>
                </c:pt>
                <c:pt idx="89">
                  <c:v>179</c:v>
                </c:pt>
                <c:pt idx="90">
                  <c:v>180</c:v>
                </c:pt>
                <c:pt idx="91">
                  <c:v>181</c:v>
                </c:pt>
                <c:pt idx="92">
                  <c:v>182</c:v>
                </c:pt>
                <c:pt idx="93">
                  <c:v>183</c:v>
                </c:pt>
                <c:pt idx="94">
                  <c:v>184</c:v>
                </c:pt>
                <c:pt idx="95">
                  <c:v>185</c:v>
                </c:pt>
                <c:pt idx="96">
                  <c:v>186</c:v>
                </c:pt>
                <c:pt idx="97">
                  <c:v>187</c:v>
                </c:pt>
                <c:pt idx="98">
                  <c:v>188</c:v>
                </c:pt>
                <c:pt idx="99">
                  <c:v>189</c:v>
                </c:pt>
                <c:pt idx="100">
                  <c:v>190</c:v>
                </c:pt>
                <c:pt idx="101">
                  <c:v>191</c:v>
                </c:pt>
                <c:pt idx="102">
                  <c:v>192</c:v>
                </c:pt>
                <c:pt idx="103">
                  <c:v>193</c:v>
                </c:pt>
                <c:pt idx="104">
                  <c:v>194</c:v>
                </c:pt>
                <c:pt idx="105">
                  <c:v>195</c:v>
                </c:pt>
                <c:pt idx="106">
                  <c:v>196</c:v>
                </c:pt>
                <c:pt idx="107">
                  <c:v>197</c:v>
                </c:pt>
                <c:pt idx="108">
                  <c:v>198</c:v>
                </c:pt>
                <c:pt idx="109">
                  <c:v>199</c:v>
                </c:pt>
                <c:pt idx="110">
                  <c:v>200</c:v>
                </c:pt>
                <c:pt idx="111">
                  <c:v>201</c:v>
                </c:pt>
                <c:pt idx="112">
                  <c:v>202</c:v>
                </c:pt>
                <c:pt idx="113">
                  <c:v>203</c:v>
                </c:pt>
                <c:pt idx="114">
                  <c:v>204</c:v>
                </c:pt>
                <c:pt idx="115">
                  <c:v>205</c:v>
                </c:pt>
                <c:pt idx="116">
                  <c:v>206</c:v>
                </c:pt>
                <c:pt idx="117">
                  <c:v>207</c:v>
                </c:pt>
                <c:pt idx="118">
                  <c:v>208</c:v>
                </c:pt>
                <c:pt idx="119">
                  <c:v>209</c:v>
                </c:pt>
                <c:pt idx="120">
                  <c:v>210</c:v>
                </c:pt>
                <c:pt idx="121">
                  <c:v>211</c:v>
                </c:pt>
                <c:pt idx="122">
                  <c:v>212</c:v>
                </c:pt>
                <c:pt idx="123">
                  <c:v>213</c:v>
                </c:pt>
                <c:pt idx="124">
                  <c:v>214</c:v>
                </c:pt>
                <c:pt idx="125">
                  <c:v>215</c:v>
                </c:pt>
                <c:pt idx="126">
                  <c:v>216</c:v>
                </c:pt>
                <c:pt idx="127">
                  <c:v>217</c:v>
                </c:pt>
                <c:pt idx="128">
                  <c:v>218</c:v>
                </c:pt>
                <c:pt idx="129">
                  <c:v>219</c:v>
                </c:pt>
                <c:pt idx="130">
                  <c:v>220</c:v>
                </c:pt>
                <c:pt idx="131">
                  <c:v>221</c:v>
                </c:pt>
                <c:pt idx="132">
                  <c:v>222</c:v>
                </c:pt>
                <c:pt idx="133">
                  <c:v>223</c:v>
                </c:pt>
                <c:pt idx="134">
                  <c:v>224</c:v>
                </c:pt>
                <c:pt idx="135">
                  <c:v>225</c:v>
                </c:pt>
                <c:pt idx="136">
                  <c:v>226</c:v>
                </c:pt>
                <c:pt idx="137">
                  <c:v>227</c:v>
                </c:pt>
                <c:pt idx="138">
                  <c:v>228</c:v>
                </c:pt>
                <c:pt idx="139">
                  <c:v>229</c:v>
                </c:pt>
                <c:pt idx="140">
                  <c:v>230</c:v>
                </c:pt>
                <c:pt idx="141">
                  <c:v>231</c:v>
                </c:pt>
                <c:pt idx="142">
                  <c:v>232</c:v>
                </c:pt>
                <c:pt idx="143">
                  <c:v>233</c:v>
                </c:pt>
                <c:pt idx="144">
                  <c:v>234</c:v>
                </c:pt>
                <c:pt idx="145">
                  <c:v>235</c:v>
                </c:pt>
                <c:pt idx="146">
                  <c:v>236</c:v>
                </c:pt>
                <c:pt idx="147">
                  <c:v>237</c:v>
                </c:pt>
                <c:pt idx="148">
                  <c:v>238</c:v>
                </c:pt>
                <c:pt idx="149">
                  <c:v>239</c:v>
                </c:pt>
                <c:pt idx="150">
                  <c:v>240</c:v>
                </c:pt>
                <c:pt idx="151">
                  <c:v>241</c:v>
                </c:pt>
                <c:pt idx="152">
                  <c:v>242</c:v>
                </c:pt>
                <c:pt idx="153">
                  <c:v>243</c:v>
                </c:pt>
                <c:pt idx="154">
                  <c:v>244</c:v>
                </c:pt>
                <c:pt idx="155">
                  <c:v>245</c:v>
                </c:pt>
                <c:pt idx="156">
                  <c:v>246</c:v>
                </c:pt>
                <c:pt idx="157">
                  <c:v>247</c:v>
                </c:pt>
                <c:pt idx="158">
                  <c:v>248</c:v>
                </c:pt>
                <c:pt idx="159">
                  <c:v>249</c:v>
                </c:pt>
                <c:pt idx="160">
                  <c:v>250</c:v>
                </c:pt>
                <c:pt idx="161">
                  <c:v>251</c:v>
                </c:pt>
                <c:pt idx="162">
                  <c:v>252</c:v>
                </c:pt>
                <c:pt idx="163">
                  <c:v>253</c:v>
                </c:pt>
                <c:pt idx="164">
                  <c:v>254</c:v>
                </c:pt>
                <c:pt idx="165">
                  <c:v>255</c:v>
                </c:pt>
                <c:pt idx="166">
                  <c:v>256</c:v>
                </c:pt>
                <c:pt idx="167">
                  <c:v>257</c:v>
                </c:pt>
                <c:pt idx="168">
                  <c:v>258</c:v>
                </c:pt>
                <c:pt idx="169">
                  <c:v>259</c:v>
                </c:pt>
                <c:pt idx="170">
                  <c:v>260</c:v>
                </c:pt>
                <c:pt idx="171">
                  <c:v>261</c:v>
                </c:pt>
                <c:pt idx="172">
                  <c:v>262</c:v>
                </c:pt>
                <c:pt idx="173">
                  <c:v>263</c:v>
                </c:pt>
                <c:pt idx="174">
                  <c:v>264</c:v>
                </c:pt>
                <c:pt idx="175">
                  <c:v>265</c:v>
                </c:pt>
                <c:pt idx="176">
                  <c:v>266</c:v>
                </c:pt>
                <c:pt idx="177">
                  <c:v>267</c:v>
                </c:pt>
                <c:pt idx="178">
                  <c:v>268</c:v>
                </c:pt>
                <c:pt idx="179">
                  <c:v>269</c:v>
                </c:pt>
                <c:pt idx="180">
                  <c:v>270</c:v>
                </c:pt>
                <c:pt idx="181">
                  <c:v>271</c:v>
                </c:pt>
                <c:pt idx="182">
                  <c:v>272</c:v>
                </c:pt>
                <c:pt idx="183">
                  <c:v>273</c:v>
                </c:pt>
                <c:pt idx="184">
                  <c:v>274</c:v>
                </c:pt>
                <c:pt idx="185">
                  <c:v>275</c:v>
                </c:pt>
                <c:pt idx="186">
                  <c:v>276</c:v>
                </c:pt>
                <c:pt idx="187">
                  <c:v>277</c:v>
                </c:pt>
                <c:pt idx="188">
                  <c:v>278</c:v>
                </c:pt>
                <c:pt idx="189">
                  <c:v>279</c:v>
                </c:pt>
                <c:pt idx="190">
                  <c:v>280</c:v>
                </c:pt>
                <c:pt idx="191">
                  <c:v>282</c:v>
                </c:pt>
                <c:pt idx="192">
                  <c:v>284</c:v>
                </c:pt>
                <c:pt idx="193">
                  <c:v>286</c:v>
                </c:pt>
                <c:pt idx="194">
                  <c:v>288</c:v>
                </c:pt>
                <c:pt idx="195">
                  <c:v>290</c:v>
                </c:pt>
                <c:pt idx="196">
                  <c:v>292</c:v>
                </c:pt>
                <c:pt idx="197">
                  <c:v>294</c:v>
                </c:pt>
                <c:pt idx="198">
                  <c:v>296</c:v>
                </c:pt>
                <c:pt idx="199">
                  <c:v>298</c:v>
                </c:pt>
                <c:pt idx="200">
                  <c:v>300</c:v>
                </c:pt>
              </c:numCache>
            </c:numRef>
          </c:cat>
          <c:val>
            <c:numRef>
              <c:f>Matrix!$W$11:$W$210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0.125</c:v>
                </c:pt>
                <c:pt idx="118">
                  <c:v>0.25</c:v>
                </c:pt>
                <c:pt idx="119">
                  <c:v>0.25</c:v>
                </c:pt>
                <c:pt idx="120">
                  <c:v>0.25</c:v>
                </c:pt>
                <c:pt idx="121">
                  <c:v>0.25</c:v>
                </c:pt>
                <c:pt idx="122">
                  <c:v>0.25</c:v>
                </c:pt>
                <c:pt idx="123">
                  <c:v>0.25</c:v>
                </c:pt>
                <c:pt idx="124">
                  <c:v>0.25</c:v>
                </c:pt>
                <c:pt idx="125">
                  <c:v>0.125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2.75</c:v>
                </c:pt>
                <c:pt idx="182">
                  <c:v>8.875</c:v>
                </c:pt>
                <c:pt idx="183">
                  <c:v>8.875</c:v>
                </c:pt>
                <c:pt idx="184">
                  <c:v>8.875</c:v>
                </c:pt>
                <c:pt idx="185">
                  <c:v>8.875</c:v>
                </c:pt>
                <c:pt idx="186">
                  <c:v>8.875</c:v>
                </c:pt>
                <c:pt idx="187">
                  <c:v>8.875</c:v>
                </c:pt>
                <c:pt idx="188">
                  <c:v>8.875</c:v>
                </c:pt>
                <c:pt idx="189">
                  <c:v>6.125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E08-4FEF-8A09-E8A1F7504550}"/>
            </c:ext>
          </c:extLst>
        </c:ser>
        <c:ser>
          <c:idx val="9"/>
          <c:order val="9"/>
          <c:tx>
            <c:strRef>
              <c:f>Matrix!$X$10</c:f>
              <c:strCache>
                <c:ptCount val="1"/>
                <c:pt idx="0">
                  <c:v>Wolverine (C)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cat>
            <c:numRef>
              <c:f>Matrix!$B$11:$B$211</c:f>
              <c:numCache>
                <c:formatCode>General</c:formatCode>
                <c:ptCount val="201"/>
                <c:pt idx="0">
                  <c:v>83</c:v>
                </c:pt>
                <c:pt idx="1">
                  <c:v>85</c:v>
                </c:pt>
                <c:pt idx="2">
                  <c:v>87</c:v>
                </c:pt>
                <c:pt idx="3">
                  <c:v>89</c:v>
                </c:pt>
                <c:pt idx="4">
                  <c:v>91</c:v>
                </c:pt>
                <c:pt idx="5">
                  <c:v>93</c:v>
                </c:pt>
                <c:pt idx="6">
                  <c:v>95</c:v>
                </c:pt>
                <c:pt idx="7">
                  <c:v>97</c:v>
                </c:pt>
                <c:pt idx="8">
                  <c:v>98</c:v>
                </c:pt>
                <c:pt idx="9">
                  <c:v>99</c:v>
                </c:pt>
                <c:pt idx="10">
                  <c:v>100</c:v>
                </c:pt>
                <c:pt idx="11">
                  <c:v>101</c:v>
                </c:pt>
                <c:pt idx="12">
                  <c:v>102</c:v>
                </c:pt>
                <c:pt idx="13">
                  <c:v>103</c:v>
                </c:pt>
                <c:pt idx="14">
                  <c:v>104</c:v>
                </c:pt>
                <c:pt idx="15">
                  <c:v>105</c:v>
                </c:pt>
                <c:pt idx="16">
                  <c:v>106</c:v>
                </c:pt>
                <c:pt idx="17">
                  <c:v>107</c:v>
                </c:pt>
                <c:pt idx="18">
                  <c:v>108</c:v>
                </c:pt>
                <c:pt idx="19">
                  <c:v>109</c:v>
                </c:pt>
                <c:pt idx="20">
                  <c:v>110</c:v>
                </c:pt>
                <c:pt idx="21">
                  <c:v>111</c:v>
                </c:pt>
                <c:pt idx="22">
                  <c:v>112</c:v>
                </c:pt>
                <c:pt idx="23">
                  <c:v>113</c:v>
                </c:pt>
                <c:pt idx="24">
                  <c:v>114</c:v>
                </c:pt>
                <c:pt idx="25">
                  <c:v>115</c:v>
                </c:pt>
                <c:pt idx="26">
                  <c:v>116</c:v>
                </c:pt>
                <c:pt idx="27">
                  <c:v>117</c:v>
                </c:pt>
                <c:pt idx="28">
                  <c:v>118</c:v>
                </c:pt>
                <c:pt idx="29">
                  <c:v>119</c:v>
                </c:pt>
                <c:pt idx="30">
                  <c:v>120</c:v>
                </c:pt>
                <c:pt idx="31">
                  <c:v>121</c:v>
                </c:pt>
                <c:pt idx="32">
                  <c:v>122</c:v>
                </c:pt>
                <c:pt idx="33">
                  <c:v>123</c:v>
                </c:pt>
                <c:pt idx="34">
                  <c:v>124</c:v>
                </c:pt>
                <c:pt idx="35">
                  <c:v>125</c:v>
                </c:pt>
                <c:pt idx="36">
                  <c:v>126</c:v>
                </c:pt>
                <c:pt idx="37">
                  <c:v>127</c:v>
                </c:pt>
                <c:pt idx="38">
                  <c:v>128</c:v>
                </c:pt>
                <c:pt idx="39">
                  <c:v>129</c:v>
                </c:pt>
                <c:pt idx="40">
                  <c:v>130</c:v>
                </c:pt>
                <c:pt idx="41">
                  <c:v>131</c:v>
                </c:pt>
                <c:pt idx="42">
                  <c:v>132</c:v>
                </c:pt>
                <c:pt idx="43">
                  <c:v>133</c:v>
                </c:pt>
                <c:pt idx="44">
                  <c:v>134</c:v>
                </c:pt>
                <c:pt idx="45">
                  <c:v>135</c:v>
                </c:pt>
                <c:pt idx="46">
                  <c:v>136</c:v>
                </c:pt>
                <c:pt idx="47">
                  <c:v>137</c:v>
                </c:pt>
                <c:pt idx="48">
                  <c:v>138</c:v>
                </c:pt>
                <c:pt idx="49">
                  <c:v>139</c:v>
                </c:pt>
                <c:pt idx="50">
                  <c:v>140</c:v>
                </c:pt>
                <c:pt idx="51">
                  <c:v>141</c:v>
                </c:pt>
                <c:pt idx="52">
                  <c:v>142</c:v>
                </c:pt>
                <c:pt idx="53">
                  <c:v>143</c:v>
                </c:pt>
                <c:pt idx="54">
                  <c:v>144</c:v>
                </c:pt>
                <c:pt idx="55">
                  <c:v>145</c:v>
                </c:pt>
                <c:pt idx="56">
                  <c:v>146</c:v>
                </c:pt>
                <c:pt idx="57">
                  <c:v>147</c:v>
                </c:pt>
                <c:pt idx="58">
                  <c:v>148</c:v>
                </c:pt>
                <c:pt idx="59">
                  <c:v>149</c:v>
                </c:pt>
                <c:pt idx="60">
                  <c:v>150</c:v>
                </c:pt>
                <c:pt idx="61">
                  <c:v>151</c:v>
                </c:pt>
                <c:pt idx="62">
                  <c:v>152</c:v>
                </c:pt>
                <c:pt idx="63">
                  <c:v>153</c:v>
                </c:pt>
                <c:pt idx="64">
                  <c:v>154</c:v>
                </c:pt>
                <c:pt idx="65">
                  <c:v>155</c:v>
                </c:pt>
                <c:pt idx="66">
                  <c:v>156</c:v>
                </c:pt>
                <c:pt idx="67">
                  <c:v>157</c:v>
                </c:pt>
                <c:pt idx="68">
                  <c:v>158</c:v>
                </c:pt>
                <c:pt idx="69">
                  <c:v>159</c:v>
                </c:pt>
                <c:pt idx="70">
                  <c:v>160</c:v>
                </c:pt>
                <c:pt idx="71">
                  <c:v>161</c:v>
                </c:pt>
                <c:pt idx="72">
                  <c:v>162</c:v>
                </c:pt>
                <c:pt idx="73">
                  <c:v>163</c:v>
                </c:pt>
                <c:pt idx="74">
                  <c:v>164</c:v>
                </c:pt>
                <c:pt idx="75">
                  <c:v>165</c:v>
                </c:pt>
                <c:pt idx="76">
                  <c:v>166</c:v>
                </c:pt>
                <c:pt idx="77">
                  <c:v>167</c:v>
                </c:pt>
                <c:pt idx="78">
                  <c:v>168</c:v>
                </c:pt>
                <c:pt idx="79">
                  <c:v>169</c:v>
                </c:pt>
                <c:pt idx="80">
                  <c:v>170</c:v>
                </c:pt>
                <c:pt idx="81">
                  <c:v>171</c:v>
                </c:pt>
                <c:pt idx="82">
                  <c:v>172</c:v>
                </c:pt>
                <c:pt idx="83">
                  <c:v>173</c:v>
                </c:pt>
                <c:pt idx="84">
                  <c:v>174</c:v>
                </c:pt>
                <c:pt idx="85">
                  <c:v>175</c:v>
                </c:pt>
                <c:pt idx="86">
                  <c:v>176</c:v>
                </c:pt>
                <c:pt idx="87">
                  <c:v>177</c:v>
                </c:pt>
                <c:pt idx="88">
                  <c:v>178</c:v>
                </c:pt>
                <c:pt idx="89">
                  <c:v>179</c:v>
                </c:pt>
                <c:pt idx="90">
                  <c:v>180</c:v>
                </c:pt>
                <c:pt idx="91">
                  <c:v>181</c:v>
                </c:pt>
                <c:pt idx="92">
                  <c:v>182</c:v>
                </c:pt>
                <c:pt idx="93">
                  <c:v>183</c:v>
                </c:pt>
                <c:pt idx="94">
                  <c:v>184</c:v>
                </c:pt>
                <c:pt idx="95">
                  <c:v>185</c:v>
                </c:pt>
                <c:pt idx="96">
                  <c:v>186</c:v>
                </c:pt>
                <c:pt idx="97">
                  <c:v>187</c:v>
                </c:pt>
                <c:pt idx="98">
                  <c:v>188</c:v>
                </c:pt>
                <c:pt idx="99">
                  <c:v>189</c:v>
                </c:pt>
                <c:pt idx="100">
                  <c:v>190</c:v>
                </c:pt>
                <c:pt idx="101">
                  <c:v>191</c:v>
                </c:pt>
                <c:pt idx="102">
                  <c:v>192</c:v>
                </c:pt>
                <c:pt idx="103">
                  <c:v>193</c:v>
                </c:pt>
                <c:pt idx="104">
                  <c:v>194</c:v>
                </c:pt>
                <c:pt idx="105">
                  <c:v>195</c:v>
                </c:pt>
                <c:pt idx="106">
                  <c:v>196</c:v>
                </c:pt>
                <c:pt idx="107">
                  <c:v>197</c:v>
                </c:pt>
                <c:pt idx="108">
                  <c:v>198</c:v>
                </c:pt>
                <c:pt idx="109">
                  <c:v>199</c:v>
                </c:pt>
                <c:pt idx="110">
                  <c:v>200</c:v>
                </c:pt>
                <c:pt idx="111">
                  <c:v>201</c:v>
                </c:pt>
                <c:pt idx="112">
                  <c:v>202</c:v>
                </c:pt>
                <c:pt idx="113">
                  <c:v>203</c:v>
                </c:pt>
                <c:pt idx="114">
                  <c:v>204</c:v>
                </c:pt>
                <c:pt idx="115">
                  <c:v>205</c:v>
                </c:pt>
                <c:pt idx="116">
                  <c:v>206</c:v>
                </c:pt>
                <c:pt idx="117">
                  <c:v>207</c:v>
                </c:pt>
                <c:pt idx="118">
                  <c:v>208</c:v>
                </c:pt>
                <c:pt idx="119">
                  <c:v>209</c:v>
                </c:pt>
                <c:pt idx="120">
                  <c:v>210</c:v>
                </c:pt>
                <c:pt idx="121">
                  <c:v>211</c:v>
                </c:pt>
                <c:pt idx="122">
                  <c:v>212</c:v>
                </c:pt>
                <c:pt idx="123">
                  <c:v>213</c:v>
                </c:pt>
                <c:pt idx="124">
                  <c:v>214</c:v>
                </c:pt>
                <c:pt idx="125">
                  <c:v>215</c:v>
                </c:pt>
                <c:pt idx="126">
                  <c:v>216</c:v>
                </c:pt>
                <c:pt idx="127">
                  <c:v>217</c:v>
                </c:pt>
                <c:pt idx="128">
                  <c:v>218</c:v>
                </c:pt>
                <c:pt idx="129">
                  <c:v>219</c:v>
                </c:pt>
                <c:pt idx="130">
                  <c:v>220</c:v>
                </c:pt>
                <c:pt idx="131">
                  <c:v>221</c:v>
                </c:pt>
                <c:pt idx="132">
                  <c:v>222</c:v>
                </c:pt>
                <c:pt idx="133">
                  <c:v>223</c:v>
                </c:pt>
                <c:pt idx="134">
                  <c:v>224</c:v>
                </c:pt>
                <c:pt idx="135">
                  <c:v>225</c:v>
                </c:pt>
                <c:pt idx="136">
                  <c:v>226</c:v>
                </c:pt>
                <c:pt idx="137">
                  <c:v>227</c:v>
                </c:pt>
                <c:pt idx="138">
                  <c:v>228</c:v>
                </c:pt>
                <c:pt idx="139">
                  <c:v>229</c:v>
                </c:pt>
                <c:pt idx="140">
                  <c:v>230</c:v>
                </c:pt>
                <c:pt idx="141">
                  <c:v>231</c:v>
                </c:pt>
                <c:pt idx="142">
                  <c:v>232</c:v>
                </c:pt>
                <c:pt idx="143">
                  <c:v>233</c:v>
                </c:pt>
                <c:pt idx="144">
                  <c:v>234</c:v>
                </c:pt>
                <c:pt idx="145">
                  <c:v>235</c:v>
                </c:pt>
                <c:pt idx="146">
                  <c:v>236</c:v>
                </c:pt>
                <c:pt idx="147">
                  <c:v>237</c:v>
                </c:pt>
                <c:pt idx="148">
                  <c:v>238</c:v>
                </c:pt>
                <c:pt idx="149">
                  <c:v>239</c:v>
                </c:pt>
                <c:pt idx="150">
                  <c:v>240</c:v>
                </c:pt>
                <c:pt idx="151">
                  <c:v>241</c:v>
                </c:pt>
                <c:pt idx="152">
                  <c:v>242</c:v>
                </c:pt>
                <c:pt idx="153">
                  <c:v>243</c:v>
                </c:pt>
                <c:pt idx="154">
                  <c:v>244</c:v>
                </c:pt>
                <c:pt idx="155">
                  <c:v>245</c:v>
                </c:pt>
                <c:pt idx="156">
                  <c:v>246</c:v>
                </c:pt>
                <c:pt idx="157">
                  <c:v>247</c:v>
                </c:pt>
                <c:pt idx="158">
                  <c:v>248</c:v>
                </c:pt>
                <c:pt idx="159">
                  <c:v>249</c:v>
                </c:pt>
                <c:pt idx="160">
                  <c:v>250</c:v>
                </c:pt>
                <c:pt idx="161">
                  <c:v>251</c:v>
                </c:pt>
                <c:pt idx="162">
                  <c:v>252</c:v>
                </c:pt>
                <c:pt idx="163">
                  <c:v>253</c:v>
                </c:pt>
                <c:pt idx="164">
                  <c:v>254</c:v>
                </c:pt>
                <c:pt idx="165">
                  <c:v>255</c:v>
                </c:pt>
                <c:pt idx="166">
                  <c:v>256</c:v>
                </c:pt>
                <c:pt idx="167">
                  <c:v>257</c:v>
                </c:pt>
                <c:pt idx="168">
                  <c:v>258</c:v>
                </c:pt>
                <c:pt idx="169">
                  <c:v>259</c:v>
                </c:pt>
                <c:pt idx="170">
                  <c:v>260</c:v>
                </c:pt>
                <c:pt idx="171">
                  <c:v>261</c:v>
                </c:pt>
                <c:pt idx="172">
                  <c:v>262</c:v>
                </c:pt>
                <c:pt idx="173">
                  <c:v>263</c:v>
                </c:pt>
                <c:pt idx="174">
                  <c:v>264</c:v>
                </c:pt>
                <c:pt idx="175">
                  <c:v>265</c:v>
                </c:pt>
                <c:pt idx="176">
                  <c:v>266</c:v>
                </c:pt>
                <c:pt idx="177">
                  <c:v>267</c:v>
                </c:pt>
                <c:pt idx="178">
                  <c:v>268</c:v>
                </c:pt>
                <c:pt idx="179">
                  <c:v>269</c:v>
                </c:pt>
                <c:pt idx="180">
                  <c:v>270</c:v>
                </c:pt>
                <c:pt idx="181">
                  <c:v>271</c:v>
                </c:pt>
                <c:pt idx="182">
                  <c:v>272</c:v>
                </c:pt>
                <c:pt idx="183">
                  <c:v>273</c:v>
                </c:pt>
                <c:pt idx="184">
                  <c:v>274</c:v>
                </c:pt>
                <c:pt idx="185">
                  <c:v>275</c:v>
                </c:pt>
                <c:pt idx="186">
                  <c:v>276</c:v>
                </c:pt>
                <c:pt idx="187">
                  <c:v>277</c:v>
                </c:pt>
                <c:pt idx="188">
                  <c:v>278</c:v>
                </c:pt>
                <c:pt idx="189">
                  <c:v>279</c:v>
                </c:pt>
                <c:pt idx="190">
                  <c:v>280</c:v>
                </c:pt>
                <c:pt idx="191">
                  <c:v>282</c:v>
                </c:pt>
                <c:pt idx="192">
                  <c:v>284</c:v>
                </c:pt>
                <c:pt idx="193">
                  <c:v>286</c:v>
                </c:pt>
                <c:pt idx="194">
                  <c:v>288</c:v>
                </c:pt>
                <c:pt idx="195">
                  <c:v>290</c:v>
                </c:pt>
                <c:pt idx="196">
                  <c:v>292</c:v>
                </c:pt>
                <c:pt idx="197">
                  <c:v>294</c:v>
                </c:pt>
                <c:pt idx="198">
                  <c:v>296</c:v>
                </c:pt>
                <c:pt idx="199">
                  <c:v>298</c:v>
                </c:pt>
                <c:pt idx="200">
                  <c:v>300</c:v>
                </c:pt>
              </c:numCache>
            </c:numRef>
          </c:cat>
          <c:val>
            <c:numRef>
              <c:f>Matrix!$X$11:$X$210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0.125</c:v>
                </c:pt>
                <c:pt idx="63">
                  <c:v>0.125</c:v>
                </c:pt>
                <c:pt idx="64">
                  <c:v>0.125</c:v>
                </c:pt>
                <c:pt idx="65">
                  <c:v>0.125</c:v>
                </c:pt>
                <c:pt idx="66">
                  <c:v>0.125</c:v>
                </c:pt>
                <c:pt idx="67">
                  <c:v>0.125</c:v>
                </c:pt>
                <c:pt idx="68">
                  <c:v>0.125</c:v>
                </c:pt>
                <c:pt idx="69">
                  <c:v>0.125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0.25</c:v>
                </c:pt>
                <c:pt idx="74">
                  <c:v>0.25</c:v>
                </c:pt>
                <c:pt idx="75">
                  <c:v>0.25</c:v>
                </c:pt>
                <c:pt idx="76">
                  <c:v>0.25</c:v>
                </c:pt>
                <c:pt idx="77">
                  <c:v>0.25</c:v>
                </c:pt>
                <c:pt idx="78">
                  <c:v>0.25</c:v>
                </c:pt>
                <c:pt idx="79">
                  <c:v>0.25</c:v>
                </c:pt>
                <c:pt idx="80">
                  <c:v>0.25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0.125</c:v>
                </c:pt>
                <c:pt idx="108">
                  <c:v>0.125</c:v>
                </c:pt>
                <c:pt idx="109">
                  <c:v>0.125</c:v>
                </c:pt>
                <c:pt idx="110">
                  <c:v>0.125</c:v>
                </c:pt>
                <c:pt idx="111">
                  <c:v>0.125</c:v>
                </c:pt>
                <c:pt idx="112">
                  <c:v>0.125</c:v>
                </c:pt>
                <c:pt idx="113">
                  <c:v>0.125</c:v>
                </c:pt>
                <c:pt idx="114">
                  <c:v>0.125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0.125</c:v>
                </c:pt>
                <c:pt idx="119">
                  <c:v>0.125</c:v>
                </c:pt>
                <c:pt idx="120">
                  <c:v>0.125</c:v>
                </c:pt>
                <c:pt idx="121">
                  <c:v>0.125</c:v>
                </c:pt>
                <c:pt idx="122">
                  <c:v>0.125</c:v>
                </c:pt>
                <c:pt idx="123">
                  <c:v>0.125</c:v>
                </c:pt>
                <c:pt idx="124">
                  <c:v>0.125</c:v>
                </c:pt>
                <c:pt idx="125">
                  <c:v>0.125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0.25</c:v>
                </c:pt>
                <c:pt idx="138">
                  <c:v>0.25</c:v>
                </c:pt>
                <c:pt idx="139">
                  <c:v>0.25</c:v>
                </c:pt>
                <c:pt idx="140">
                  <c:v>0.25</c:v>
                </c:pt>
                <c:pt idx="141">
                  <c:v>0.25</c:v>
                </c:pt>
                <c:pt idx="142">
                  <c:v>0.25</c:v>
                </c:pt>
                <c:pt idx="143">
                  <c:v>0.25</c:v>
                </c:pt>
                <c:pt idx="144">
                  <c:v>0.25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E08-4FEF-8A09-E8A1F7504550}"/>
            </c:ext>
          </c:extLst>
        </c:ser>
        <c:ser>
          <c:idx val="10"/>
          <c:order val="10"/>
          <c:tx>
            <c:strRef>
              <c:f>Matrix!$Y$10</c:f>
              <c:strCache>
                <c:ptCount val="1"/>
                <c:pt idx="0">
                  <c:v>Wolverine (N)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cat>
            <c:numRef>
              <c:f>Matrix!$B$11:$B$211</c:f>
              <c:numCache>
                <c:formatCode>General</c:formatCode>
                <c:ptCount val="201"/>
                <c:pt idx="0">
                  <c:v>83</c:v>
                </c:pt>
                <c:pt idx="1">
                  <c:v>85</c:v>
                </c:pt>
                <c:pt idx="2">
                  <c:v>87</c:v>
                </c:pt>
                <c:pt idx="3">
                  <c:v>89</c:v>
                </c:pt>
                <c:pt idx="4">
                  <c:v>91</c:v>
                </c:pt>
                <c:pt idx="5">
                  <c:v>93</c:v>
                </c:pt>
                <c:pt idx="6">
                  <c:v>95</c:v>
                </c:pt>
                <c:pt idx="7">
                  <c:v>97</c:v>
                </c:pt>
                <c:pt idx="8">
                  <c:v>98</c:v>
                </c:pt>
                <c:pt idx="9">
                  <c:v>99</c:v>
                </c:pt>
                <c:pt idx="10">
                  <c:v>100</c:v>
                </c:pt>
                <c:pt idx="11">
                  <c:v>101</c:v>
                </c:pt>
                <c:pt idx="12">
                  <c:v>102</c:v>
                </c:pt>
                <c:pt idx="13">
                  <c:v>103</c:v>
                </c:pt>
                <c:pt idx="14">
                  <c:v>104</c:v>
                </c:pt>
                <c:pt idx="15">
                  <c:v>105</c:v>
                </c:pt>
                <c:pt idx="16">
                  <c:v>106</c:v>
                </c:pt>
                <c:pt idx="17">
                  <c:v>107</c:v>
                </c:pt>
                <c:pt idx="18">
                  <c:v>108</c:v>
                </c:pt>
                <c:pt idx="19">
                  <c:v>109</c:v>
                </c:pt>
                <c:pt idx="20">
                  <c:v>110</c:v>
                </c:pt>
                <c:pt idx="21">
                  <c:v>111</c:v>
                </c:pt>
                <c:pt idx="22">
                  <c:v>112</c:v>
                </c:pt>
                <c:pt idx="23">
                  <c:v>113</c:v>
                </c:pt>
                <c:pt idx="24">
                  <c:v>114</c:v>
                </c:pt>
                <c:pt idx="25">
                  <c:v>115</c:v>
                </c:pt>
                <c:pt idx="26">
                  <c:v>116</c:v>
                </c:pt>
                <c:pt idx="27">
                  <c:v>117</c:v>
                </c:pt>
                <c:pt idx="28">
                  <c:v>118</c:v>
                </c:pt>
                <c:pt idx="29">
                  <c:v>119</c:v>
                </c:pt>
                <c:pt idx="30">
                  <c:v>120</c:v>
                </c:pt>
                <c:pt idx="31">
                  <c:v>121</c:v>
                </c:pt>
                <c:pt idx="32">
                  <c:v>122</c:v>
                </c:pt>
                <c:pt idx="33">
                  <c:v>123</c:v>
                </c:pt>
                <c:pt idx="34">
                  <c:v>124</c:v>
                </c:pt>
                <c:pt idx="35">
                  <c:v>125</c:v>
                </c:pt>
                <c:pt idx="36">
                  <c:v>126</c:v>
                </c:pt>
                <c:pt idx="37">
                  <c:v>127</c:v>
                </c:pt>
                <c:pt idx="38">
                  <c:v>128</c:v>
                </c:pt>
                <c:pt idx="39">
                  <c:v>129</c:v>
                </c:pt>
                <c:pt idx="40">
                  <c:v>130</c:v>
                </c:pt>
                <c:pt idx="41">
                  <c:v>131</c:v>
                </c:pt>
                <c:pt idx="42">
                  <c:v>132</c:v>
                </c:pt>
                <c:pt idx="43">
                  <c:v>133</c:v>
                </c:pt>
                <c:pt idx="44">
                  <c:v>134</c:v>
                </c:pt>
                <c:pt idx="45">
                  <c:v>135</c:v>
                </c:pt>
                <c:pt idx="46">
                  <c:v>136</c:v>
                </c:pt>
                <c:pt idx="47">
                  <c:v>137</c:v>
                </c:pt>
                <c:pt idx="48">
                  <c:v>138</c:v>
                </c:pt>
                <c:pt idx="49">
                  <c:v>139</c:v>
                </c:pt>
                <c:pt idx="50">
                  <c:v>140</c:v>
                </c:pt>
                <c:pt idx="51">
                  <c:v>141</c:v>
                </c:pt>
                <c:pt idx="52">
                  <c:v>142</c:v>
                </c:pt>
                <c:pt idx="53">
                  <c:v>143</c:v>
                </c:pt>
                <c:pt idx="54">
                  <c:v>144</c:v>
                </c:pt>
                <c:pt idx="55">
                  <c:v>145</c:v>
                </c:pt>
                <c:pt idx="56">
                  <c:v>146</c:v>
                </c:pt>
                <c:pt idx="57">
                  <c:v>147</c:v>
                </c:pt>
                <c:pt idx="58">
                  <c:v>148</c:v>
                </c:pt>
                <c:pt idx="59">
                  <c:v>149</c:v>
                </c:pt>
                <c:pt idx="60">
                  <c:v>150</c:v>
                </c:pt>
                <c:pt idx="61">
                  <c:v>151</c:v>
                </c:pt>
                <c:pt idx="62">
                  <c:v>152</c:v>
                </c:pt>
                <c:pt idx="63">
                  <c:v>153</c:v>
                </c:pt>
                <c:pt idx="64">
                  <c:v>154</c:v>
                </c:pt>
                <c:pt idx="65">
                  <c:v>155</c:v>
                </c:pt>
                <c:pt idx="66">
                  <c:v>156</c:v>
                </c:pt>
                <c:pt idx="67">
                  <c:v>157</c:v>
                </c:pt>
                <c:pt idx="68">
                  <c:v>158</c:v>
                </c:pt>
                <c:pt idx="69">
                  <c:v>159</c:v>
                </c:pt>
                <c:pt idx="70">
                  <c:v>160</c:v>
                </c:pt>
                <c:pt idx="71">
                  <c:v>161</c:v>
                </c:pt>
                <c:pt idx="72">
                  <c:v>162</c:v>
                </c:pt>
                <c:pt idx="73">
                  <c:v>163</c:v>
                </c:pt>
                <c:pt idx="74">
                  <c:v>164</c:v>
                </c:pt>
                <c:pt idx="75">
                  <c:v>165</c:v>
                </c:pt>
                <c:pt idx="76">
                  <c:v>166</c:v>
                </c:pt>
                <c:pt idx="77">
                  <c:v>167</c:v>
                </c:pt>
                <c:pt idx="78">
                  <c:v>168</c:v>
                </c:pt>
                <c:pt idx="79">
                  <c:v>169</c:v>
                </c:pt>
                <c:pt idx="80">
                  <c:v>170</c:v>
                </c:pt>
                <c:pt idx="81">
                  <c:v>171</c:v>
                </c:pt>
                <c:pt idx="82">
                  <c:v>172</c:v>
                </c:pt>
                <c:pt idx="83">
                  <c:v>173</c:v>
                </c:pt>
                <c:pt idx="84">
                  <c:v>174</c:v>
                </c:pt>
                <c:pt idx="85">
                  <c:v>175</c:v>
                </c:pt>
                <c:pt idx="86">
                  <c:v>176</c:v>
                </c:pt>
                <c:pt idx="87">
                  <c:v>177</c:v>
                </c:pt>
                <c:pt idx="88">
                  <c:v>178</c:v>
                </c:pt>
                <c:pt idx="89">
                  <c:v>179</c:v>
                </c:pt>
                <c:pt idx="90">
                  <c:v>180</c:v>
                </c:pt>
                <c:pt idx="91">
                  <c:v>181</c:v>
                </c:pt>
                <c:pt idx="92">
                  <c:v>182</c:v>
                </c:pt>
                <c:pt idx="93">
                  <c:v>183</c:v>
                </c:pt>
                <c:pt idx="94">
                  <c:v>184</c:v>
                </c:pt>
                <c:pt idx="95">
                  <c:v>185</c:v>
                </c:pt>
                <c:pt idx="96">
                  <c:v>186</c:v>
                </c:pt>
                <c:pt idx="97">
                  <c:v>187</c:v>
                </c:pt>
                <c:pt idx="98">
                  <c:v>188</c:v>
                </c:pt>
                <c:pt idx="99">
                  <c:v>189</c:v>
                </c:pt>
                <c:pt idx="100">
                  <c:v>190</c:v>
                </c:pt>
                <c:pt idx="101">
                  <c:v>191</c:v>
                </c:pt>
                <c:pt idx="102">
                  <c:v>192</c:v>
                </c:pt>
                <c:pt idx="103">
                  <c:v>193</c:v>
                </c:pt>
                <c:pt idx="104">
                  <c:v>194</c:v>
                </c:pt>
                <c:pt idx="105">
                  <c:v>195</c:v>
                </c:pt>
                <c:pt idx="106">
                  <c:v>196</c:v>
                </c:pt>
                <c:pt idx="107">
                  <c:v>197</c:v>
                </c:pt>
                <c:pt idx="108">
                  <c:v>198</c:v>
                </c:pt>
                <c:pt idx="109">
                  <c:v>199</c:v>
                </c:pt>
                <c:pt idx="110">
                  <c:v>200</c:v>
                </c:pt>
                <c:pt idx="111">
                  <c:v>201</c:v>
                </c:pt>
                <c:pt idx="112">
                  <c:v>202</c:v>
                </c:pt>
                <c:pt idx="113">
                  <c:v>203</c:v>
                </c:pt>
                <c:pt idx="114">
                  <c:v>204</c:v>
                </c:pt>
                <c:pt idx="115">
                  <c:v>205</c:v>
                </c:pt>
                <c:pt idx="116">
                  <c:v>206</c:v>
                </c:pt>
                <c:pt idx="117">
                  <c:v>207</c:v>
                </c:pt>
                <c:pt idx="118">
                  <c:v>208</c:v>
                </c:pt>
                <c:pt idx="119">
                  <c:v>209</c:v>
                </c:pt>
                <c:pt idx="120">
                  <c:v>210</c:v>
                </c:pt>
                <c:pt idx="121">
                  <c:v>211</c:v>
                </c:pt>
                <c:pt idx="122">
                  <c:v>212</c:v>
                </c:pt>
                <c:pt idx="123">
                  <c:v>213</c:v>
                </c:pt>
                <c:pt idx="124">
                  <c:v>214</c:v>
                </c:pt>
                <c:pt idx="125">
                  <c:v>215</c:v>
                </c:pt>
                <c:pt idx="126">
                  <c:v>216</c:v>
                </c:pt>
                <c:pt idx="127">
                  <c:v>217</c:v>
                </c:pt>
                <c:pt idx="128">
                  <c:v>218</c:v>
                </c:pt>
                <c:pt idx="129">
                  <c:v>219</c:v>
                </c:pt>
                <c:pt idx="130">
                  <c:v>220</c:v>
                </c:pt>
                <c:pt idx="131">
                  <c:v>221</c:v>
                </c:pt>
                <c:pt idx="132">
                  <c:v>222</c:v>
                </c:pt>
                <c:pt idx="133">
                  <c:v>223</c:v>
                </c:pt>
                <c:pt idx="134">
                  <c:v>224</c:v>
                </c:pt>
                <c:pt idx="135">
                  <c:v>225</c:v>
                </c:pt>
                <c:pt idx="136">
                  <c:v>226</c:v>
                </c:pt>
                <c:pt idx="137">
                  <c:v>227</c:v>
                </c:pt>
                <c:pt idx="138">
                  <c:v>228</c:v>
                </c:pt>
                <c:pt idx="139">
                  <c:v>229</c:v>
                </c:pt>
                <c:pt idx="140">
                  <c:v>230</c:v>
                </c:pt>
                <c:pt idx="141">
                  <c:v>231</c:v>
                </c:pt>
                <c:pt idx="142">
                  <c:v>232</c:v>
                </c:pt>
                <c:pt idx="143">
                  <c:v>233</c:v>
                </c:pt>
                <c:pt idx="144">
                  <c:v>234</c:v>
                </c:pt>
                <c:pt idx="145">
                  <c:v>235</c:v>
                </c:pt>
                <c:pt idx="146">
                  <c:v>236</c:v>
                </c:pt>
                <c:pt idx="147">
                  <c:v>237</c:v>
                </c:pt>
                <c:pt idx="148">
                  <c:v>238</c:v>
                </c:pt>
                <c:pt idx="149">
                  <c:v>239</c:v>
                </c:pt>
                <c:pt idx="150">
                  <c:v>240</c:v>
                </c:pt>
                <c:pt idx="151">
                  <c:v>241</c:v>
                </c:pt>
                <c:pt idx="152">
                  <c:v>242</c:v>
                </c:pt>
                <c:pt idx="153">
                  <c:v>243</c:v>
                </c:pt>
                <c:pt idx="154">
                  <c:v>244</c:v>
                </c:pt>
                <c:pt idx="155">
                  <c:v>245</c:v>
                </c:pt>
                <c:pt idx="156">
                  <c:v>246</c:v>
                </c:pt>
                <c:pt idx="157">
                  <c:v>247</c:v>
                </c:pt>
                <c:pt idx="158">
                  <c:v>248</c:v>
                </c:pt>
                <c:pt idx="159">
                  <c:v>249</c:v>
                </c:pt>
                <c:pt idx="160">
                  <c:v>250</c:v>
                </c:pt>
                <c:pt idx="161">
                  <c:v>251</c:v>
                </c:pt>
                <c:pt idx="162">
                  <c:v>252</c:v>
                </c:pt>
                <c:pt idx="163">
                  <c:v>253</c:v>
                </c:pt>
                <c:pt idx="164">
                  <c:v>254</c:v>
                </c:pt>
                <c:pt idx="165">
                  <c:v>255</c:v>
                </c:pt>
                <c:pt idx="166">
                  <c:v>256</c:v>
                </c:pt>
                <c:pt idx="167">
                  <c:v>257</c:v>
                </c:pt>
                <c:pt idx="168">
                  <c:v>258</c:v>
                </c:pt>
                <c:pt idx="169">
                  <c:v>259</c:v>
                </c:pt>
                <c:pt idx="170">
                  <c:v>260</c:v>
                </c:pt>
                <c:pt idx="171">
                  <c:v>261</c:v>
                </c:pt>
                <c:pt idx="172">
                  <c:v>262</c:v>
                </c:pt>
                <c:pt idx="173">
                  <c:v>263</c:v>
                </c:pt>
                <c:pt idx="174">
                  <c:v>264</c:v>
                </c:pt>
                <c:pt idx="175">
                  <c:v>265</c:v>
                </c:pt>
                <c:pt idx="176">
                  <c:v>266</c:v>
                </c:pt>
                <c:pt idx="177">
                  <c:v>267</c:v>
                </c:pt>
                <c:pt idx="178">
                  <c:v>268</c:v>
                </c:pt>
                <c:pt idx="179">
                  <c:v>269</c:v>
                </c:pt>
                <c:pt idx="180">
                  <c:v>270</c:v>
                </c:pt>
                <c:pt idx="181">
                  <c:v>271</c:v>
                </c:pt>
                <c:pt idx="182">
                  <c:v>272</c:v>
                </c:pt>
                <c:pt idx="183">
                  <c:v>273</c:v>
                </c:pt>
                <c:pt idx="184">
                  <c:v>274</c:v>
                </c:pt>
                <c:pt idx="185">
                  <c:v>275</c:v>
                </c:pt>
                <c:pt idx="186">
                  <c:v>276</c:v>
                </c:pt>
                <c:pt idx="187">
                  <c:v>277</c:v>
                </c:pt>
                <c:pt idx="188">
                  <c:v>278</c:v>
                </c:pt>
                <c:pt idx="189">
                  <c:v>279</c:v>
                </c:pt>
                <c:pt idx="190">
                  <c:v>280</c:v>
                </c:pt>
                <c:pt idx="191">
                  <c:v>282</c:v>
                </c:pt>
                <c:pt idx="192">
                  <c:v>284</c:v>
                </c:pt>
                <c:pt idx="193">
                  <c:v>286</c:v>
                </c:pt>
                <c:pt idx="194">
                  <c:v>288</c:v>
                </c:pt>
                <c:pt idx="195">
                  <c:v>290</c:v>
                </c:pt>
                <c:pt idx="196">
                  <c:v>292</c:v>
                </c:pt>
                <c:pt idx="197">
                  <c:v>294</c:v>
                </c:pt>
                <c:pt idx="198">
                  <c:v>296</c:v>
                </c:pt>
                <c:pt idx="199">
                  <c:v>298</c:v>
                </c:pt>
                <c:pt idx="200">
                  <c:v>300</c:v>
                </c:pt>
              </c:numCache>
            </c:numRef>
          </c:cat>
          <c:val>
            <c:numRef>
              <c:f>Matrix!$Y$11:$Y$210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1.25</c:v>
                </c:pt>
                <c:pt idx="45">
                  <c:v>1.25</c:v>
                </c:pt>
                <c:pt idx="46">
                  <c:v>1.25</c:v>
                </c:pt>
                <c:pt idx="47">
                  <c:v>1.25</c:v>
                </c:pt>
                <c:pt idx="48">
                  <c:v>1.25</c:v>
                </c:pt>
                <c:pt idx="49">
                  <c:v>1.25</c:v>
                </c:pt>
                <c:pt idx="50">
                  <c:v>1.25</c:v>
                </c:pt>
                <c:pt idx="51">
                  <c:v>1.25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19.125</c:v>
                </c:pt>
                <c:pt idx="70">
                  <c:v>23.75</c:v>
                </c:pt>
                <c:pt idx="71">
                  <c:v>23.75</c:v>
                </c:pt>
                <c:pt idx="72">
                  <c:v>23.75</c:v>
                </c:pt>
                <c:pt idx="73">
                  <c:v>23.75</c:v>
                </c:pt>
                <c:pt idx="74">
                  <c:v>23.75</c:v>
                </c:pt>
                <c:pt idx="75">
                  <c:v>23.75</c:v>
                </c:pt>
                <c:pt idx="76">
                  <c:v>23.75</c:v>
                </c:pt>
                <c:pt idx="77">
                  <c:v>4.625</c:v>
                </c:pt>
                <c:pt idx="78">
                  <c:v>0</c:v>
                </c:pt>
                <c:pt idx="79">
                  <c:v>3.125</c:v>
                </c:pt>
                <c:pt idx="80">
                  <c:v>10</c:v>
                </c:pt>
                <c:pt idx="81">
                  <c:v>10</c:v>
                </c:pt>
                <c:pt idx="82">
                  <c:v>10</c:v>
                </c:pt>
                <c:pt idx="83">
                  <c:v>10</c:v>
                </c:pt>
                <c:pt idx="84">
                  <c:v>10</c:v>
                </c:pt>
                <c:pt idx="85">
                  <c:v>10</c:v>
                </c:pt>
                <c:pt idx="86">
                  <c:v>10</c:v>
                </c:pt>
                <c:pt idx="87">
                  <c:v>6.875</c:v>
                </c:pt>
                <c:pt idx="88">
                  <c:v>0</c:v>
                </c:pt>
                <c:pt idx="89">
                  <c:v>0</c:v>
                </c:pt>
                <c:pt idx="90">
                  <c:v>0.875</c:v>
                </c:pt>
                <c:pt idx="91">
                  <c:v>0.875</c:v>
                </c:pt>
                <c:pt idx="92">
                  <c:v>0.875</c:v>
                </c:pt>
                <c:pt idx="93">
                  <c:v>0.875</c:v>
                </c:pt>
                <c:pt idx="94">
                  <c:v>0.875</c:v>
                </c:pt>
                <c:pt idx="95">
                  <c:v>0.875</c:v>
                </c:pt>
                <c:pt idx="96">
                  <c:v>0.875</c:v>
                </c:pt>
                <c:pt idx="97">
                  <c:v>0.875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0.25</c:v>
                </c:pt>
                <c:pt idx="153">
                  <c:v>0.25</c:v>
                </c:pt>
                <c:pt idx="154">
                  <c:v>0.25</c:v>
                </c:pt>
                <c:pt idx="155">
                  <c:v>0.25</c:v>
                </c:pt>
                <c:pt idx="156">
                  <c:v>0.25</c:v>
                </c:pt>
                <c:pt idx="157">
                  <c:v>0.25</c:v>
                </c:pt>
                <c:pt idx="158">
                  <c:v>6.25</c:v>
                </c:pt>
                <c:pt idx="159">
                  <c:v>6.25</c:v>
                </c:pt>
                <c:pt idx="160">
                  <c:v>6</c:v>
                </c:pt>
                <c:pt idx="161">
                  <c:v>6</c:v>
                </c:pt>
                <c:pt idx="162">
                  <c:v>6</c:v>
                </c:pt>
                <c:pt idx="163">
                  <c:v>6</c:v>
                </c:pt>
                <c:pt idx="164">
                  <c:v>6</c:v>
                </c:pt>
                <c:pt idx="165">
                  <c:v>7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E08-4FEF-8A09-E8A1F75045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6231359"/>
        <c:axId val="1856226559"/>
      </c:areaChart>
      <c:lineChart>
        <c:grouping val="standard"/>
        <c:varyColors val="0"/>
        <c:ser>
          <c:idx val="11"/>
          <c:order val="11"/>
          <c:tx>
            <c:v>Bottom line</c:v>
          </c:tx>
          <c:spPr>
            <a:ln w="6350" cap="rnd">
              <a:solidFill>
                <a:schemeClr val="bg1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plus"/>
            <c:errValType val="cust"/>
            <c:noEndCap val="1"/>
            <c:plus>
              <c:numRef>
                <c:f>Matrix!$AC$11:$AC$211</c:f>
                <c:numCache>
                  <c:formatCode>General</c:formatCode>
                  <c:ptCount val="201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0.625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0</c:v>
                  </c:pt>
                  <c:pt idx="65">
                    <c:v>0</c:v>
                  </c:pt>
                  <c:pt idx="66">
                    <c:v>0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  <c:pt idx="76">
                    <c:v>0</c:v>
                  </c:pt>
                  <c:pt idx="77">
                    <c:v>0</c:v>
                  </c:pt>
                  <c:pt idx="78">
                    <c:v>0</c:v>
                  </c:pt>
                  <c:pt idx="79">
                    <c:v>0</c:v>
                  </c:pt>
                  <c:pt idx="80">
                    <c:v>0</c:v>
                  </c:pt>
                  <c:pt idx="81">
                    <c:v>0</c:v>
                  </c:pt>
                  <c:pt idx="82">
                    <c:v>0</c:v>
                  </c:pt>
                  <c:pt idx="83">
                    <c:v>0</c:v>
                  </c:pt>
                  <c:pt idx="84">
                    <c:v>0</c:v>
                  </c:pt>
                  <c:pt idx="85">
                    <c:v>10.375</c:v>
                  </c:pt>
                  <c:pt idx="86">
                    <c:v>0</c:v>
                  </c:pt>
                  <c:pt idx="87">
                    <c:v>0</c:v>
                  </c:pt>
                  <c:pt idx="88">
                    <c:v>0</c:v>
                  </c:pt>
                  <c:pt idx="89">
                    <c:v>0</c:v>
                  </c:pt>
                  <c:pt idx="90">
                    <c:v>0</c:v>
                  </c:pt>
                  <c:pt idx="91">
                    <c:v>0</c:v>
                  </c:pt>
                  <c:pt idx="92">
                    <c:v>0</c:v>
                  </c:pt>
                  <c:pt idx="93">
                    <c:v>0</c:v>
                  </c:pt>
                  <c:pt idx="94">
                    <c:v>0</c:v>
                  </c:pt>
                  <c:pt idx="95">
                    <c:v>0</c:v>
                  </c:pt>
                  <c:pt idx="96">
                    <c:v>0</c:v>
                  </c:pt>
                  <c:pt idx="97">
                    <c:v>0</c:v>
                  </c:pt>
                  <c:pt idx="98">
                    <c:v>0</c:v>
                  </c:pt>
                  <c:pt idx="99">
                    <c:v>0</c:v>
                  </c:pt>
                  <c:pt idx="100">
                    <c:v>0</c:v>
                  </c:pt>
                  <c:pt idx="101">
                    <c:v>0</c:v>
                  </c:pt>
                  <c:pt idx="102">
                    <c:v>0</c:v>
                  </c:pt>
                  <c:pt idx="103">
                    <c:v>0</c:v>
                  </c:pt>
                  <c:pt idx="104">
                    <c:v>0</c:v>
                  </c:pt>
                  <c:pt idx="105">
                    <c:v>0</c:v>
                  </c:pt>
                  <c:pt idx="106">
                    <c:v>0</c:v>
                  </c:pt>
                  <c:pt idx="107">
                    <c:v>0</c:v>
                  </c:pt>
                  <c:pt idx="108">
                    <c:v>0</c:v>
                  </c:pt>
                  <c:pt idx="109">
                    <c:v>0</c:v>
                  </c:pt>
                  <c:pt idx="110">
                    <c:v>7.125</c:v>
                  </c:pt>
                  <c:pt idx="111">
                    <c:v>0</c:v>
                  </c:pt>
                  <c:pt idx="112">
                    <c:v>0</c:v>
                  </c:pt>
                  <c:pt idx="113">
                    <c:v>0</c:v>
                  </c:pt>
                  <c:pt idx="114">
                    <c:v>0</c:v>
                  </c:pt>
                  <c:pt idx="115">
                    <c:v>0</c:v>
                  </c:pt>
                  <c:pt idx="116">
                    <c:v>0</c:v>
                  </c:pt>
                  <c:pt idx="117">
                    <c:v>0</c:v>
                  </c:pt>
                  <c:pt idx="118">
                    <c:v>0</c:v>
                  </c:pt>
                  <c:pt idx="119">
                    <c:v>0</c:v>
                  </c:pt>
                  <c:pt idx="120">
                    <c:v>0</c:v>
                  </c:pt>
                  <c:pt idx="121">
                    <c:v>0</c:v>
                  </c:pt>
                  <c:pt idx="122">
                    <c:v>0</c:v>
                  </c:pt>
                  <c:pt idx="123">
                    <c:v>0</c:v>
                  </c:pt>
                  <c:pt idx="124">
                    <c:v>0</c:v>
                  </c:pt>
                  <c:pt idx="125">
                    <c:v>0</c:v>
                  </c:pt>
                  <c:pt idx="126">
                    <c:v>0</c:v>
                  </c:pt>
                  <c:pt idx="127">
                    <c:v>0</c:v>
                  </c:pt>
                  <c:pt idx="128">
                    <c:v>0</c:v>
                  </c:pt>
                  <c:pt idx="129">
                    <c:v>0</c:v>
                  </c:pt>
                  <c:pt idx="130">
                    <c:v>0</c:v>
                  </c:pt>
                  <c:pt idx="131">
                    <c:v>0</c:v>
                  </c:pt>
                  <c:pt idx="132">
                    <c:v>0</c:v>
                  </c:pt>
                  <c:pt idx="133">
                    <c:v>0</c:v>
                  </c:pt>
                  <c:pt idx="134">
                    <c:v>0</c:v>
                  </c:pt>
                  <c:pt idx="135">
                    <c:v>0</c:v>
                  </c:pt>
                  <c:pt idx="136">
                    <c:v>0</c:v>
                  </c:pt>
                  <c:pt idx="137">
                    <c:v>0</c:v>
                  </c:pt>
                  <c:pt idx="138">
                    <c:v>0</c:v>
                  </c:pt>
                  <c:pt idx="139">
                    <c:v>0</c:v>
                  </c:pt>
                  <c:pt idx="140">
                    <c:v>0</c:v>
                  </c:pt>
                  <c:pt idx="141">
                    <c:v>0</c:v>
                  </c:pt>
                  <c:pt idx="142">
                    <c:v>0</c:v>
                  </c:pt>
                  <c:pt idx="143">
                    <c:v>0</c:v>
                  </c:pt>
                  <c:pt idx="144">
                    <c:v>0</c:v>
                  </c:pt>
                  <c:pt idx="145">
                    <c:v>0</c:v>
                  </c:pt>
                  <c:pt idx="146">
                    <c:v>0</c:v>
                  </c:pt>
                  <c:pt idx="147">
                    <c:v>0</c:v>
                  </c:pt>
                  <c:pt idx="148">
                    <c:v>0</c:v>
                  </c:pt>
                  <c:pt idx="149">
                    <c:v>0</c:v>
                  </c:pt>
                  <c:pt idx="150">
                    <c:v>0</c:v>
                  </c:pt>
                  <c:pt idx="151">
                    <c:v>0</c:v>
                  </c:pt>
                  <c:pt idx="152">
                    <c:v>0</c:v>
                  </c:pt>
                  <c:pt idx="153">
                    <c:v>0</c:v>
                  </c:pt>
                  <c:pt idx="154">
                    <c:v>0</c:v>
                  </c:pt>
                  <c:pt idx="155">
                    <c:v>0</c:v>
                  </c:pt>
                  <c:pt idx="156">
                    <c:v>0</c:v>
                  </c:pt>
                  <c:pt idx="157">
                    <c:v>0</c:v>
                  </c:pt>
                  <c:pt idx="158">
                    <c:v>0</c:v>
                  </c:pt>
                  <c:pt idx="159">
                    <c:v>0</c:v>
                  </c:pt>
                  <c:pt idx="160">
                    <c:v>6</c:v>
                  </c:pt>
                  <c:pt idx="161">
                    <c:v>0</c:v>
                  </c:pt>
                  <c:pt idx="162">
                    <c:v>0</c:v>
                  </c:pt>
                  <c:pt idx="163">
                    <c:v>0</c:v>
                  </c:pt>
                  <c:pt idx="164">
                    <c:v>0</c:v>
                  </c:pt>
                  <c:pt idx="165">
                    <c:v>0</c:v>
                  </c:pt>
                  <c:pt idx="166">
                    <c:v>0</c:v>
                  </c:pt>
                  <c:pt idx="167">
                    <c:v>0</c:v>
                  </c:pt>
                  <c:pt idx="168">
                    <c:v>0</c:v>
                  </c:pt>
                  <c:pt idx="169">
                    <c:v>0</c:v>
                  </c:pt>
                  <c:pt idx="170">
                    <c:v>0</c:v>
                  </c:pt>
                  <c:pt idx="171">
                    <c:v>0</c:v>
                  </c:pt>
                  <c:pt idx="172">
                    <c:v>0</c:v>
                  </c:pt>
                  <c:pt idx="173">
                    <c:v>0</c:v>
                  </c:pt>
                  <c:pt idx="174">
                    <c:v>0</c:v>
                  </c:pt>
                  <c:pt idx="175">
                    <c:v>0</c:v>
                  </c:pt>
                  <c:pt idx="176">
                    <c:v>0</c:v>
                  </c:pt>
                  <c:pt idx="177">
                    <c:v>0</c:v>
                  </c:pt>
                  <c:pt idx="178">
                    <c:v>0</c:v>
                  </c:pt>
                  <c:pt idx="179">
                    <c:v>0</c:v>
                  </c:pt>
                  <c:pt idx="180">
                    <c:v>0</c:v>
                  </c:pt>
                  <c:pt idx="181">
                    <c:v>0</c:v>
                  </c:pt>
                  <c:pt idx="182">
                    <c:v>0</c:v>
                  </c:pt>
                  <c:pt idx="183">
                    <c:v>0</c:v>
                  </c:pt>
                  <c:pt idx="184">
                    <c:v>0</c:v>
                  </c:pt>
                  <c:pt idx="185">
                    <c:v>0</c:v>
                  </c:pt>
                  <c:pt idx="186">
                    <c:v>0</c:v>
                  </c:pt>
                  <c:pt idx="187">
                    <c:v>0</c:v>
                  </c:pt>
                  <c:pt idx="188">
                    <c:v>0</c:v>
                  </c:pt>
                  <c:pt idx="189">
                    <c:v>0</c:v>
                  </c:pt>
                  <c:pt idx="190">
                    <c:v>0</c:v>
                  </c:pt>
                  <c:pt idx="191">
                    <c:v>0</c:v>
                  </c:pt>
                  <c:pt idx="192">
                    <c:v>0</c:v>
                  </c:pt>
                  <c:pt idx="193">
                    <c:v>0</c:v>
                  </c:pt>
                  <c:pt idx="194">
                    <c:v>0</c:v>
                  </c:pt>
                  <c:pt idx="195">
                    <c:v>0</c:v>
                  </c:pt>
                  <c:pt idx="196">
                    <c:v>0</c:v>
                  </c:pt>
                  <c:pt idx="197">
                    <c:v>0</c:v>
                  </c:pt>
                  <c:pt idx="198">
                    <c:v>0</c:v>
                  </c:pt>
                  <c:pt idx="199">
                    <c:v>0</c:v>
                  </c:pt>
                  <c:pt idx="200">
                    <c:v>0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3175" cap="flat" cmpd="sng" algn="ctr">
                <a:solidFill>
                  <a:schemeClr val="bg1"/>
                </a:solidFill>
                <a:prstDash val="sysDot"/>
                <a:round/>
              </a:ln>
              <a:effectLst/>
            </c:spPr>
          </c:errBars>
          <c:val>
            <c:numRef>
              <c:f>Matrix!$O$11:$O$211</c:f>
              <c:numCache>
                <c:formatCode>General</c:formatCode>
                <c:ptCount val="201"/>
                <c:pt idx="0">
                  <c:v>162</c:v>
                </c:pt>
                <c:pt idx="1">
                  <c:v>164</c:v>
                </c:pt>
                <c:pt idx="2">
                  <c:v>165.83333333333334</c:v>
                </c:pt>
                <c:pt idx="3">
                  <c:v>163.57142857142858</c:v>
                </c:pt>
                <c:pt idx="4">
                  <c:v>161.75</c:v>
                </c:pt>
                <c:pt idx="5">
                  <c:v>159.375</c:v>
                </c:pt>
                <c:pt idx="6">
                  <c:v>157.625</c:v>
                </c:pt>
                <c:pt idx="7">
                  <c:v>154.125</c:v>
                </c:pt>
                <c:pt idx="8">
                  <c:v>156.125</c:v>
                </c:pt>
                <c:pt idx="9">
                  <c:v>155</c:v>
                </c:pt>
                <c:pt idx="10">
                  <c:v>152.875</c:v>
                </c:pt>
                <c:pt idx="11">
                  <c:v>152.75</c:v>
                </c:pt>
                <c:pt idx="12">
                  <c:v>152.375</c:v>
                </c:pt>
                <c:pt idx="13">
                  <c:v>152.25</c:v>
                </c:pt>
                <c:pt idx="14">
                  <c:v>153.125</c:v>
                </c:pt>
                <c:pt idx="15">
                  <c:v>156.875</c:v>
                </c:pt>
                <c:pt idx="16">
                  <c:v>155.875</c:v>
                </c:pt>
                <c:pt idx="17">
                  <c:v>156</c:v>
                </c:pt>
                <c:pt idx="18">
                  <c:v>156.25</c:v>
                </c:pt>
                <c:pt idx="19">
                  <c:v>157.875</c:v>
                </c:pt>
                <c:pt idx="20">
                  <c:v>161.25</c:v>
                </c:pt>
                <c:pt idx="21">
                  <c:v>161.75</c:v>
                </c:pt>
                <c:pt idx="22">
                  <c:v>164</c:v>
                </c:pt>
                <c:pt idx="23">
                  <c:v>161.375</c:v>
                </c:pt>
                <c:pt idx="24">
                  <c:v>161</c:v>
                </c:pt>
                <c:pt idx="25">
                  <c:v>161.25</c:v>
                </c:pt>
                <c:pt idx="26">
                  <c:v>161.625</c:v>
                </c:pt>
                <c:pt idx="27">
                  <c:v>160.75</c:v>
                </c:pt>
                <c:pt idx="28">
                  <c:v>158.75</c:v>
                </c:pt>
                <c:pt idx="29">
                  <c:v>160</c:v>
                </c:pt>
                <c:pt idx="30">
                  <c:v>160.125</c:v>
                </c:pt>
                <c:pt idx="31">
                  <c:v>161.125</c:v>
                </c:pt>
                <c:pt idx="32">
                  <c:v>163.25</c:v>
                </c:pt>
                <c:pt idx="33">
                  <c:v>164</c:v>
                </c:pt>
                <c:pt idx="34">
                  <c:v>162.625</c:v>
                </c:pt>
                <c:pt idx="35">
                  <c:v>162.625</c:v>
                </c:pt>
                <c:pt idx="36">
                  <c:v>162.375</c:v>
                </c:pt>
                <c:pt idx="37">
                  <c:v>163</c:v>
                </c:pt>
                <c:pt idx="38">
                  <c:v>162.5</c:v>
                </c:pt>
                <c:pt idx="39">
                  <c:v>164</c:v>
                </c:pt>
                <c:pt idx="40">
                  <c:v>162</c:v>
                </c:pt>
                <c:pt idx="41">
                  <c:v>160.625</c:v>
                </c:pt>
                <c:pt idx="42">
                  <c:v>161.375</c:v>
                </c:pt>
                <c:pt idx="43">
                  <c:v>163</c:v>
                </c:pt>
                <c:pt idx="44">
                  <c:v>161.125</c:v>
                </c:pt>
                <c:pt idx="45">
                  <c:v>161.5</c:v>
                </c:pt>
                <c:pt idx="46">
                  <c:v>158.625</c:v>
                </c:pt>
                <c:pt idx="47">
                  <c:v>158.375</c:v>
                </c:pt>
                <c:pt idx="48">
                  <c:v>160.375</c:v>
                </c:pt>
                <c:pt idx="49">
                  <c:v>159.5</c:v>
                </c:pt>
                <c:pt idx="50">
                  <c:v>158.125</c:v>
                </c:pt>
                <c:pt idx="51">
                  <c:v>156.5</c:v>
                </c:pt>
                <c:pt idx="52">
                  <c:v>160.75</c:v>
                </c:pt>
                <c:pt idx="53">
                  <c:v>161.375</c:v>
                </c:pt>
                <c:pt idx="54">
                  <c:v>163.25</c:v>
                </c:pt>
                <c:pt idx="55">
                  <c:v>161.875</c:v>
                </c:pt>
                <c:pt idx="56">
                  <c:v>162.625</c:v>
                </c:pt>
                <c:pt idx="57">
                  <c:v>162.875</c:v>
                </c:pt>
                <c:pt idx="58">
                  <c:v>166.1875</c:v>
                </c:pt>
                <c:pt idx="59">
                  <c:v>165.5625</c:v>
                </c:pt>
                <c:pt idx="60">
                  <c:v>163.5625</c:v>
                </c:pt>
                <c:pt idx="61">
                  <c:v>162.6875</c:v>
                </c:pt>
                <c:pt idx="62">
                  <c:v>161</c:v>
                </c:pt>
                <c:pt idx="63">
                  <c:v>160.625</c:v>
                </c:pt>
                <c:pt idx="64">
                  <c:v>158.25</c:v>
                </c:pt>
                <c:pt idx="65">
                  <c:v>159.5</c:v>
                </c:pt>
                <c:pt idx="66">
                  <c:v>156.0625</c:v>
                </c:pt>
                <c:pt idx="67">
                  <c:v>156.4375</c:v>
                </c:pt>
                <c:pt idx="68">
                  <c:v>155.4375</c:v>
                </c:pt>
                <c:pt idx="69">
                  <c:v>143.625</c:v>
                </c:pt>
                <c:pt idx="70">
                  <c:v>143</c:v>
                </c:pt>
                <c:pt idx="71">
                  <c:v>143.375</c:v>
                </c:pt>
                <c:pt idx="72">
                  <c:v>145.125</c:v>
                </c:pt>
                <c:pt idx="73">
                  <c:v>142.3125</c:v>
                </c:pt>
                <c:pt idx="74">
                  <c:v>144.5625</c:v>
                </c:pt>
                <c:pt idx="75">
                  <c:v>146.4375</c:v>
                </c:pt>
                <c:pt idx="76">
                  <c:v>149.1875</c:v>
                </c:pt>
                <c:pt idx="77">
                  <c:v>161.625</c:v>
                </c:pt>
                <c:pt idx="78">
                  <c:v>163.5625</c:v>
                </c:pt>
                <c:pt idx="79">
                  <c:v>161.375</c:v>
                </c:pt>
                <c:pt idx="80">
                  <c:v>158.6875</c:v>
                </c:pt>
                <c:pt idx="81">
                  <c:v>161.6875</c:v>
                </c:pt>
                <c:pt idx="82">
                  <c:v>160.5625</c:v>
                </c:pt>
                <c:pt idx="83">
                  <c:v>160.5625</c:v>
                </c:pt>
                <c:pt idx="84">
                  <c:v>159.0625</c:v>
                </c:pt>
                <c:pt idx="85">
                  <c:v>159.1875</c:v>
                </c:pt>
                <c:pt idx="86">
                  <c:v>158.9375</c:v>
                </c:pt>
                <c:pt idx="87">
                  <c:v>160.9375</c:v>
                </c:pt>
                <c:pt idx="88">
                  <c:v>164.125</c:v>
                </c:pt>
                <c:pt idx="89">
                  <c:v>162.5625</c:v>
                </c:pt>
                <c:pt idx="90">
                  <c:v>163.4375</c:v>
                </c:pt>
                <c:pt idx="91">
                  <c:v>161.8125</c:v>
                </c:pt>
                <c:pt idx="92">
                  <c:v>160.125</c:v>
                </c:pt>
                <c:pt idx="93">
                  <c:v>159</c:v>
                </c:pt>
                <c:pt idx="94">
                  <c:v>159.125</c:v>
                </c:pt>
                <c:pt idx="95">
                  <c:v>159.8125</c:v>
                </c:pt>
                <c:pt idx="96">
                  <c:v>158.1875</c:v>
                </c:pt>
                <c:pt idx="97">
                  <c:v>157.1875</c:v>
                </c:pt>
                <c:pt idx="98">
                  <c:v>155.3125</c:v>
                </c:pt>
                <c:pt idx="99">
                  <c:v>154.375</c:v>
                </c:pt>
                <c:pt idx="100">
                  <c:v>156.75</c:v>
                </c:pt>
                <c:pt idx="101">
                  <c:v>155.375</c:v>
                </c:pt>
                <c:pt idx="102">
                  <c:v>155.5</c:v>
                </c:pt>
                <c:pt idx="103">
                  <c:v>154.5</c:v>
                </c:pt>
                <c:pt idx="104">
                  <c:v>153.5</c:v>
                </c:pt>
                <c:pt idx="105">
                  <c:v>153.625</c:v>
                </c:pt>
                <c:pt idx="106">
                  <c:v>154.375</c:v>
                </c:pt>
                <c:pt idx="107">
                  <c:v>157</c:v>
                </c:pt>
                <c:pt idx="108">
                  <c:v>157.4375</c:v>
                </c:pt>
                <c:pt idx="109">
                  <c:v>158.3125</c:v>
                </c:pt>
                <c:pt idx="110">
                  <c:v>158.0625</c:v>
                </c:pt>
                <c:pt idx="111">
                  <c:v>157.8125</c:v>
                </c:pt>
                <c:pt idx="112">
                  <c:v>157.5625</c:v>
                </c:pt>
                <c:pt idx="113">
                  <c:v>160.3125</c:v>
                </c:pt>
                <c:pt idx="114">
                  <c:v>160.4375</c:v>
                </c:pt>
                <c:pt idx="115">
                  <c:v>159.5625</c:v>
                </c:pt>
                <c:pt idx="116">
                  <c:v>157.75</c:v>
                </c:pt>
                <c:pt idx="117">
                  <c:v>156.8125</c:v>
                </c:pt>
                <c:pt idx="118">
                  <c:v>157.1875</c:v>
                </c:pt>
                <c:pt idx="119">
                  <c:v>157.6875</c:v>
                </c:pt>
                <c:pt idx="120">
                  <c:v>156.9375</c:v>
                </c:pt>
                <c:pt idx="121">
                  <c:v>155.1875</c:v>
                </c:pt>
                <c:pt idx="122">
                  <c:v>155.25</c:v>
                </c:pt>
                <c:pt idx="123">
                  <c:v>153.3125</c:v>
                </c:pt>
                <c:pt idx="124">
                  <c:v>155.75</c:v>
                </c:pt>
                <c:pt idx="125">
                  <c:v>155.6875</c:v>
                </c:pt>
                <c:pt idx="126">
                  <c:v>156.1875</c:v>
                </c:pt>
                <c:pt idx="127">
                  <c:v>155.0625</c:v>
                </c:pt>
                <c:pt idx="128">
                  <c:v>155.9375</c:v>
                </c:pt>
                <c:pt idx="129">
                  <c:v>157.5625</c:v>
                </c:pt>
                <c:pt idx="130">
                  <c:v>159.125</c:v>
                </c:pt>
                <c:pt idx="131">
                  <c:v>159</c:v>
                </c:pt>
                <c:pt idx="132">
                  <c:v>158.625</c:v>
                </c:pt>
                <c:pt idx="133">
                  <c:v>157.75</c:v>
                </c:pt>
                <c:pt idx="134">
                  <c:v>156.875</c:v>
                </c:pt>
                <c:pt idx="135">
                  <c:v>159.5</c:v>
                </c:pt>
                <c:pt idx="136">
                  <c:v>161.125</c:v>
                </c:pt>
                <c:pt idx="137">
                  <c:v>158.75</c:v>
                </c:pt>
                <c:pt idx="138">
                  <c:v>156.25</c:v>
                </c:pt>
                <c:pt idx="139">
                  <c:v>156.5</c:v>
                </c:pt>
                <c:pt idx="140">
                  <c:v>155.625</c:v>
                </c:pt>
                <c:pt idx="141">
                  <c:v>157.5625</c:v>
                </c:pt>
                <c:pt idx="142">
                  <c:v>157.75</c:v>
                </c:pt>
                <c:pt idx="143">
                  <c:v>155</c:v>
                </c:pt>
                <c:pt idx="144">
                  <c:v>154.625</c:v>
                </c:pt>
                <c:pt idx="145">
                  <c:v>156.5</c:v>
                </c:pt>
                <c:pt idx="146">
                  <c:v>157.25</c:v>
                </c:pt>
                <c:pt idx="147">
                  <c:v>160</c:v>
                </c:pt>
                <c:pt idx="148">
                  <c:v>160.875</c:v>
                </c:pt>
                <c:pt idx="149">
                  <c:v>159.1875</c:v>
                </c:pt>
                <c:pt idx="150">
                  <c:v>158.625</c:v>
                </c:pt>
                <c:pt idx="151">
                  <c:v>161.75</c:v>
                </c:pt>
                <c:pt idx="152">
                  <c:v>161.25</c:v>
                </c:pt>
                <c:pt idx="153">
                  <c:v>161.625</c:v>
                </c:pt>
                <c:pt idx="154">
                  <c:v>162.5</c:v>
                </c:pt>
                <c:pt idx="155">
                  <c:v>159.5</c:v>
                </c:pt>
                <c:pt idx="156">
                  <c:v>159.375</c:v>
                </c:pt>
                <c:pt idx="157">
                  <c:v>159.375</c:v>
                </c:pt>
                <c:pt idx="158">
                  <c:v>156.5</c:v>
                </c:pt>
                <c:pt idx="159">
                  <c:v>153.25</c:v>
                </c:pt>
                <c:pt idx="160">
                  <c:v>152.875</c:v>
                </c:pt>
                <c:pt idx="161">
                  <c:v>150.125</c:v>
                </c:pt>
                <c:pt idx="162">
                  <c:v>151.25</c:v>
                </c:pt>
                <c:pt idx="163">
                  <c:v>154.875</c:v>
                </c:pt>
                <c:pt idx="164">
                  <c:v>154.875</c:v>
                </c:pt>
                <c:pt idx="165">
                  <c:v>156.25</c:v>
                </c:pt>
                <c:pt idx="166">
                  <c:v>159.875</c:v>
                </c:pt>
                <c:pt idx="167">
                  <c:v>162</c:v>
                </c:pt>
                <c:pt idx="168">
                  <c:v>162.375</c:v>
                </c:pt>
                <c:pt idx="169">
                  <c:v>162.25</c:v>
                </c:pt>
                <c:pt idx="170">
                  <c:v>160.625</c:v>
                </c:pt>
                <c:pt idx="171">
                  <c:v>159.375</c:v>
                </c:pt>
                <c:pt idx="172">
                  <c:v>157.375</c:v>
                </c:pt>
                <c:pt idx="173">
                  <c:v>156.125</c:v>
                </c:pt>
                <c:pt idx="174">
                  <c:v>155.5</c:v>
                </c:pt>
                <c:pt idx="175">
                  <c:v>153.875</c:v>
                </c:pt>
                <c:pt idx="176">
                  <c:v>154.25</c:v>
                </c:pt>
                <c:pt idx="177">
                  <c:v>156.125</c:v>
                </c:pt>
                <c:pt idx="178">
                  <c:v>157</c:v>
                </c:pt>
                <c:pt idx="179">
                  <c:v>155.875</c:v>
                </c:pt>
                <c:pt idx="180">
                  <c:v>157.625</c:v>
                </c:pt>
                <c:pt idx="181">
                  <c:v>153.625</c:v>
                </c:pt>
                <c:pt idx="182">
                  <c:v>150</c:v>
                </c:pt>
                <c:pt idx="183">
                  <c:v>152.375</c:v>
                </c:pt>
                <c:pt idx="184">
                  <c:v>151</c:v>
                </c:pt>
                <c:pt idx="185">
                  <c:v>152.25</c:v>
                </c:pt>
                <c:pt idx="186">
                  <c:v>153.375</c:v>
                </c:pt>
                <c:pt idx="187">
                  <c:v>153.375</c:v>
                </c:pt>
                <c:pt idx="188">
                  <c:v>150.5</c:v>
                </c:pt>
                <c:pt idx="189">
                  <c:v>154.25</c:v>
                </c:pt>
                <c:pt idx="190">
                  <c:v>157.75</c:v>
                </c:pt>
                <c:pt idx="191">
                  <c:v>155</c:v>
                </c:pt>
                <c:pt idx="192">
                  <c:v>156.375</c:v>
                </c:pt>
                <c:pt idx="193">
                  <c:v>153.625</c:v>
                </c:pt>
                <c:pt idx="194">
                  <c:v>152.5</c:v>
                </c:pt>
                <c:pt idx="195">
                  <c:v>153.25</c:v>
                </c:pt>
                <c:pt idx="196">
                  <c:v>154.375</c:v>
                </c:pt>
                <c:pt idx="197">
                  <c:v>156.125</c:v>
                </c:pt>
                <c:pt idx="198">
                  <c:v>156.57142857142858</c:v>
                </c:pt>
                <c:pt idx="199">
                  <c:v>157.83333333333334</c:v>
                </c:pt>
                <c:pt idx="200">
                  <c:v>157.4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E08-4FEF-8A09-E8A1F7504550}"/>
            </c:ext>
          </c:extLst>
        </c:ser>
        <c:ser>
          <c:idx val="12"/>
          <c:order val="12"/>
          <c:tx>
            <c:v>Top line</c:v>
          </c:tx>
          <c:spPr>
            <a:ln w="6350" cap="rnd">
              <a:solidFill>
                <a:schemeClr val="bg1"/>
              </a:solidFill>
              <a:round/>
            </a:ln>
            <a:effectLst/>
          </c:spPr>
          <c:marker>
            <c:symbol val="none"/>
          </c:marker>
          <c:val>
            <c:numRef>
              <c:f>Matrix!$Z$11:$Z$211</c:f>
              <c:numCache>
                <c:formatCode>General</c:formatCode>
                <c:ptCount val="201"/>
                <c:pt idx="0">
                  <c:v>162</c:v>
                </c:pt>
                <c:pt idx="1">
                  <c:v>164</c:v>
                </c:pt>
                <c:pt idx="2">
                  <c:v>165.83333333333334</c:v>
                </c:pt>
                <c:pt idx="3">
                  <c:v>163.57142857142858</c:v>
                </c:pt>
                <c:pt idx="4">
                  <c:v>161.75</c:v>
                </c:pt>
                <c:pt idx="5">
                  <c:v>159.375</c:v>
                </c:pt>
                <c:pt idx="6">
                  <c:v>157.625</c:v>
                </c:pt>
                <c:pt idx="7">
                  <c:v>154.125</c:v>
                </c:pt>
                <c:pt idx="8">
                  <c:v>156.125</c:v>
                </c:pt>
                <c:pt idx="9">
                  <c:v>155</c:v>
                </c:pt>
                <c:pt idx="10">
                  <c:v>152.875</c:v>
                </c:pt>
                <c:pt idx="11">
                  <c:v>152.75</c:v>
                </c:pt>
                <c:pt idx="12">
                  <c:v>152.375</c:v>
                </c:pt>
                <c:pt idx="13">
                  <c:v>152.25</c:v>
                </c:pt>
                <c:pt idx="14">
                  <c:v>153.125</c:v>
                </c:pt>
                <c:pt idx="15">
                  <c:v>156.875</c:v>
                </c:pt>
                <c:pt idx="16">
                  <c:v>155.875</c:v>
                </c:pt>
                <c:pt idx="17">
                  <c:v>156</c:v>
                </c:pt>
                <c:pt idx="18">
                  <c:v>156.25</c:v>
                </c:pt>
                <c:pt idx="19">
                  <c:v>157.875</c:v>
                </c:pt>
                <c:pt idx="20">
                  <c:v>161.25</c:v>
                </c:pt>
                <c:pt idx="21">
                  <c:v>161.75</c:v>
                </c:pt>
                <c:pt idx="22">
                  <c:v>164</c:v>
                </c:pt>
                <c:pt idx="23">
                  <c:v>161.375</c:v>
                </c:pt>
                <c:pt idx="24">
                  <c:v>161</c:v>
                </c:pt>
                <c:pt idx="25">
                  <c:v>161.25</c:v>
                </c:pt>
                <c:pt idx="26">
                  <c:v>161.625</c:v>
                </c:pt>
                <c:pt idx="27">
                  <c:v>160.75</c:v>
                </c:pt>
                <c:pt idx="28">
                  <c:v>158.75</c:v>
                </c:pt>
                <c:pt idx="29">
                  <c:v>160</c:v>
                </c:pt>
                <c:pt idx="30">
                  <c:v>160.125</c:v>
                </c:pt>
                <c:pt idx="31">
                  <c:v>161.125</c:v>
                </c:pt>
                <c:pt idx="32">
                  <c:v>163.25</c:v>
                </c:pt>
                <c:pt idx="33">
                  <c:v>164</c:v>
                </c:pt>
                <c:pt idx="34">
                  <c:v>162.625</c:v>
                </c:pt>
                <c:pt idx="35">
                  <c:v>162.625</c:v>
                </c:pt>
                <c:pt idx="36">
                  <c:v>162.375</c:v>
                </c:pt>
                <c:pt idx="37">
                  <c:v>163</c:v>
                </c:pt>
                <c:pt idx="38">
                  <c:v>162.5</c:v>
                </c:pt>
                <c:pt idx="39">
                  <c:v>164</c:v>
                </c:pt>
                <c:pt idx="40">
                  <c:v>162</c:v>
                </c:pt>
                <c:pt idx="41">
                  <c:v>160.625</c:v>
                </c:pt>
                <c:pt idx="42">
                  <c:v>161.375</c:v>
                </c:pt>
                <c:pt idx="43">
                  <c:v>163</c:v>
                </c:pt>
                <c:pt idx="44">
                  <c:v>162.375</c:v>
                </c:pt>
                <c:pt idx="45">
                  <c:v>162.75</c:v>
                </c:pt>
                <c:pt idx="46">
                  <c:v>159.875</c:v>
                </c:pt>
                <c:pt idx="47">
                  <c:v>159.625</c:v>
                </c:pt>
                <c:pt idx="48">
                  <c:v>161.625</c:v>
                </c:pt>
                <c:pt idx="49">
                  <c:v>160.75</c:v>
                </c:pt>
                <c:pt idx="50">
                  <c:v>159.375</c:v>
                </c:pt>
                <c:pt idx="51">
                  <c:v>157.75</c:v>
                </c:pt>
                <c:pt idx="52">
                  <c:v>160.75</c:v>
                </c:pt>
                <c:pt idx="53">
                  <c:v>161.375</c:v>
                </c:pt>
                <c:pt idx="54">
                  <c:v>163.25</c:v>
                </c:pt>
                <c:pt idx="55">
                  <c:v>161.875</c:v>
                </c:pt>
                <c:pt idx="56">
                  <c:v>162.875</c:v>
                </c:pt>
                <c:pt idx="57">
                  <c:v>163.375</c:v>
                </c:pt>
                <c:pt idx="58">
                  <c:v>166.8125</c:v>
                </c:pt>
                <c:pt idx="59">
                  <c:v>166.1875</c:v>
                </c:pt>
                <c:pt idx="60">
                  <c:v>164.1875</c:v>
                </c:pt>
                <c:pt idx="61">
                  <c:v>163.3125</c:v>
                </c:pt>
                <c:pt idx="62">
                  <c:v>161.75</c:v>
                </c:pt>
                <c:pt idx="63">
                  <c:v>161.375</c:v>
                </c:pt>
                <c:pt idx="64">
                  <c:v>159</c:v>
                </c:pt>
                <c:pt idx="65">
                  <c:v>160</c:v>
                </c:pt>
                <c:pt idx="66">
                  <c:v>156.4375</c:v>
                </c:pt>
                <c:pt idx="67">
                  <c:v>156.8125</c:v>
                </c:pt>
                <c:pt idx="68">
                  <c:v>155.8125</c:v>
                </c:pt>
                <c:pt idx="69">
                  <c:v>163.125</c:v>
                </c:pt>
                <c:pt idx="70">
                  <c:v>167</c:v>
                </c:pt>
                <c:pt idx="71">
                  <c:v>167.375</c:v>
                </c:pt>
                <c:pt idx="72">
                  <c:v>168.875</c:v>
                </c:pt>
                <c:pt idx="73">
                  <c:v>168.4375</c:v>
                </c:pt>
                <c:pt idx="74">
                  <c:v>170.6875</c:v>
                </c:pt>
                <c:pt idx="75">
                  <c:v>172.5625</c:v>
                </c:pt>
                <c:pt idx="76">
                  <c:v>175.3125</c:v>
                </c:pt>
                <c:pt idx="77">
                  <c:v>168.625</c:v>
                </c:pt>
                <c:pt idx="78">
                  <c:v>165.9375</c:v>
                </c:pt>
                <c:pt idx="79">
                  <c:v>166.875</c:v>
                </c:pt>
                <c:pt idx="80">
                  <c:v>171.0625</c:v>
                </c:pt>
                <c:pt idx="81">
                  <c:v>172.0625</c:v>
                </c:pt>
                <c:pt idx="82">
                  <c:v>170.9375</c:v>
                </c:pt>
                <c:pt idx="83">
                  <c:v>170.9375</c:v>
                </c:pt>
                <c:pt idx="84">
                  <c:v>169.4375</c:v>
                </c:pt>
                <c:pt idx="85">
                  <c:v>169.5625</c:v>
                </c:pt>
                <c:pt idx="86">
                  <c:v>169.3125</c:v>
                </c:pt>
                <c:pt idx="87">
                  <c:v>168.8125</c:v>
                </c:pt>
                <c:pt idx="88">
                  <c:v>165.125</c:v>
                </c:pt>
                <c:pt idx="89">
                  <c:v>163.1875</c:v>
                </c:pt>
                <c:pt idx="90">
                  <c:v>165.0625</c:v>
                </c:pt>
                <c:pt idx="91">
                  <c:v>163.4375</c:v>
                </c:pt>
                <c:pt idx="92">
                  <c:v>161.875</c:v>
                </c:pt>
                <c:pt idx="93">
                  <c:v>160.75</c:v>
                </c:pt>
                <c:pt idx="94">
                  <c:v>161.125</c:v>
                </c:pt>
                <c:pt idx="95">
                  <c:v>161.1875</c:v>
                </c:pt>
                <c:pt idx="96">
                  <c:v>159.5625</c:v>
                </c:pt>
                <c:pt idx="97">
                  <c:v>158.5625</c:v>
                </c:pt>
                <c:pt idx="98">
                  <c:v>155.6875</c:v>
                </c:pt>
                <c:pt idx="99">
                  <c:v>154.875</c:v>
                </c:pt>
                <c:pt idx="100">
                  <c:v>157.25</c:v>
                </c:pt>
                <c:pt idx="101">
                  <c:v>155.875</c:v>
                </c:pt>
                <c:pt idx="102">
                  <c:v>155.75</c:v>
                </c:pt>
                <c:pt idx="103">
                  <c:v>154.75</c:v>
                </c:pt>
                <c:pt idx="104">
                  <c:v>153.75</c:v>
                </c:pt>
                <c:pt idx="105">
                  <c:v>159.875</c:v>
                </c:pt>
                <c:pt idx="106">
                  <c:v>160.625</c:v>
                </c:pt>
                <c:pt idx="107">
                  <c:v>163.25</c:v>
                </c:pt>
                <c:pt idx="108">
                  <c:v>163.5625</c:v>
                </c:pt>
                <c:pt idx="109">
                  <c:v>164.4375</c:v>
                </c:pt>
                <c:pt idx="110">
                  <c:v>165.1875</c:v>
                </c:pt>
                <c:pt idx="111">
                  <c:v>164.9375</c:v>
                </c:pt>
                <c:pt idx="112">
                  <c:v>164.6875</c:v>
                </c:pt>
                <c:pt idx="113">
                  <c:v>161.4375</c:v>
                </c:pt>
                <c:pt idx="114">
                  <c:v>161.5625</c:v>
                </c:pt>
                <c:pt idx="115">
                  <c:v>160.6875</c:v>
                </c:pt>
                <c:pt idx="116">
                  <c:v>159</c:v>
                </c:pt>
                <c:pt idx="117">
                  <c:v>158.1875</c:v>
                </c:pt>
                <c:pt idx="118">
                  <c:v>157.8125</c:v>
                </c:pt>
                <c:pt idx="119">
                  <c:v>158.3125</c:v>
                </c:pt>
                <c:pt idx="120">
                  <c:v>157.8125</c:v>
                </c:pt>
                <c:pt idx="121">
                  <c:v>156.0625</c:v>
                </c:pt>
                <c:pt idx="122">
                  <c:v>156.75</c:v>
                </c:pt>
                <c:pt idx="123">
                  <c:v>154.6875</c:v>
                </c:pt>
                <c:pt idx="124">
                  <c:v>157</c:v>
                </c:pt>
                <c:pt idx="125">
                  <c:v>156.8125</c:v>
                </c:pt>
                <c:pt idx="126">
                  <c:v>157.0625</c:v>
                </c:pt>
                <c:pt idx="127">
                  <c:v>155.9375</c:v>
                </c:pt>
                <c:pt idx="128">
                  <c:v>156.5625</c:v>
                </c:pt>
                <c:pt idx="129">
                  <c:v>158.1875</c:v>
                </c:pt>
                <c:pt idx="130">
                  <c:v>159.125</c:v>
                </c:pt>
                <c:pt idx="131">
                  <c:v>159</c:v>
                </c:pt>
                <c:pt idx="132">
                  <c:v>158.625</c:v>
                </c:pt>
                <c:pt idx="133">
                  <c:v>157.75</c:v>
                </c:pt>
                <c:pt idx="134">
                  <c:v>156.875</c:v>
                </c:pt>
                <c:pt idx="135">
                  <c:v>159.5</c:v>
                </c:pt>
                <c:pt idx="136">
                  <c:v>161.125</c:v>
                </c:pt>
                <c:pt idx="137">
                  <c:v>159</c:v>
                </c:pt>
                <c:pt idx="138">
                  <c:v>156.5</c:v>
                </c:pt>
                <c:pt idx="139">
                  <c:v>156.75</c:v>
                </c:pt>
                <c:pt idx="140">
                  <c:v>155.875</c:v>
                </c:pt>
                <c:pt idx="141">
                  <c:v>157.9375</c:v>
                </c:pt>
                <c:pt idx="142">
                  <c:v>158.25</c:v>
                </c:pt>
                <c:pt idx="143">
                  <c:v>155.5</c:v>
                </c:pt>
                <c:pt idx="144">
                  <c:v>155.125</c:v>
                </c:pt>
                <c:pt idx="145">
                  <c:v>157</c:v>
                </c:pt>
                <c:pt idx="146">
                  <c:v>157.75</c:v>
                </c:pt>
                <c:pt idx="147">
                  <c:v>160.5</c:v>
                </c:pt>
                <c:pt idx="148">
                  <c:v>161.375</c:v>
                </c:pt>
                <c:pt idx="149">
                  <c:v>159.5625</c:v>
                </c:pt>
                <c:pt idx="150">
                  <c:v>158.875</c:v>
                </c:pt>
                <c:pt idx="151">
                  <c:v>162</c:v>
                </c:pt>
                <c:pt idx="152">
                  <c:v>161.75</c:v>
                </c:pt>
                <c:pt idx="153">
                  <c:v>161.875</c:v>
                </c:pt>
                <c:pt idx="154">
                  <c:v>162.75</c:v>
                </c:pt>
                <c:pt idx="155">
                  <c:v>159.75</c:v>
                </c:pt>
                <c:pt idx="156">
                  <c:v>159.625</c:v>
                </c:pt>
                <c:pt idx="157">
                  <c:v>159.625</c:v>
                </c:pt>
                <c:pt idx="158">
                  <c:v>162.75</c:v>
                </c:pt>
                <c:pt idx="159">
                  <c:v>159.5</c:v>
                </c:pt>
                <c:pt idx="160">
                  <c:v>158.875</c:v>
                </c:pt>
                <c:pt idx="161">
                  <c:v>156.125</c:v>
                </c:pt>
                <c:pt idx="162">
                  <c:v>157.25</c:v>
                </c:pt>
                <c:pt idx="163">
                  <c:v>160.875</c:v>
                </c:pt>
                <c:pt idx="164">
                  <c:v>160.875</c:v>
                </c:pt>
                <c:pt idx="165">
                  <c:v>163.25</c:v>
                </c:pt>
                <c:pt idx="166">
                  <c:v>160.875</c:v>
                </c:pt>
                <c:pt idx="167">
                  <c:v>163</c:v>
                </c:pt>
                <c:pt idx="168">
                  <c:v>163.375</c:v>
                </c:pt>
                <c:pt idx="169">
                  <c:v>163.25</c:v>
                </c:pt>
                <c:pt idx="170">
                  <c:v>161.625</c:v>
                </c:pt>
                <c:pt idx="171">
                  <c:v>160.375</c:v>
                </c:pt>
                <c:pt idx="172">
                  <c:v>158.375</c:v>
                </c:pt>
                <c:pt idx="173">
                  <c:v>156.125</c:v>
                </c:pt>
                <c:pt idx="174">
                  <c:v>155.5</c:v>
                </c:pt>
                <c:pt idx="175">
                  <c:v>153.875</c:v>
                </c:pt>
                <c:pt idx="176">
                  <c:v>154.25</c:v>
                </c:pt>
                <c:pt idx="177">
                  <c:v>156.125</c:v>
                </c:pt>
                <c:pt idx="178">
                  <c:v>157</c:v>
                </c:pt>
                <c:pt idx="179">
                  <c:v>155.875</c:v>
                </c:pt>
                <c:pt idx="180">
                  <c:v>157.625</c:v>
                </c:pt>
                <c:pt idx="181">
                  <c:v>167.625</c:v>
                </c:pt>
                <c:pt idx="182">
                  <c:v>171.5</c:v>
                </c:pt>
                <c:pt idx="183">
                  <c:v>173.875</c:v>
                </c:pt>
                <c:pt idx="184">
                  <c:v>172.5</c:v>
                </c:pt>
                <c:pt idx="185">
                  <c:v>173.75</c:v>
                </c:pt>
                <c:pt idx="186">
                  <c:v>174.875</c:v>
                </c:pt>
                <c:pt idx="187">
                  <c:v>174.875</c:v>
                </c:pt>
                <c:pt idx="188">
                  <c:v>172</c:v>
                </c:pt>
                <c:pt idx="189">
                  <c:v>161.75</c:v>
                </c:pt>
                <c:pt idx="190">
                  <c:v>157.75</c:v>
                </c:pt>
                <c:pt idx="191">
                  <c:v>155</c:v>
                </c:pt>
                <c:pt idx="192">
                  <c:v>156.375</c:v>
                </c:pt>
                <c:pt idx="193">
                  <c:v>153.625</c:v>
                </c:pt>
                <c:pt idx="194">
                  <c:v>152.5</c:v>
                </c:pt>
                <c:pt idx="195">
                  <c:v>153.25</c:v>
                </c:pt>
                <c:pt idx="196">
                  <c:v>154.375</c:v>
                </c:pt>
                <c:pt idx="197">
                  <c:v>156.125</c:v>
                </c:pt>
                <c:pt idx="198">
                  <c:v>156.57142857142858</c:v>
                </c:pt>
                <c:pt idx="199">
                  <c:v>157.83333333333334</c:v>
                </c:pt>
                <c:pt idx="200">
                  <c:v>157.4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E08-4FEF-8A09-E8A1F7504550}"/>
            </c:ext>
          </c:extLst>
        </c:ser>
        <c:ser>
          <c:idx val="13"/>
          <c:order val="13"/>
          <c:tx>
            <c:strRef>
              <c:f>Matrix!$AA$10</c:f>
              <c:strCache>
                <c:ptCount val="1"/>
                <c:pt idx="0">
                  <c:v>Label Line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numRef>
              <c:f>Matrix!$B$11:$B$211</c:f>
              <c:numCache>
                <c:formatCode>General</c:formatCode>
                <c:ptCount val="201"/>
                <c:pt idx="0">
                  <c:v>83</c:v>
                </c:pt>
                <c:pt idx="1">
                  <c:v>85</c:v>
                </c:pt>
                <c:pt idx="2">
                  <c:v>87</c:v>
                </c:pt>
                <c:pt idx="3">
                  <c:v>89</c:v>
                </c:pt>
                <c:pt idx="4">
                  <c:v>91</c:v>
                </c:pt>
                <c:pt idx="5">
                  <c:v>93</c:v>
                </c:pt>
                <c:pt idx="6">
                  <c:v>95</c:v>
                </c:pt>
                <c:pt idx="7">
                  <c:v>97</c:v>
                </c:pt>
                <c:pt idx="8">
                  <c:v>98</c:v>
                </c:pt>
                <c:pt idx="9">
                  <c:v>99</c:v>
                </c:pt>
                <c:pt idx="10">
                  <c:v>100</c:v>
                </c:pt>
                <c:pt idx="11">
                  <c:v>101</c:v>
                </c:pt>
                <c:pt idx="12">
                  <c:v>102</c:v>
                </c:pt>
                <c:pt idx="13">
                  <c:v>103</c:v>
                </c:pt>
                <c:pt idx="14">
                  <c:v>104</c:v>
                </c:pt>
                <c:pt idx="15">
                  <c:v>105</c:v>
                </c:pt>
                <c:pt idx="16">
                  <c:v>106</c:v>
                </c:pt>
                <c:pt idx="17">
                  <c:v>107</c:v>
                </c:pt>
                <c:pt idx="18">
                  <c:v>108</c:v>
                </c:pt>
                <c:pt idx="19">
                  <c:v>109</c:v>
                </c:pt>
                <c:pt idx="20">
                  <c:v>110</c:v>
                </c:pt>
                <c:pt idx="21">
                  <c:v>111</c:v>
                </c:pt>
                <c:pt idx="22">
                  <c:v>112</c:v>
                </c:pt>
                <c:pt idx="23">
                  <c:v>113</c:v>
                </c:pt>
                <c:pt idx="24">
                  <c:v>114</c:v>
                </c:pt>
                <c:pt idx="25">
                  <c:v>115</c:v>
                </c:pt>
                <c:pt idx="26">
                  <c:v>116</c:v>
                </c:pt>
                <c:pt idx="27">
                  <c:v>117</c:v>
                </c:pt>
                <c:pt idx="28">
                  <c:v>118</c:v>
                </c:pt>
                <c:pt idx="29">
                  <c:v>119</c:v>
                </c:pt>
                <c:pt idx="30">
                  <c:v>120</c:v>
                </c:pt>
                <c:pt idx="31">
                  <c:v>121</c:v>
                </c:pt>
                <c:pt idx="32">
                  <c:v>122</c:v>
                </c:pt>
                <c:pt idx="33">
                  <c:v>123</c:v>
                </c:pt>
                <c:pt idx="34">
                  <c:v>124</c:v>
                </c:pt>
                <c:pt idx="35">
                  <c:v>125</c:v>
                </c:pt>
                <c:pt idx="36">
                  <c:v>126</c:v>
                </c:pt>
                <c:pt idx="37">
                  <c:v>127</c:v>
                </c:pt>
                <c:pt idx="38">
                  <c:v>128</c:v>
                </c:pt>
                <c:pt idx="39">
                  <c:v>129</c:v>
                </c:pt>
                <c:pt idx="40">
                  <c:v>130</c:v>
                </c:pt>
                <c:pt idx="41">
                  <c:v>131</c:v>
                </c:pt>
                <c:pt idx="42">
                  <c:v>132</c:v>
                </c:pt>
                <c:pt idx="43">
                  <c:v>133</c:v>
                </c:pt>
                <c:pt idx="44">
                  <c:v>134</c:v>
                </c:pt>
                <c:pt idx="45">
                  <c:v>135</c:v>
                </c:pt>
                <c:pt idx="46">
                  <c:v>136</c:v>
                </c:pt>
                <c:pt idx="47">
                  <c:v>137</c:v>
                </c:pt>
                <c:pt idx="48">
                  <c:v>138</c:v>
                </c:pt>
                <c:pt idx="49">
                  <c:v>139</c:v>
                </c:pt>
                <c:pt idx="50">
                  <c:v>140</c:v>
                </c:pt>
                <c:pt idx="51">
                  <c:v>141</c:v>
                </c:pt>
                <c:pt idx="52">
                  <c:v>142</c:v>
                </c:pt>
                <c:pt idx="53">
                  <c:v>143</c:v>
                </c:pt>
                <c:pt idx="54">
                  <c:v>144</c:v>
                </c:pt>
                <c:pt idx="55">
                  <c:v>145</c:v>
                </c:pt>
                <c:pt idx="56">
                  <c:v>146</c:v>
                </c:pt>
                <c:pt idx="57">
                  <c:v>147</c:v>
                </c:pt>
                <c:pt idx="58">
                  <c:v>148</c:v>
                </c:pt>
                <c:pt idx="59">
                  <c:v>149</c:v>
                </c:pt>
                <c:pt idx="60">
                  <c:v>150</c:v>
                </c:pt>
                <c:pt idx="61">
                  <c:v>151</c:v>
                </c:pt>
                <c:pt idx="62">
                  <c:v>152</c:v>
                </c:pt>
                <c:pt idx="63">
                  <c:v>153</c:v>
                </c:pt>
                <c:pt idx="64">
                  <c:v>154</c:v>
                </c:pt>
                <c:pt idx="65">
                  <c:v>155</c:v>
                </c:pt>
                <c:pt idx="66">
                  <c:v>156</c:v>
                </c:pt>
                <c:pt idx="67">
                  <c:v>157</c:v>
                </c:pt>
                <c:pt idx="68">
                  <c:v>158</c:v>
                </c:pt>
                <c:pt idx="69">
                  <c:v>159</c:v>
                </c:pt>
                <c:pt idx="70">
                  <c:v>160</c:v>
                </c:pt>
                <c:pt idx="71">
                  <c:v>161</c:v>
                </c:pt>
                <c:pt idx="72">
                  <c:v>162</c:v>
                </c:pt>
                <c:pt idx="73">
                  <c:v>163</c:v>
                </c:pt>
                <c:pt idx="74">
                  <c:v>164</c:v>
                </c:pt>
                <c:pt idx="75">
                  <c:v>165</c:v>
                </c:pt>
                <c:pt idx="76">
                  <c:v>166</c:v>
                </c:pt>
                <c:pt idx="77">
                  <c:v>167</c:v>
                </c:pt>
                <c:pt idx="78">
                  <c:v>168</c:v>
                </c:pt>
                <c:pt idx="79">
                  <c:v>169</c:v>
                </c:pt>
                <c:pt idx="80">
                  <c:v>170</c:v>
                </c:pt>
                <c:pt idx="81">
                  <c:v>171</c:v>
                </c:pt>
                <c:pt idx="82">
                  <c:v>172</c:v>
                </c:pt>
                <c:pt idx="83">
                  <c:v>173</c:v>
                </c:pt>
                <c:pt idx="84">
                  <c:v>174</c:v>
                </c:pt>
                <c:pt idx="85">
                  <c:v>175</c:v>
                </c:pt>
                <c:pt idx="86">
                  <c:v>176</c:v>
                </c:pt>
                <c:pt idx="87">
                  <c:v>177</c:v>
                </c:pt>
                <c:pt idx="88">
                  <c:v>178</c:v>
                </c:pt>
                <c:pt idx="89">
                  <c:v>179</c:v>
                </c:pt>
                <c:pt idx="90">
                  <c:v>180</c:v>
                </c:pt>
                <c:pt idx="91">
                  <c:v>181</c:v>
                </c:pt>
                <c:pt idx="92">
                  <c:v>182</c:v>
                </c:pt>
                <c:pt idx="93">
                  <c:v>183</c:v>
                </c:pt>
                <c:pt idx="94">
                  <c:v>184</c:v>
                </c:pt>
                <c:pt idx="95">
                  <c:v>185</c:v>
                </c:pt>
                <c:pt idx="96">
                  <c:v>186</c:v>
                </c:pt>
                <c:pt idx="97">
                  <c:v>187</c:v>
                </c:pt>
                <c:pt idx="98">
                  <c:v>188</c:v>
                </c:pt>
                <c:pt idx="99">
                  <c:v>189</c:v>
                </c:pt>
                <c:pt idx="100">
                  <c:v>190</c:v>
                </c:pt>
                <c:pt idx="101">
                  <c:v>191</c:v>
                </c:pt>
                <c:pt idx="102">
                  <c:v>192</c:v>
                </c:pt>
                <c:pt idx="103">
                  <c:v>193</c:v>
                </c:pt>
                <c:pt idx="104">
                  <c:v>194</c:v>
                </c:pt>
                <c:pt idx="105">
                  <c:v>195</c:v>
                </c:pt>
                <c:pt idx="106">
                  <c:v>196</c:v>
                </c:pt>
                <c:pt idx="107">
                  <c:v>197</c:v>
                </c:pt>
                <c:pt idx="108">
                  <c:v>198</c:v>
                </c:pt>
                <c:pt idx="109">
                  <c:v>199</c:v>
                </c:pt>
                <c:pt idx="110">
                  <c:v>200</c:v>
                </c:pt>
                <c:pt idx="111">
                  <c:v>201</c:v>
                </c:pt>
                <c:pt idx="112">
                  <c:v>202</c:v>
                </c:pt>
                <c:pt idx="113">
                  <c:v>203</c:v>
                </c:pt>
                <c:pt idx="114">
                  <c:v>204</c:v>
                </c:pt>
                <c:pt idx="115">
                  <c:v>205</c:v>
                </c:pt>
                <c:pt idx="116">
                  <c:v>206</c:v>
                </c:pt>
                <c:pt idx="117">
                  <c:v>207</c:v>
                </c:pt>
                <c:pt idx="118">
                  <c:v>208</c:v>
                </c:pt>
                <c:pt idx="119">
                  <c:v>209</c:v>
                </c:pt>
                <c:pt idx="120">
                  <c:v>210</c:v>
                </c:pt>
                <c:pt idx="121">
                  <c:v>211</c:v>
                </c:pt>
                <c:pt idx="122">
                  <c:v>212</c:v>
                </c:pt>
                <c:pt idx="123">
                  <c:v>213</c:v>
                </c:pt>
                <c:pt idx="124">
                  <c:v>214</c:v>
                </c:pt>
                <c:pt idx="125">
                  <c:v>215</c:v>
                </c:pt>
                <c:pt idx="126">
                  <c:v>216</c:v>
                </c:pt>
                <c:pt idx="127">
                  <c:v>217</c:v>
                </c:pt>
                <c:pt idx="128">
                  <c:v>218</c:v>
                </c:pt>
                <c:pt idx="129">
                  <c:v>219</c:v>
                </c:pt>
                <c:pt idx="130">
                  <c:v>220</c:v>
                </c:pt>
                <c:pt idx="131">
                  <c:v>221</c:v>
                </c:pt>
                <c:pt idx="132">
                  <c:v>222</c:v>
                </c:pt>
                <c:pt idx="133">
                  <c:v>223</c:v>
                </c:pt>
                <c:pt idx="134">
                  <c:v>224</c:v>
                </c:pt>
                <c:pt idx="135">
                  <c:v>225</c:v>
                </c:pt>
                <c:pt idx="136">
                  <c:v>226</c:v>
                </c:pt>
                <c:pt idx="137">
                  <c:v>227</c:v>
                </c:pt>
                <c:pt idx="138">
                  <c:v>228</c:v>
                </c:pt>
                <c:pt idx="139">
                  <c:v>229</c:v>
                </c:pt>
                <c:pt idx="140">
                  <c:v>230</c:v>
                </c:pt>
                <c:pt idx="141">
                  <c:v>231</c:v>
                </c:pt>
                <c:pt idx="142">
                  <c:v>232</c:v>
                </c:pt>
                <c:pt idx="143">
                  <c:v>233</c:v>
                </c:pt>
                <c:pt idx="144">
                  <c:v>234</c:v>
                </c:pt>
                <c:pt idx="145">
                  <c:v>235</c:v>
                </c:pt>
                <c:pt idx="146">
                  <c:v>236</c:v>
                </c:pt>
                <c:pt idx="147">
                  <c:v>237</c:v>
                </c:pt>
                <c:pt idx="148">
                  <c:v>238</c:v>
                </c:pt>
                <c:pt idx="149">
                  <c:v>239</c:v>
                </c:pt>
                <c:pt idx="150">
                  <c:v>240</c:v>
                </c:pt>
                <c:pt idx="151">
                  <c:v>241</c:v>
                </c:pt>
                <c:pt idx="152">
                  <c:v>242</c:v>
                </c:pt>
                <c:pt idx="153">
                  <c:v>243</c:v>
                </c:pt>
                <c:pt idx="154">
                  <c:v>244</c:v>
                </c:pt>
                <c:pt idx="155">
                  <c:v>245</c:v>
                </c:pt>
                <c:pt idx="156">
                  <c:v>246</c:v>
                </c:pt>
                <c:pt idx="157">
                  <c:v>247</c:v>
                </c:pt>
                <c:pt idx="158">
                  <c:v>248</c:v>
                </c:pt>
                <c:pt idx="159">
                  <c:v>249</c:v>
                </c:pt>
                <c:pt idx="160">
                  <c:v>250</c:v>
                </c:pt>
                <c:pt idx="161">
                  <c:v>251</c:v>
                </c:pt>
                <c:pt idx="162">
                  <c:v>252</c:v>
                </c:pt>
                <c:pt idx="163">
                  <c:v>253</c:v>
                </c:pt>
                <c:pt idx="164">
                  <c:v>254</c:v>
                </c:pt>
                <c:pt idx="165">
                  <c:v>255</c:v>
                </c:pt>
                <c:pt idx="166">
                  <c:v>256</c:v>
                </c:pt>
                <c:pt idx="167">
                  <c:v>257</c:v>
                </c:pt>
                <c:pt idx="168">
                  <c:v>258</c:v>
                </c:pt>
                <c:pt idx="169">
                  <c:v>259</c:v>
                </c:pt>
                <c:pt idx="170">
                  <c:v>260</c:v>
                </c:pt>
                <c:pt idx="171">
                  <c:v>261</c:v>
                </c:pt>
                <c:pt idx="172">
                  <c:v>262</c:v>
                </c:pt>
                <c:pt idx="173">
                  <c:v>263</c:v>
                </c:pt>
                <c:pt idx="174">
                  <c:v>264</c:v>
                </c:pt>
                <c:pt idx="175">
                  <c:v>265</c:v>
                </c:pt>
                <c:pt idx="176">
                  <c:v>266</c:v>
                </c:pt>
                <c:pt idx="177">
                  <c:v>267</c:v>
                </c:pt>
                <c:pt idx="178">
                  <c:v>268</c:v>
                </c:pt>
                <c:pt idx="179">
                  <c:v>269</c:v>
                </c:pt>
                <c:pt idx="180">
                  <c:v>270</c:v>
                </c:pt>
                <c:pt idx="181">
                  <c:v>271</c:v>
                </c:pt>
                <c:pt idx="182">
                  <c:v>272</c:v>
                </c:pt>
                <c:pt idx="183">
                  <c:v>273</c:v>
                </c:pt>
                <c:pt idx="184">
                  <c:v>274</c:v>
                </c:pt>
                <c:pt idx="185">
                  <c:v>275</c:v>
                </c:pt>
                <c:pt idx="186">
                  <c:v>276</c:v>
                </c:pt>
                <c:pt idx="187">
                  <c:v>277</c:v>
                </c:pt>
                <c:pt idx="188">
                  <c:v>278</c:v>
                </c:pt>
                <c:pt idx="189">
                  <c:v>279</c:v>
                </c:pt>
                <c:pt idx="190">
                  <c:v>280</c:v>
                </c:pt>
                <c:pt idx="191">
                  <c:v>282</c:v>
                </c:pt>
                <c:pt idx="192">
                  <c:v>284</c:v>
                </c:pt>
                <c:pt idx="193">
                  <c:v>286</c:v>
                </c:pt>
                <c:pt idx="194">
                  <c:v>288</c:v>
                </c:pt>
                <c:pt idx="195">
                  <c:v>290</c:v>
                </c:pt>
                <c:pt idx="196">
                  <c:v>292</c:v>
                </c:pt>
                <c:pt idx="197">
                  <c:v>294</c:v>
                </c:pt>
                <c:pt idx="198">
                  <c:v>296</c:v>
                </c:pt>
                <c:pt idx="199">
                  <c:v>298</c:v>
                </c:pt>
                <c:pt idx="200">
                  <c:v>300</c:v>
                </c:pt>
              </c:numCache>
            </c:numRef>
          </c:cat>
          <c:val>
            <c:numRef>
              <c:f>Matrix!$AA$11:$AA$211</c:f>
              <c:numCache>
                <c:formatCode>General</c:formatCode>
                <c:ptCount val="20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205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205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205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205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205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205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205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205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E08-4FEF-8A09-E8A1F75045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6231359"/>
        <c:axId val="1856226559"/>
      </c:lineChart>
      <c:dateAx>
        <c:axId val="185623135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56226559"/>
        <c:crosses val="autoZero"/>
        <c:auto val="0"/>
        <c:lblOffset val="100"/>
        <c:baseTimeUnit val="days"/>
      </c:dateAx>
      <c:valAx>
        <c:axId val="1856226559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856231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Radio" firstButton="1" fmlaLink="Matrix!E2" lockText="1" noThreeD="1"/>
</file>

<file path=xl/ctrlProps/ctrlProp2.xml><?xml version="1.0" encoding="utf-8"?>
<formControlPr xmlns="http://schemas.microsoft.com/office/spreadsheetml/2009/9/main" objectType="Radio" lockText="1" noThreeD="1"/>
</file>

<file path=xl/ctrlProps/ctrlProp3.xml><?xml version="1.0" encoding="utf-8"?>
<formControlPr xmlns="http://schemas.microsoft.com/office/spreadsheetml/2009/9/main" objectType="Radio" checked="Checked" lockText="1" noThreeD="1"/>
</file>

<file path=xl/ctrlProps/ctrlProp4.xml><?xml version="1.0" encoding="utf-8"?>
<formControlPr xmlns="http://schemas.microsoft.com/office/spreadsheetml/2009/9/main" objectType="Radio" lockText="1" noThreeD="1"/>
</file>

<file path=xl/ctrlProps/ctrlProp5.xml><?xml version="1.0" encoding="utf-8"?>
<formControlPr xmlns="http://schemas.microsoft.com/office/spreadsheetml/2009/9/main" objectType="Radio" firstButton="1" fmlaLink="Matrix!$E$2" lockText="1" noThreeD="1"/>
</file>

<file path=xl/ctrlProps/ctrlProp6.xml><?xml version="1.0" encoding="utf-8"?>
<formControlPr xmlns="http://schemas.microsoft.com/office/spreadsheetml/2009/9/main" objectType="Radio" lockText="1" noThreeD="1"/>
</file>

<file path=xl/ctrlProps/ctrlProp7.xml><?xml version="1.0" encoding="utf-8"?>
<formControlPr xmlns="http://schemas.microsoft.com/office/spreadsheetml/2009/9/main" objectType="Radio" checked="Checked" lockText="1" noThreeD="1"/>
</file>

<file path=xl/ctrlProps/ctrlProp8.xml><?xml version="1.0" encoding="utf-8"?>
<formControlPr xmlns="http://schemas.microsoft.com/office/spreadsheetml/2009/9/main" objectType="Radio" lockText="1" noThreeD="1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svg"/><Relationship Id="rId3" Type="http://schemas.openxmlformats.org/officeDocument/2006/relationships/image" Target="../media/image2.svg"/><Relationship Id="rId7" Type="http://schemas.openxmlformats.org/officeDocument/2006/relationships/image" Target="../media/image6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image" Target="../media/image5.svg"/><Relationship Id="rId5" Type="http://schemas.openxmlformats.org/officeDocument/2006/relationships/image" Target="../media/image4.png"/><Relationship Id="rId10" Type="http://schemas.openxmlformats.org/officeDocument/2006/relationships/image" Target="../media/image9.svg"/><Relationship Id="rId4" Type="http://schemas.openxmlformats.org/officeDocument/2006/relationships/image" Target="../media/image3.png"/><Relationship Id="rId9" Type="http://schemas.openxmlformats.org/officeDocument/2006/relationships/image" Target="../media/image8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2</xdr:row>
      <xdr:rowOff>0</xdr:rowOff>
    </xdr:from>
    <xdr:to>
      <xdr:col>13</xdr:col>
      <xdr:colOff>1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A59B18-E6C5-40AA-85B0-889FF649BD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22</xdr:row>
      <xdr:rowOff>47625</xdr:rowOff>
    </xdr:from>
    <xdr:to>
      <xdr:col>9</xdr:col>
      <xdr:colOff>1158</xdr:colOff>
      <xdr:row>23</xdr:row>
      <xdr:rowOff>3383</xdr:rowOff>
    </xdr:to>
    <xdr:pic>
      <xdr:nvPicPr>
        <xdr:cNvPr id="4" name="Graphic 3" descr="Thought bubble">
          <a:extLst>
            <a:ext uri="{FF2B5EF4-FFF2-40B4-BE49-F238E27FC236}">
              <a16:creationId xmlns:a16="http://schemas.microsoft.com/office/drawing/2014/main" id="{6CE693D3-31BA-445E-9934-FEB8D94D65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5509054" y="4568139"/>
          <a:ext cx="443942" cy="429433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21</xdr:row>
          <xdr:rowOff>160020</xdr:rowOff>
        </xdr:from>
        <xdr:to>
          <xdr:col>7</xdr:col>
          <xdr:colOff>7620</xdr:colOff>
          <xdr:row>22</xdr:row>
          <xdr:rowOff>464820</xdr:rowOff>
        </xdr:to>
        <xdr:sp macro="" textlink="">
          <xdr:nvSpPr>
            <xdr:cNvPr id="7169" name="Option Button 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0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7620</xdr:colOff>
          <xdr:row>21</xdr:row>
          <xdr:rowOff>167640</xdr:rowOff>
        </xdr:from>
        <xdr:to>
          <xdr:col>10</xdr:col>
          <xdr:colOff>60960</xdr:colOff>
          <xdr:row>22</xdr:row>
          <xdr:rowOff>472440</xdr:rowOff>
        </xdr:to>
        <xdr:sp macro="" textlink="">
          <xdr:nvSpPr>
            <xdr:cNvPr id="7170" name="Option Button 2" hidden="1">
              <a:extLst>
                <a:ext uri="{63B3BB69-23CF-44E3-9099-C40C66FF867C}">
                  <a14:compatExt spid="_x0000_s7170"/>
                </a:ext>
                <a:ext uri="{FF2B5EF4-FFF2-40B4-BE49-F238E27FC236}">
                  <a16:creationId xmlns:a16="http://schemas.microsoft.com/office/drawing/2014/main" id="{00000000-0008-0000-0000-00000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30480</xdr:colOff>
          <xdr:row>21</xdr:row>
          <xdr:rowOff>167640</xdr:rowOff>
        </xdr:from>
        <xdr:to>
          <xdr:col>13</xdr:col>
          <xdr:colOff>83820</xdr:colOff>
          <xdr:row>22</xdr:row>
          <xdr:rowOff>464820</xdr:rowOff>
        </xdr:to>
        <xdr:sp macro="" textlink="">
          <xdr:nvSpPr>
            <xdr:cNvPr id="7171" name="Option Button 3" hidden="1">
              <a:extLst>
                <a:ext uri="{63B3BB69-23CF-44E3-9099-C40C66FF867C}">
                  <a14:compatExt spid="_x0000_s7171"/>
                </a:ext>
                <a:ext uri="{FF2B5EF4-FFF2-40B4-BE49-F238E27FC236}">
                  <a16:creationId xmlns:a16="http://schemas.microsoft.com/office/drawing/2014/main" id="{00000000-0008-0000-0000-000003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144780</xdr:colOff>
          <xdr:row>22</xdr:row>
          <xdr:rowOff>7620</xdr:rowOff>
        </xdr:from>
        <xdr:to>
          <xdr:col>4</xdr:col>
          <xdr:colOff>152400</xdr:colOff>
          <xdr:row>23</xdr:row>
          <xdr:rowOff>15240</xdr:rowOff>
        </xdr:to>
        <xdr:sp macro="" textlink="">
          <xdr:nvSpPr>
            <xdr:cNvPr id="7172" name="Option Button 4" hidden="1">
              <a:extLst>
                <a:ext uri="{63B3BB69-23CF-44E3-9099-C40C66FF867C}">
                  <a14:compatExt spid="_x0000_s7172"/>
                </a:ext>
                <a:ext uri="{FF2B5EF4-FFF2-40B4-BE49-F238E27FC236}">
                  <a16:creationId xmlns:a16="http://schemas.microsoft.com/office/drawing/2014/main" id="{00000000-0008-0000-0000-000004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</xdr:col>
      <xdr:colOff>21167</xdr:colOff>
      <xdr:row>1</xdr:row>
      <xdr:rowOff>35719</xdr:rowOff>
    </xdr:from>
    <xdr:ext cx="9362081" cy="62865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1F22C2C-4FBB-495E-B401-C68F71F083DC}"/>
            </a:ext>
          </a:extLst>
        </xdr:cNvPr>
        <xdr:cNvSpPr txBox="1"/>
      </xdr:nvSpPr>
      <xdr:spPr>
        <a:xfrm>
          <a:off x="508000" y="215636"/>
          <a:ext cx="9362081" cy="628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800">
              <a:latin typeface="Raleway SemiBold" panose="020B0703030101060003" pitchFamily="34" charset="0"/>
            </a:rPr>
            <a:t>Appearance</a:t>
          </a:r>
          <a:r>
            <a:rPr lang="en-US" sz="1800" baseline="0">
              <a:latin typeface="Raleway SemiBold" panose="020B0703030101060003" pitchFamily="34" charset="0"/>
            </a:rPr>
            <a:t> of the Five Most Popular X-Men Characters in Chris Claremont's Comics</a:t>
          </a:r>
          <a:endParaRPr lang="en-US" sz="1800">
            <a:latin typeface="Raleway SemiBold" panose="020B0703030101060003" pitchFamily="34" charset="0"/>
          </a:endParaRPr>
        </a:p>
      </xdr:txBody>
    </xdr:sp>
    <xdr:clientData/>
  </xdr:oneCellAnchor>
  <xdr:twoCellAnchor editAs="oneCell">
    <xdr:from>
      <xdr:col>1</xdr:col>
      <xdr:colOff>88425</xdr:colOff>
      <xdr:row>1</xdr:row>
      <xdr:rowOff>548029</xdr:rowOff>
    </xdr:from>
    <xdr:to>
      <xdr:col>3</xdr:col>
      <xdr:colOff>69929</xdr:colOff>
      <xdr:row>3</xdr:row>
      <xdr:rowOff>84048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CA3B390-0079-4FBF-8CF6-05A18B11EA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581" y="732576"/>
          <a:ext cx="630395" cy="345644"/>
        </a:xfrm>
        <a:prstGeom prst="rect">
          <a:avLst/>
        </a:prstGeom>
      </xdr:spPr>
    </xdr:pic>
    <xdr:clientData/>
  </xdr:twoCellAnchor>
  <xdr:twoCellAnchor>
    <xdr:from>
      <xdr:col>1</xdr:col>
      <xdr:colOff>33131</xdr:colOff>
      <xdr:row>1</xdr:row>
      <xdr:rowOff>157369</xdr:rowOff>
    </xdr:from>
    <xdr:to>
      <xdr:col>1</xdr:col>
      <xdr:colOff>78851</xdr:colOff>
      <xdr:row>1</xdr:row>
      <xdr:rowOff>523129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9B3E76B5-D45A-4D7E-B816-CE65BCF3691F}"/>
            </a:ext>
          </a:extLst>
        </xdr:cNvPr>
        <xdr:cNvSpPr/>
      </xdr:nvSpPr>
      <xdr:spPr>
        <a:xfrm>
          <a:off x="372718" y="347869"/>
          <a:ext cx="45720" cy="36576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827686</xdr:colOff>
      <xdr:row>17</xdr:row>
      <xdr:rowOff>16376</xdr:rowOff>
    </xdr:from>
    <xdr:to>
      <xdr:col>12</xdr:col>
      <xdr:colOff>544885</xdr:colOff>
      <xdr:row>19</xdr:row>
      <xdr:rowOff>38891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80006F74-9AC6-4565-9E8E-A30BEDBE2BE4}"/>
            </a:ext>
          </a:extLst>
        </xdr:cNvPr>
        <xdr:cNvGrpSpPr/>
      </xdr:nvGrpSpPr>
      <xdr:grpSpPr>
        <a:xfrm>
          <a:off x="1965606" y="3572376"/>
          <a:ext cx="6940959" cy="388275"/>
          <a:chOff x="1774775" y="3693224"/>
          <a:chExt cx="6758608" cy="405848"/>
        </a:xfrm>
      </xdr:grpSpPr>
      <xdr:sp macro="" textlink="">
        <xdr:nvSpPr>
          <xdr:cNvPr id="14" name="Rectangle: Rounded Corners 13">
            <a:extLst>
              <a:ext uri="{FF2B5EF4-FFF2-40B4-BE49-F238E27FC236}">
                <a16:creationId xmlns:a16="http://schemas.microsoft.com/office/drawing/2014/main" id="{06A269EA-987C-4479-959B-CDF14B71A7C0}"/>
              </a:ext>
            </a:extLst>
          </xdr:cNvPr>
          <xdr:cNvSpPr/>
        </xdr:nvSpPr>
        <xdr:spPr>
          <a:xfrm>
            <a:off x="1774775" y="3693224"/>
            <a:ext cx="6758608" cy="405848"/>
          </a:xfrm>
          <a:prstGeom prst="roundRect">
            <a:avLst>
              <a:gd name="adj" fmla="val 50000"/>
            </a:avLst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4E880270-4526-455D-9A83-C6562512D902}"/>
              </a:ext>
            </a:extLst>
          </xdr:cNvPr>
          <xdr:cNvSpPr/>
        </xdr:nvSpPr>
        <xdr:spPr>
          <a:xfrm>
            <a:off x="2001077" y="3816627"/>
            <a:ext cx="168966" cy="207065"/>
          </a:xfrm>
          <a:prstGeom prst="rect">
            <a:avLst/>
          </a:prstGeom>
          <a:gradFill>
            <a:gsLst>
              <a:gs pos="0">
                <a:srgbClr val="E6AF00"/>
              </a:gs>
              <a:gs pos="25000">
                <a:srgbClr val="E6AF00"/>
              </a:gs>
              <a:gs pos="25000">
                <a:srgbClr val="FFCC00"/>
              </a:gs>
            </a:gsLst>
            <a:lin ang="5400000" scaled="1"/>
          </a:gra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none" lIns="365760" rtlCol="0" anchor="ctr" anchorCtr="0"/>
          <a:lstStyle/>
          <a:p>
            <a:pPr algn="l"/>
            <a:r>
              <a:rPr lang="en-US" sz="800">
                <a:solidFill>
                  <a:schemeClr val="tx1">
                    <a:lumMod val="50000"/>
                    <a:lumOff val="50000"/>
                  </a:schemeClr>
                </a:solidFill>
              </a:rPr>
              <a:t>Wolverine</a:t>
            </a:r>
            <a:r>
              <a:rPr lang="en-US" sz="800" baseline="0">
                <a:solidFill>
                  <a:schemeClr val="tx1">
                    <a:lumMod val="50000"/>
                    <a:lumOff val="50000"/>
                  </a:schemeClr>
                </a:solidFill>
              </a:rPr>
              <a:t> (casual)</a:t>
            </a:r>
          </a:p>
          <a:p>
            <a:pPr algn="l"/>
            <a:r>
              <a:rPr lang="en-US" sz="800" baseline="0">
                <a:solidFill>
                  <a:schemeClr val="tx1">
                    <a:lumMod val="50000"/>
                    <a:lumOff val="50000"/>
                  </a:schemeClr>
                </a:solidFill>
              </a:rPr>
              <a:t>Wolverine (costumed)</a:t>
            </a:r>
            <a:endParaRPr lang="en-US" sz="800">
              <a:solidFill>
                <a:schemeClr val="tx1">
                  <a:lumMod val="50000"/>
                  <a:lumOff val="50000"/>
                </a:schemeClr>
              </a:solidFill>
            </a:endParaRPr>
          </a:p>
        </xdr:txBody>
      </xdr: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5489B368-2A3A-4176-A29F-883702378E73}"/>
              </a:ext>
            </a:extLst>
          </xdr:cNvPr>
          <xdr:cNvSpPr/>
        </xdr:nvSpPr>
        <xdr:spPr>
          <a:xfrm>
            <a:off x="3277841" y="3816627"/>
            <a:ext cx="168966" cy="207065"/>
          </a:xfrm>
          <a:prstGeom prst="rect">
            <a:avLst/>
          </a:prstGeom>
          <a:gradFill>
            <a:gsLst>
              <a:gs pos="0">
                <a:srgbClr val="DE0000"/>
              </a:gs>
              <a:gs pos="25000">
                <a:srgbClr val="DE0000"/>
              </a:gs>
              <a:gs pos="97345">
                <a:srgbClr val="FF0000"/>
              </a:gs>
              <a:gs pos="25000">
                <a:srgbClr val="FF0000"/>
              </a:gs>
            </a:gsLst>
            <a:lin ang="5400000" scaled="1"/>
          </a:gra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none" lIns="365760" rtlCol="0" anchor="ctr" anchorCtr="0"/>
          <a:lstStyle/>
          <a:p>
            <a:pPr algn="l"/>
            <a:r>
              <a:rPr lang="en-US" sz="800">
                <a:solidFill>
                  <a:schemeClr val="tx1">
                    <a:lumMod val="50000"/>
                    <a:lumOff val="50000"/>
                  </a:schemeClr>
                </a:solidFill>
              </a:rPr>
              <a:t>Magneto</a:t>
            </a:r>
            <a:r>
              <a:rPr lang="en-US" sz="800" baseline="0">
                <a:solidFill>
                  <a:schemeClr val="tx1">
                    <a:lumMod val="50000"/>
                    <a:lumOff val="50000"/>
                  </a:schemeClr>
                </a:solidFill>
              </a:rPr>
              <a:t> (casual)</a:t>
            </a:r>
          </a:p>
          <a:p>
            <a:pPr algn="l"/>
            <a:r>
              <a:rPr lang="en-US" sz="800" baseline="0">
                <a:solidFill>
                  <a:schemeClr val="tx1">
                    <a:lumMod val="50000"/>
                    <a:lumOff val="50000"/>
                  </a:schemeClr>
                </a:solidFill>
              </a:rPr>
              <a:t>Magneto (costumed)</a:t>
            </a:r>
            <a:endParaRPr lang="en-US" sz="800">
              <a:solidFill>
                <a:schemeClr val="tx1">
                  <a:lumMod val="50000"/>
                  <a:lumOff val="50000"/>
                </a:schemeClr>
              </a:solidFill>
            </a:endParaRPr>
          </a:p>
        </xdr:txBody>
      </xdr:sp>
      <xdr:sp macro="" textlink="">
        <xdr:nvSpPr>
          <xdr:cNvPr id="18" name="Rectangle 17">
            <a:extLst>
              <a:ext uri="{FF2B5EF4-FFF2-40B4-BE49-F238E27FC236}">
                <a16:creationId xmlns:a16="http://schemas.microsoft.com/office/drawing/2014/main" id="{1716B795-AD1C-4F46-9EEE-ED01E26398F2}"/>
              </a:ext>
            </a:extLst>
          </xdr:cNvPr>
          <xdr:cNvSpPr/>
        </xdr:nvSpPr>
        <xdr:spPr>
          <a:xfrm>
            <a:off x="4554605" y="3816627"/>
            <a:ext cx="168966" cy="207065"/>
          </a:xfrm>
          <a:prstGeom prst="rect">
            <a:avLst/>
          </a:prstGeom>
          <a:gradFill>
            <a:gsLst>
              <a:gs pos="0">
                <a:srgbClr val="00A1DA"/>
              </a:gs>
              <a:gs pos="25000">
                <a:srgbClr val="00A1DA"/>
              </a:gs>
              <a:gs pos="97345">
                <a:srgbClr val="00B0F0"/>
              </a:gs>
              <a:gs pos="20000">
                <a:srgbClr val="00B0F0"/>
              </a:gs>
            </a:gsLst>
            <a:lin ang="5400000" scaled="1"/>
          </a:gra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none" lIns="365760" rtlCol="0" anchor="ctr" anchorCtr="0"/>
          <a:lstStyle/>
          <a:p>
            <a:pPr algn="l"/>
            <a:r>
              <a:rPr lang="en-US" sz="800">
                <a:solidFill>
                  <a:schemeClr val="tx1">
                    <a:lumMod val="50000"/>
                    <a:lumOff val="50000"/>
                  </a:schemeClr>
                </a:solidFill>
              </a:rPr>
              <a:t>Nightcrawler</a:t>
            </a:r>
            <a:r>
              <a:rPr lang="en-US" sz="800" baseline="0">
                <a:solidFill>
                  <a:schemeClr val="tx1">
                    <a:lumMod val="50000"/>
                    <a:lumOff val="50000"/>
                  </a:schemeClr>
                </a:solidFill>
              </a:rPr>
              <a:t> (casual)</a:t>
            </a:r>
          </a:p>
          <a:p>
            <a:pPr algn="l"/>
            <a:r>
              <a:rPr lang="en-US" sz="800" baseline="0">
                <a:solidFill>
                  <a:schemeClr val="tx1">
                    <a:lumMod val="50000"/>
                    <a:lumOff val="50000"/>
                  </a:schemeClr>
                </a:solidFill>
              </a:rPr>
              <a:t>Nightcrawler (costumed)</a:t>
            </a:r>
            <a:endParaRPr lang="en-US" sz="800">
              <a:solidFill>
                <a:schemeClr val="tx1">
                  <a:lumMod val="50000"/>
                  <a:lumOff val="50000"/>
                </a:schemeClr>
              </a:solidFill>
            </a:endParaRPr>
          </a:p>
        </xdr:txBody>
      </xdr:sp>
      <xdr:sp macro="" textlink="">
        <xdr:nvSpPr>
          <xdr:cNvPr id="19" name="Rectangle 18">
            <a:extLst>
              <a:ext uri="{FF2B5EF4-FFF2-40B4-BE49-F238E27FC236}">
                <a16:creationId xmlns:a16="http://schemas.microsoft.com/office/drawing/2014/main" id="{48ECA522-F672-4AFF-B099-17F9CFEE741D}"/>
              </a:ext>
            </a:extLst>
          </xdr:cNvPr>
          <xdr:cNvSpPr/>
        </xdr:nvSpPr>
        <xdr:spPr>
          <a:xfrm>
            <a:off x="5831369" y="3816627"/>
            <a:ext cx="168966" cy="207065"/>
          </a:xfrm>
          <a:prstGeom prst="rect">
            <a:avLst/>
          </a:prstGeom>
          <a:gradFill>
            <a:gsLst>
              <a:gs pos="0">
                <a:srgbClr val="CC00FF"/>
              </a:gs>
              <a:gs pos="25000">
                <a:srgbClr val="CC00FF"/>
              </a:gs>
              <a:gs pos="97345">
                <a:srgbClr val="FF00FF"/>
              </a:gs>
              <a:gs pos="25000">
                <a:srgbClr val="FF33CC"/>
              </a:gs>
            </a:gsLst>
            <a:lin ang="5400000" scaled="1"/>
          </a:gra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none" lIns="365760" rtlCol="0" anchor="ctr" anchorCtr="0"/>
          <a:lstStyle/>
          <a:p>
            <a:pPr algn="l"/>
            <a:r>
              <a:rPr lang="en-US" sz="800">
                <a:solidFill>
                  <a:schemeClr val="tx1">
                    <a:lumMod val="50000"/>
                    <a:lumOff val="50000"/>
                  </a:schemeClr>
                </a:solidFill>
              </a:rPr>
              <a:t>Gambit</a:t>
            </a:r>
            <a:r>
              <a:rPr lang="en-US" sz="800" baseline="0">
                <a:solidFill>
                  <a:schemeClr val="tx1">
                    <a:lumMod val="50000"/>
                    <a:lumOff val="50000"/>
                  </a:schemeClr>
                </a:solidFill>
              </a:rPr>
              <a:t> (casual)</a:t>
            </a:r>
          </a:p>
          <a:p>
            <a:pPr algn="l"/>
            <a:r>
              <a:rPr lang="en-US" sz="800" baseline="0">
                <a:solidFill>
                  <a:schemeClr val="tx1">
                    <a:lumMod val="50000"/>
                    <a:lumOff val="50000"/>
                  </a:schemeClr>
                </a:solidFill>
              </a:rPr>
              <a:t>Gambit (costumed)</a:t>
            </a:r>
            <a:endParaRPr lang="en-US" sz="800">
              <a:solidFill>
                <a:schemeClr val="tx1">
                  <a:lumMod val="50000"/>
                  <a:lumOff val="50000"/>
                </a:schemeClr>
              </a:solidFill>
            </a:endParaRPr>
          </a:p>
        </xdr:txBody>
      </xdr:sp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8E60E2B5-9077-4CE5-A001-D65BA408A226}"/>
              </a:ext>
            </a:extLst>
          </xdr:cNvPr>
          <xdr:cNvSpPr/>
        </xdr:nvSpPr>
        <xdr:spPr>
          <a:xfrm>
            <a:off x="7131270" y="3816627"/>
            <a:ext cx="168966" cy="207065"/>
          </a:xfrm>
          <a:prstGeom prst="rect">
            <a:avLst/>
          </a:prstGeom>
          <a:gradFill>
            <a:gsLst>
              <a:gs pos="0">
                <a:schemeClr val="tx1">
                  <a:lumMod val="65000"/>
                  <a:lumOff val="35000"/>
                </a:schemeClr>
              </a:gs>
              <a:gs pos="25000">
                <a:schemeClr val="tx1">
                  <a:lumMod val="65000"/>
                  <a:lumOff val="35000"/>
                </a:schemeClr>
              </a:gs>
              <a:gs pos="97345">
                <a:schemeClr val="tx1">
                  <a:lumMod val="50000"/>
                  <a:lumOff val="50000"/>
                </a:schemeClr>
              </a:gs>
              <a:gs pos="25000">
                <a:schemeClr val="tx1">
                  <a:lumMod val="50000"/>
                  <a:lumOff val="50000"/>
                </a:schemeClr>
              </a:gs>
            </a:gsLst>
            <a:lin ang="5400000" scaled="1"/>
          </a:gra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none" lIns="365760" rtlCol="0" anchor="ctr" anchorCtr="0"/>
          <a:lstStyle/>
          <a:p>
            <a:pPr algn="l"/>
            <a:r>
              <a:rPr lang="en-US" sz="800">
                <a:solidFill>
                  <a:schemeClr val="tx1">
                    <a:lumMod val="50000"/>
                    <a:lumOff val="50000"/>
                  </a:schemeClr>
                </a:solidFill>
              </a:rPr>
              <a:t>Storm</a:t>
            </a:r>
            <a:r>
              <a:rPr lang="en-US" sz="800" baseline="0">
                <a:solidFill>
                  <a:schemeClr val="tx1">
                    <a:lumMod val="50000"/>
                    <a:lumOff val="50000"/>
                  </a:schemeClr>
                </a:solidFill>
              </a:rPr>
              <a:t> (casual)</a:t>
            </a:r>
          </a:p>
          <a:p>
            <a:pPr algn="l"/>
            <a:r>
              <a:rPr lang="en-US" sz="800" baseline="0">
                <a:solidFill>
                  <a:schemeClr val="tx1">
                    <a:lumMod val="50000"/>
                    <a:lumOff val="50000"/>
                  </a:schemeClr>
                </a:solidFill>
              </a:rPr>
              <a:t>Storm (costumed)</a:t>
            </a:r>
            <a:endParaRPr lang="en-US" sz="800">
              <a:solidFill>
                <a:schemeClr val="tx1">
                  <a:lumMod val="50000"/>
                  <a:lumOff val="50000"/>
                </a:schemeClr>
              </a:solidFill>
            </a:endParaRPr>
          </a:p>
        </xdr:txBody>
      </xdr:sp>
    </xdr:grpSp>
    <xdr:clientData/>
  </xdr:twoCellAnchor>
  <xdr:twoCellAnchor editAs="oneCell">
    <xdr:from>
      <xdr:col>2</xdr:col>
      <xdr:colOff>121110</xdr:colOff>
      <xdr:row>22</xdr:row>
      <xdr:rowOff>70651</xdr:rowOff>
    </xdr:from>
    <xdr:to>
      <xdr:col>3</xdr:col>
      <xdr:colOff>20181</xdr:colOff>
      <xdr:row>22</xdr:row>
      <xdr:rowOff>413717</xdr:rowOff>
    </xdr:to>
    <xdr:pic>
      <xdr:nvPicPr>
        <xdr:cNvPr id="24" name="Graphic 23" descr="Body builder with solid fill">
          <a:extLst>
            <a:ext uri="{FF2B5EF4-FFF2-40B4-BE49-F238E27FC236}">
              <a16:creationId xmlns:a16="http://schemas.microsoft.com/office/drawing/2014/main" id="{B929D8DF-A89C-D7AC-D9D8-1EF4080031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817507" y="4511446"/>
          <a:ext cx="343151" cy="343066"/>
        </a:xfrm>
        <a:prstGeom prst="rect">
          <a:avLst/>
        </a:prstGeom>
      </xdr:spPr>
    </xdr:pic>
    <xdr:clientData/>
  </xdr:twoCellAnchor>
  <xdr:twoCellAnchor editAs="oneCell">
    <xdr:from>
      <xdr:col>5</xdr:col>
      <xdr:colOff>5689</xdr:colOff>
      <xdr:row>22</xdr:row>
      <xdr:rowOff>28432</xdr:rowOff>
    </xdr:from>
    <xdr:to>
      <xdr:col>6</xdr:col>
      <xdr:colOff>19490</xdr:colOff>
      <xdr:row>23</xdr:row>
      <xdr:rowOff>17366</xdr:rowOff>
    </xdr:to>
    <xdr:pic>
      <xdr:nvPicPr>
        <xdr:cNvPr id="26" name="Graphic 25" descr="Chat with solid fill">
          <a:extLst>
            <a:ext uri="{FF2B5EF4-FFF2-40B4-BE49-F238E27FC236}">
              <a16:creationId xmlns:a16="http://schemas.microsoft.com/office/drawing/2014/main" id="{9BC8B0E6-5443-7A05-FDE9-8E4C8F3713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110555" y="4475328"/>
          <a:ext cx="457353" cy="460919"/>
        </a:xfrm>
        <a:prstGeom prst="rect">
          <a:avLst/>
        </a:prstGeom>
      </xdr:spPr>
    </xdr:pic>
    <xdr:clientData/>
  </xdr:twoCellAnchor>
  <xdr:twoCellAnchor editAs="oneCell">
    <xdr:from>
      <xdr:col>11</xdr:col>
      <xdr:colOff>24181</xdr:colOff>
      <xdr:row>22</xdr:row>
      <xdr:rowOff>40460</xdr:rowOff>
    </xdr:from>
    <xdr:to>
      <xdr:col>11</xdr:col>
      <xdr:colOff>431456</xdr:colOff>
      <xdr:row>22</xdr:row>
      <xdr:rowOff>447735</xdr:rowOff>
    </xdr:to>
    <xdr:pic>
      <xdr:nvPicPr>
        <xdr:cNvPr id="28" name="Graphic 27" descr="Open book with solid fill">
          <a:extLst>
            <a:ext uri="{FF2B5EF4-FFF2-40B4-BE49-F238E27FC236}">
              <a16:creationId xmlns:a16="http://schemas.microsoft.com/office/drawing/2014/main" id="{9DFA6A02-C85C-D64E-6B13-C8EF83B940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7936833" y="4490982"/>
          <a:ext cx="407275" cy="4072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327407</xdr:colOff>
      <xdr:row>27</xdr:row>
      <xdr:rowOff>16262</xdr:rowOff>
    </xdr:from>
    <xdr:to>
      <xdr:col>45</xdr:col>
      <xdr:colOff>49657</xdr:colOff>
      <xdr:row>49</xdr:row>
      <xdr:rowOff>157685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437E745-FDA2-623E-2733-BF170F9CA2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30480</xdr:colOff>
          <xdr:row>28</xdr:row>
          <xdr:rowOff>167640</xdr:rowOff>
        </xdr:from>
        <xdr:to>
          <xdr:col>4</xdr:col>
          <xdr:colOff>22860</xdr:colOff>
          <xdr:row>30</xdr:row>
          <xdr:rowOff>30480</xdr:rowOff>
        </xdr:to>
        <xdr:sp macro="" textlink="">
          <xdr:nvSpPr>
            <xdr:cNvPr id="12289" name="Option Button 1" hidden="1">
              <a:extLst>
                <a:ext uri="{63B3BB69-23CF-44E3-9099-C40C66FF867C}">
                  <a14:compatExt spid="_x0000_s12289"/>
                </a:ext>
                <a:ext uri="{FF2B5EF4-FFF2-40B4-BE49-F238E27FC236}">
                  <a16:creationId xmlns:a16="http://schemas.microsoft.com/office/drawing/2014/main" id="{00000000-0008-0000-0200-00000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Option Button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30</xdr:row>
          <xdr:rowOff>175260</xdr:rowOff>
        </xdr:from>
        <xdr:to>
          <xdr:col>3</xdr:col>
          <xdr:colOff>335280</xdr:colOff>
          <xdr:row>32</xdr:row>
          <xdr:rowOff>22860</xdr:rowOff>
        </xdr:to>
        <xdr:sp macro="" textlink="">
          <xdr:nvSpPr>
            <xdr:cNvPr id="12290" name="Option Button 2" hidden="1">
              <a:extLst>
                <a:ext uri="{63B3BB69-23CF-44E3-9099-C40C66FF867C}">
                  <a14:compatExt spid="_x0000_s12290"/>
                </a:ext>
                <a:ext uri="{FF2B5EF4-FFF2-40B4-BE49-F238E27FC236}">
                  <a16:creationId xmlns:a16="http://schemas.microsoft.com/office/drawing/2014/main" id="{00000000-0008-0000-0200-000002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Option Button 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32</xdr:row>
          <xdr:rowOff>167640</xdr:rowOff>
        </xdr:from>
        <xdr:to>
          <xdr:col>3</xdr:col>
          <xdr:colOff>335280</xdr:colOff>
          <xdr:row>34</xdr:row>
          <xdr:rowOff>15240</xdr:rowOff>
        </xdr:to>
        <xdr:sp macro="" textlink="">
          <xdr:nvSpPr>
            <xdr:cNvPr id="12291" name="Option Button 3" hidden="1">
              <a:extLst>
                <a:ext uri="{63B3BB69-23CF-44E3-9099-C40C66FF867C}">
                  <a14:compatExt spid="_x0000_s12291"/>
                </a:ext>
                <a:ext uri="{FF2B5EF4-FFF2-40B4-BE49-F238E27FC236}">
                  <a16:creationId xmlns:a16="http://schemas.microsoft.com/office/drawing/2014/main" id="{00000000-0008-0000-0200-000003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Option Button 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34</xdr:row>
          <xdr:rowOff>152400</xdr:rowOff>
        </xdr:from>
        <xdr:to>
          <xdr:col>3</xdr:col>
          <xdr:colOff>335280</xdr:colOff>
          <xdr:row>36</xdr:row>
          <xdr:rowOff>0</xdr:rowOff>
        </xdr:to>
        <xdr:sp macro="" textlink="">
          <xdr:nvSpPr>
            <xdr:cNvPr id="12292" name="Option Button 4" hidden="1">
              <a:extLst>
                <a:ext uri="{63B3BB69-23CF-44E3-9099-C40C66FF867C}">
                  <a14:compatExt spid="_x0000_s12292"/>
                </a:ext>
                <a:ext uri="{FF2B5EF4-FFF2-40B4-BE49-F238E27FC236}">
                  <a16:creationId xmlns:a16="http://schemas.microsoft.com/office/drawing/2014/main" id="{00000000-0008-0000-0200-000004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Option Button 4</a:t>
              </a:r>
            </a:p>
          </xdr:txBody>
        </xdr:sp>
        <xdr:clientData/>
      </xdr:twoCellAnchor>
    </mc:Choice>
    <mc:Fallback/>
  </mc:AlternateContent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297336FD-C1F2-471F-87DD-3773E335528E}" autoFormatId="16" applyNumberFormats="0" applyBorderFormats="0" applyFontFormats="0" applyPatternFormats="0" applyAlignmentFormats="0" applyWidthHeightFormats="0">
  <queryTableRefresh nextId="4">
    <queryTableFields count="2">
      <queryTableField id="1" name="x" tableColumnId="1"/>
      <queryTableField id="3" name="Appearances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294DEF8-99D9-48D9-B4BF-AF27B3FC040D}" autoFormatId="16" applyNumberFormats="0" applyBorderFormats="0" applyFontFormats="0" applyPatternFormats="0" applyAlignmentFormats="0" applyWidthHeightFormats="0">
  <queryTableRefresh nextId="10">
    <queryTableFields count="9">
      <queryTableField id="1" name="issue" tableColumnId="1"/>
      <queryTableField id="2" name="costume" tableColumnId="2"/>
      <queryTableField id="3" name="character" tableColumnId="3"/>
      <queryTableField id="4" name="speech" tableColumnId="4"/>
      <queryTableField id="5" name="thought" tableColumnId="5"/>
      <queryTableField id="6" name="narrative" tableColumnId="6"/>
      <queryTableField id="7" name="depicted" tableColumnId="7"/>
      <queryTableField id="8" name="x" tableColumnId="8"/>
      <queryTableField id="9" name="Total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77CDF9A-D72B-472C-945C-672428C79A00}" name="chars" displayName="chars" ref="A1:B27" tableType="queryTable" totalsRowCount="1">
  <autoFilter ref="A1:B26" xr:uid="{42C92FF6-6CE5-48EA-8A9F-7AEE07443F4C}"/>
  <sortState xmlns:xlrd2="http://schemas.microsoft.com/office/spreadsheetml/2017/richdata2" ref="A2:B26">
    <sortCondition descending="1" ref="B1:B26"/>
  </sortState>
  <tableColumns count="2">
    <tableColumn id="1" xr3:uid="{BBAF1408-19B5-4DF0-ABE9-838AF8C67584}" uniqueName="1" name="x" queryTableFieldId="1" dataDxfId="8" totalsRowDxfId="7"/>
    <tableColumn id="3" xr3:uid="{9C4EFA64-7BBE-4094-B099-AFBFF00AE0C6}" uniqueName="3" name="Appearances" totalsRowFunction="custom" queryTableFieldId="3">
      <totalsRowFormula>SUM(chars[Appearances])</totalsRow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7BBCFDE-4E39-41D0-914E-6850AF8E0900}" name="Table4" displayName="Table4" ref="O12:Q38" totalsRowCount="1">
  <autoFilter ref="O12:Q37" xr:uid="{F7BBCFDE-4E39-41D0-914E-6850AF8E0900}"/>
  <sortState xmlns:xlrd2="http://schemas.microsoft.com/office/spreadsheetml/2017/richdata2" ref="O13:Q37">
    <sortCondition descending="1" ref="Q12:Q37"/>
  </sortState>
  <tableColumns count="3">
    <tableColumn id="1" xr3:uid="{67F9E676-E6E2-434A-B7D1-FEBCCB95FF70}" name="Column1"/>
    <tableColumn id="2" xr3:uid="{5429ED09-3B06-4D4E-826F-65D7D8376D94}" name="X"/>
    <tableColumn id="3" xr3:uid="{96EE8C63-03AA-4DC3-A72F-4AFAF655C552}" name="Appearances" totalsRowFunction="custom">
      <totalsRowFormula>SUM(Table4[Appearances])</totalsRow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CBBE4B-56EA-459A-9158-8D9340AA8496}" name="xmen" displayName="xmen" ref="A1:I2151" tableType="queryTable" totalsRowShown="0">
  <autoFilter ref="A1:I2151" xr:uid="{E6487475-56AC-4ED9-83EE-377F43B5331C}"/>
  <tableColumns count="9">
    <tableColumn id="1" xr3:uid="{0D9BE91B-C04E-4007-8702-FC25B1E7CF59}" uniqueName="1" name="issue" queryTableFieldId="1"/>
    <tableColumn id="2" xr3:uid="{1924C7F4-15FD-46F4-8C91-EAA03983CF27}" uniqueName="2" name="costume" queryTableFieldId="2" dataDxfId="6"/>
    <tableColumn id="3" xr3:uid="{4DCC8BE5-07CA-4A68-983E-45D8E0B78DFA}" uniqueName="3" name="character" queryTableFieldId="3" dataDxfId="5"/>
    <tableColumn id="4" xr3:uid="{789EC44F-CCB8-4E23-A10A-204FFC92BD35}" uniqueName="4" name="speech" queryTableFieldId="4"/>
    <tableColumn id="5" xr3:uid="{6D26E049-D122-4DD1-AA5F-30BE454E22E8}" uniqueName="5" name="thought" queryTableFieldId="5"/>
    <tableColumn id="6" xr3:uid="{8B24A776-2CD5-4E4F-B241-E09DDC409E21}" uniqueName="6" name="narrative" queryTableFieldId="6"/>
    <tableColumn id="7" xr3:uid="{E8CE8452-7052-4CCA-BF1A-6BE5C1D48B78}" uniqueName="7" name="depicted" queryTableFieldId="7"/>
    <tableColumn id="8" xr3:uid="{E075E1F0-B01F-4E31-8610-A54562714C99}" uniqueName="8" name="x" queryTableFieldId="8" dataDxfId="4"/>
    <tableColumn id="9" xr3:uid="{C85D7B42-32D1-4F6C-9F75-CA07599BA37A}" uniqueName="9" name="Total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5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Relationship Id="rId6" Type="http://schemas.openxmlformats.org/officeDocument/2006/relationships/ctrlProp" Target="../ctrlProps/ctrlProp8.xml"/><Relationship Id="rId5" Type="http://schemas.openxmlformats.org/officeDocument/2006/relationships/ctrlProp" Target="../ctrlProps/ctrlProp7.xml"/><Relationship Id="rId4" Type="http://schemas.openxmlformats.org/officeDocument/2006/relationships/ctrlProp" Target="../ctrlProps/ctrlProp6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00E03-D723-4C57-A51B-3F0018E20778}">
  <dimension ref="B2:Q32"/>
  <sheetViews>
    <sheetView showGridLines="0" tabSelected="1" zoomScale="75" zoomScaleNormal="72" workbookViewId="0">
      <selection activeCell="M24" sqref="M24"/>
    </sheetView>
  </sheetViews>
  <sheetFormatPr defaultRowHeight="14.4" x14ac:dyDescent="0.3"/>
  <cols>
    <col min="1" max="1" width="7.109375" customWidth="1"/>
    <col min="2" max="2" width="3" customWidth="1"/>
    <col min="3" max="3" width="6.44140625" customWidth="1"/>
    <col min="4" max="4" width="25.6640625" customWidth="1"/>
    <col min="5" max="5" width="3" customWidth="1"/>
    <col min="6" max="6" width="6.44140625" customWidth="1"/>
    <col min="7" max="7" width="25.6640625" customWidth="1"/>
    <col min="8" max="8" width="3" customWidth="1"/>
    <col min="9" max="9" width="6.44140625" customWidth="1"/>
    <col min="10" max="10" width="25.6640625" customWidth="1"/>
    <col min="11" max="11" width="3" customWidth="1"/>
    <col min="12" max="12" width="6.44140625" customWidth="1"/>
    <col min="13" max="13" width="25.6640625" customWidth="1"/>
    <col min="14" max="14" width="5.44140625" customWidth="1"/>
    <col min="15" max="15" width="30.44140625" customWidth="1"/>
    <col min="16" max="16" width="2.5546875" customWidth="1"/>
    <col min="17" max="17" width="30.44140625" customWidth="1"/>
  </cols>
  <sheetData>
    <row r="2" spans="2:17" ht="49.5" customHeight="1" x14ac:dyDescent="0.3"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O2" s="15"/>
      <c r="P2" s="15"/>
      <c r="Q2" s="15"/>
    </row>
    <row r="3" spans="2:17" x14ac:dyDescent="0.3"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</row>
    <row r="4" spans="2:17" x14ac:dyDescent="0.3"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</row>
    <row r="5" spans="2:17" x14ac:dyDescent="0.3"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</row>
    <row r="6" spans="2:17" x14ac:dyDescent="0.3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</row>
    <row r="7" spans="2:17" x14ac:dyDescent="0.3"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</row>
    <row r="8" spans="2:17" x14ac:dyDescent="0.3"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</row>
    <row r="9" spans="2:17" x14ac:dyDescent="0.3"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</row>
    <row r="10" spans="2:17" x14ac:dyDescent="0.3"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</row>
    <row r="11" spans="2:17" x14ac:dyDescent="0.3"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</row>
    <row r="12" spans="2:17" x14ac:dyDescent="0.3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</row>
    <row r="13" spans="2:17" x14ac:dyDescent="0.3"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O13" s="7"/>
      <c r="P13" s="7"/>
      <c r="Q13" s="7"/>
    </row>
    <row r="14" spans="2:17" x14ac:dyDescent="0.3"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</row>
    <row r="15" spans="2:17" x14ac:dyDescent="0.3"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</row>
    <row r="16" spans="2:17" x14ac:dyDescent="0.3"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</row>
    <row r="17" spans="2:17" x14ac:dyDescent="0.3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</row>
    <row r="18" spans="2:17" x14ac:dyDescent="0.3"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</row>
    <row r="19" spans="2:17" x14ac:dyDescent="0.3"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</row>
    <row r="20" spans="2:17" x14ac:dyDescent="0.3"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</row>
    <row r="21" spans="2:17" x14ac:dyDescent="0.3"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O21" s="7"/>
      <c r="P21" s="7"/>
      <c r="Q21" s="7"/>
    </row>
    <row r="22" spans="2:17" x14ac:dyDescent="0.3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</row>
    <row r="23" spans="2:17" ht="37.5" customHeight="1" x14ac:dyDescent="0.3">
      <c r="D23" s="2" t="s">
        <v>94</v>
      </c>
      <c r="E23" s="2"/>
      <c r="F23" s="1"/>
      <c r="G23" s="2" t="s">
        <v>95</v>
      </c>
      <c r="H23" s="2"/>
      <c r="I23" s="1"/>
      <c r="J23" s="2" t="s">
        <v>96</v>
      </c>
      <c r="K23" s="2"/>
      <c r="L23" s="1"/>
      <c r="M23" s="2" t="s">
        <v>103</v>
      </c>
      <c r="O23" s="9"/>
    </row>
    <row r="25" spans="2:17" x14ac:dyDescent="0.3">
      <c r="C25" s="5"/>
      <c r="D25" s="5"/>
      <c r="F25" s="5"/>
      <c r="G25" s="5"/>
      <c r="H25" s="5"/>
      <c r="I25" s="5"/>
      <c r="J25" s="5"/>
      <c r="K25" s="5"/>
      <c r="L25" s="5"/>
      <c r="M25" s="5"/>
    </row>
    <row r="26" spans="2:17" x14ac:dyDescent="0.3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</row>
    <row r="27" spans="2:17" ht="15.6" x14ac:dyDescent="0.3">
      <c r="B27" s="5"/>
      <c r="E27" s="6"/>
    </row>
    <row r="28" spans="2:17" x14ac:dyDescent="0.3">
      <c r="B28" s="5" t="s">
        <v>99</v>
      </c>
    </row>
    <row r="32" spans="2:17" x14ac:dyDescent="0.3">
      <c r="M32" s="11"/>
    </row>
  </sheetData>
  <sheetProtection selectLockedCells="1" selectUnlockedCells="1"/>
  <mergeCells count="1">
    <mergeCell ref="O2:Q2"/>
  </mergeCells>
  <conditionalFormatting sqref="B23:D23">
    <cfRule type="expression" dxfId="3" priority="4">
      <formula>chart.option=4</formula>
    </cfRule>
  </conditionalFormatting>
  <conditionalFormatting sqref="E23:G23">
    <cfRule type="expression" dxfId="2" priority="3">
      <formula>chart.option=1</formula>
    </cfRule>
  </conditionalFormatting>
  <conditionalFormatting sqref="H23:J23">
    <cfRule type="expression" dxfId="1" priority="2">
      <formula>chart.option=2</formula>
    </cfRule>
  </conditionalFormatting>
  <conditionalFormatting sqref="K23:M23">
    <cfRule type="expression" dxfId="0" priority="1">
      <formula>chart.option=3</formula>
    </cfRule>
  </conditionalFormatting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69" r:id="rId3" name="Option Button 1">
              <controlPr defaultSize="0" autoFill="0" autoLine="0" autoPict="0">
                <anchor moveWithCells="1">
                  <from>
                    <xdr:col>4</xdr:col>
                    <xdr:colOff>7620</xdr:colOff>
                    <xdr:row>21</xdr:row>
                    <xdr:rowOff>160020</xdr:rowOff>
                  </from>
                  <to>
                    <xdr:col>7</xdr:col>
                    <xdr:colOff>7620</xdr:colOff>
                    <xdr:row>22</xdr:row>
                    <xdr:rowOff>464820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0" r:id="rId4" name="Option Button 2">
              <controlPr defaultSize="0" autoFill="0" autoLine="0" autoPict="0">
                <anchor moveWithCells="1">
                  <from>
                    <xdr:col>7</xdr:col>
                    <xdr:colOff>7620</xdr:colOff>
                    <xdr:row>21</xdr:row>
                    <xdr:rowOff>167640</xdr:rowOff>
                  </from>
                  <to>
                    <xdr:col>10</xdr:col>
                    <xdr:colOff>60960</xdr:colOff>
                    <xdr:row>22</xdr:row>
                    <xdr:rowOff>472440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1" r:id="rId5" name="Option Button 3">
              <controlPr defaultSize="0" autoFill="0" autoLine="0" autoPict="0">
                <anchor moveWithCells="1">
                  <from>
                    <xdr:col>10</xdr:col>
                    <xdr:colOff>30480</xdr:colOff>
                    <xdr:row>21</xdr:row>
                    <xdr:rowOff>167640</xdr:rowOff>
                  </from>
                  <to>
                    <xdr:col>13</xdr:col>
                    <xdr:colOff>83820</xdr:colOff>
                    <xdr:row>22</xdr:row>
                    <xdr:rowOff>464820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2" r:id="rId6" name="Option Button 4">
              <controlPr defaultSize="0" autoFill="0" autoLine="0" autoPict="0">
                <anchor moveWithCells="1">
                  <from>
                    <xdr:col>1</xdr:col>
                    <xdr:colOff>144780</xdr:colOff>
                    <xdr:row>22</xdr:row>
                    <xdr:rowOff>7620</xdr:rowOff>
                  </from>
                  <to>
                    <xdr:col>4</xdr:col>
                    <xdr:colOff>152400</xdr:colOff>
                    <xdr:row>23</xdr:row>
                    <xdr:rowOff>15240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381C3-6CCA-45B9-B22B-8251BE77F2AC}">
  <dimension ref="B1:AI211"/>
  <sheetViews>
    <sheetView zoomScale="73" zoomScaleNormal="65" workbookViewId="0">
      <selection activeCell="AR60" sqref="AR60"/>
    </sheetView>
  </sheetViews>
  <sheetFormatPr defaultRowHeight="14.4" x14ac:dyDescent="0.3"/>
  <cols>
    <col min="1" max="1" width="4" customWidth="1"/>
    <col min="2" max="2" width="8.44140625" customWidth="1"/>
    <col min="3" max="3" width="10.77734375" bestFit="1" customWidth="1"/>
    <col min="4" max="4" width="16" bestFit="1" customWidth="1"/>
    <col min="5" max="5" width="10.77734375" bestFit="1" customWidth="1"/>
    <col min="6" max="6" width="16" bestFit="1" customWidth="1"/>
    <col min="7" max="7" width="13.5546875" bestFit="1" customWidth="1"/>
    <col min="8" max="8" width="16" bestFit="1" customWidth="1"/>
    <col min="9" max="9" width="10.77734375" bestFit="1" customWidth="1"/>
    <col min="10" max="10" width="16" bestFit="1" customWidth="1"/>
    <col min="11" max="11" width="11.21875" bestFit="1" customWidth="1"/>
    <col min="12" max="12" width="16" bestFit="1" customWidth="1"/>
    <col min="13" max="13" width="7.44140625" bestFit="1" customWidth="1"/>
    <col min="14" max="14" width="10.33203125" customWidth="1"/>
    <col min="15" max="15" width="17.33203125" bestFit="1" customWidth="1"/>
    <col min="16" max="16" width="11.21875" bestFit="1" customWidth="1"/>
    <col min="17" max="17" width="16" bestFit="1" customWidth="1"/>
    <col min="18" max="19" width="17.33203125" bestFit="1" customWidth="1"/>
    <col min="20" max="20" width="12.21875" bestFit="1" customWidth="1"/>
    <col min="21" max="21" width="16" bestFit="1" customWidth="1"/>
    <col min="22" max="22" width="14.109375" bestFit="1" customWidth="1"/>
    <col min="23" max="23" width="16" bestFit="1" customWidth="1"/>
    <col min="24" max="24" width="14.77734375" bestFit="1" customWidth="1"/>
    <col min="25" max="25" width="16" bestFit="1" customWidth="1"/>
    <col min="26" max="26" width="13" bestFit="1" customWidth="1"/>
    <col min="27" max="27" width="10.88671875" bestFit="1" customWidth="1"/>
    <col min="29" max="29" width="10" bestFit="1" customWidth="1"/>
  </cols>
  <sheetData>
    <row r="1" spans="2:35" s="12" customFormat="1" ht="57" customHeight="1" x14ac:dyDescent="0.85">
      <c r="B1" s="13" t="s">
        <v>102</v>
      </c>
    </row>
    <row r="2" spans="2:35" x14ac:dyDescent="0.3">
      <c r="C2" t="s">
        <v>97</v>
      </c>
      <c r="E2" s="10">
        <v>3</v>
      </c>
      <c r="L2" t="s">
        <v>84</v>
      </c>
      <c r="M2">
        <f>MROUND(MAX(C11:L225),5)</f>
        <v>155</v>
      </c>
      <c r="O2" t="s">
        <v>87</v>
      </c>
      <c r="P2">
        <v>8</v>
      </c>
    </row>
    <row r="3" spans="2:35" x14ac:dyDescent="0.3">
      <c r="L3" t="s">
        <v>85</v>
      </c>
      <c r="M3">
        <v>-10</v>
      </c>
      <c r="O3" t="s">
        <v>88</v>
      </c>
      <c r="P3">
        <f>ROUNDUP(P2/2,0)</f>
        <v>4</v>
      </c>
    </row>
    <row r="4" spans="2:35" x14ac:dyDescent="0.3">
      <c r="L4" t="s">
        <v>86</v>
      </c>
      <c r="M4">
        <v>20</v>
      </c>
    </row>
    <row r="6" spans="2:35" x14ac:dyDescent="0.3">
      <c r="Z6" t="s">
        <v>92</v>
      </c>
      <c r="AA6">
        <f ca="1">MROUND(MAX(Z11:Z211),5)+30</f>
        <v>205</v>
      </c>
    </row>
    <row r="7" spans="2:35" x14ac:dyDescent="0.3">
      <c r="O7" t="s">
        <v>82</v>
      </c>
    </row>
    <row r="8" spans="2:35" x14ac:dyDescent="0.3">
      <c r="P8" t="s">
        <v>7</v>
      </c>
      <c r="Q8" t="s">
        <v>33</v>
      </c>
      <c r="R8" t="s">
        <v>7</v>
      </c>
      <c r="S8" t="s">
        <v>33</v>
      </c>
      <c r="T8" t="s">
        <v>7</v>
      </c>
      <c r="U8" t="s">
        <v>33</v>
      </c>
      <c r="V8" t="s">
        <v>7</v>
      </c>
      <c r="W8" t="s">
        <v>33</v>
      </c>
      <c r="X8" t="s">
        <v>7</v>
      </c>
      <c r="Y8" t="s">
        <v>33</v>
      </c>
    </row>
    <row r="9" spans="2:35" x14ac:dyDescent="0.3">
      <c r="C9" t="s">
        <v>7</v>
      </c>
      <c r="D9" t="s">
        <v>33</v>
      </c>
      <c r="E9" t="s">
        <v>7</v>
      </c>
      <c r="F9" t="s">
        <v>33</v>
      </c>
      <c r="G9" t="s">
        <v>7</v>
      </c>
      <c r="H9" t="s">
        <v>33</v>
      </c>
      <c r="I9" t="s">
        <v>7</v>
      </c>
      <c r="J9" t="s">
        <v>33</v>
      </c>
      <c r="K9" t="s">
        <v>7</v>
      </c>
      <c r="L9" t="s">
        <v>33</v>
      </c>
      <c r="O9">
        <v>11</v>
      </c>
      <c r="P9">
        <v>7</v>
      </c>
      <c r="Q9">
        <v>8</v>
      </c>
      <c r="R9">
        <v>5</v>
      </c>
      <c r="S9">
        <v>6</v>
      </c>
      <c r="T9">
        <v>1</v>
      </c>
      <c r="U9">
        <v>2</v>
      </c>
      <c r="V9">
        <v>3</v>
      </c>
      <c r="W9">
        <v>4</v>
      </c>
      <c r="X9">
        <v>9</v>
      </c>
      <c r="Y9">
        <v>10</v>
      </c>
    </row>
    <row r="10" spans="2:35" x14ac:dyDescent="0.3">
      <c r="B10" t="s">
        <v>83</v>
      </c>
      <c r="C10" t="s">
        <v>59</v>
      </c>
      <c r="D10" t="str">
        <f>C10</f>
        <v>Gambit</v>
      </c>
      <c r="E10" t="s">
        <v>60</v>
      </c>
      <c r="F10" t="str">
        <f>E10</f>
        <v>Magneto</v>
      </c>
      <c r="G10" t="s">
        <v>61</v>
      </c>
      <c r="H10" t="str">
        <f>G10</f>
        <v>Nightcrawler</v>
      </c>
      <c r="I10" t="s">
        <v>62</v>
      </c>
      <c r="J10" t="str">
        <f>I10</f>
        <v>Storm</v>
      </c>
      <c r="K10" t="s">
        <v>63</v>
      </c>
      <c r="L10" t="str">
        <f>K10</f>
        <v>Wolverine</v>
      </c>
      <c r="M10" t="s">
        <v>81</v>
      </c>
      <c r="O10" t="str" cm="1">
        <f t="array" ref="O10">INDEX($C$10:$M$10,O$9)</f>
        <v>Rand</v>
      </c>
      <c r="P10" t="str" cm="1">
        <f t="array" ref="P10">INDEX($C$10:$M$10,P$9)&amp;" ("&amp;LEFT(P8,1)&amp;")"</f>
        <v>Storm (C)</v>
      </c>
      <c r="Q10" t="str" cm="1">
        <f t="array" ref="Q10">INDEX($C$10:$M$10,Q$9)&amp;" ("&amp;LEFT(Q8,1)&amp;")"</f>
        <v>Storm (N)</v>
      </c>
      <c r="R10" t="str" cm="1">
        <f t="array" ref="R10">INDEX($C$10:$M$10,R$9)&amp;" ("&amp;LEFT(R8,1)&amp;")"</f>
        <v>Nightcrawler (C)</v>
      </c>
      <c r="S10" t="str" cm="1">
        <f t="array" ref="S10">INDEX($C$10:$M$10,S$9)&amp;" ("&amp;LEFT(S8,1)&amp;")"</f>
        <v>Nightcrawler (N)</v>
      </c>
      <c r="T10" t="str" cm="1">
        <f t="array" ref="T10">INDEX($C$10:$M$10,T$9)&amp;" ("&amp;LEFT(T8,1)&amp;")"</f>
        <v>Gambit (C)</v>
      </c>
      <c r="U10" t="str" cm="1">
        <f t="array" ref="U10">INDEX($C$10:$M$10,U$9)&amp;" ("&amp;LEFT(U8,1)&amp;")"</f>
        <v>Gambit (N)</v>
      </c>
      <c r="V10" t="str" cm="1">
        <f t="array" ref="V10">INDEX($C$10:$M$10,V$9)&amp;" ("&amp;LEFT(V8,1)&amp;")"</f>
        <v>Magneto (C)</v>
      </c>
      <c r="W10" t="str" cm="1">
        <f t="array" ref="W10">INDEX($C$10:$M$10,W$9)&amp;" ("&amp;LEFT(W8,1)&amp;")"</f>
        <v>Magneto (N)</v>
      </c>
      <c r="X10" t="str" cm="1">
        <f t="array" ref="X10">INDEX($C$10:$M$10,X$9)&amp;" ("&amp;LEFT(X8,1)&amp;")"</f>
        <v>Wolverine (C)</v>
      </c>
      <c r="Y10" t="str" cm="1">
        <f t="array" ref="Y10">INDEX($C$10:$M$10,Y$9)&amp;" ("&amp;LEFT(Y8,1)&amp;")"</f>
        <v>Wolverine (N)</v>
      </c>
      <c r="Z10" t="s">
        <v>89</v>
      </c>
      <c r="AA10" t="s">
        <v>90</v>
      </c>
      <c r="AB10" t="s">
        <v>91</v>
      </c>
      <c r="AC10" t="s">
        <v>93</v>
      </c>
      <c r="AE10" t="s">
        <v>91</v>
      </c>
      <c r="AI10" s="4" t="s">
        <v>98</v>
      </c>
    </row>
    <row r="11" spans="2:35" x14ac:dyDescent="0.3">
      <c r="B11">
        <v>83</v>
      </c>
      <c r="C11">
        <f>SUMIFS(INDEX(xmen[[speech]:[depicted]],,$E$2),xmen[issue],Matrix!$B11,xmen[x],Matrix!C$10,xmen[costume],C$9)</f>
        <v>0</v>
      </c>
      <c r="D11">
        <f>SUMIFS(INDEX(xmen[[speech]:[depicted]],,$E$2),xmen[issue],Matrix!$B11,xmen[x],Matrix!D$10,xmen[costume],D$9)</f>
        <v>0</v>
      </c>
      <c r="E11">
        <f>SUMIFS(INDEX(xmen[[speech]:[depicted]],,$E$2),xmen[issue],Matrix!$B11,xmen[x],Matrix!E$10,xmen[costume],E$9)</f>
        <v>0</v>
      </c>
      <c r="F11">
        <f>SUMIFS(INDEX(xmen[[speech]:[depicted]],,$E$2),xmen[issue],Matrix!$B11,xmen[x],Matrix!F$10,xmen[costume],F$9)</f>
        <v>0</v>
      </c>
      <c r="G11">
        <f>SUMIFS(INDEX(xmen[[speech]:[depicted]],,$E$2),xmen[issue],Matrix!$B11,xmen[x],Matrix!G$10,xmen[costume],G$9)</f>
        <v>0</v>
      </c>
      <c r="H11">
        <f>SUMIFS(INDEX(xmen[[speech]:[depicted]],,$E$2),xmen[issue],Matrix!$B11,xmen[x],Matrix!H$10,xmen[costume],H$9)</f>
        <v>0</v>
      </c>
      <c r="I11">
        <f>SUMIFS(INDEX(xmen[[speech]:[depicted]],,$E$2),xmen[issue],Matrix!$B11,xmen[x],Matrix!I$10,xmen[costume],I$9)</f>
        <v>0</v>
      </c>
      <c r="J11">
        <f>SUMIFS(INDEX(xmen[[speech]:[depicted]],,$E$2),xmen[issue],Matrix!$B11,xmen[x],Matrix!J$10,xmen[costume],J$9)</f>
        <v>0</v>
      </c>
      <c r="K11">
        <f>SUMIFS(INDEX(xmen[[speech]:[depicted]],,$E$2),xmen[issue],Matrix!$B11,xmen[x],Matrix!K$10,xmen[costume],K$9)</f>
        <v>0</v>
      </c>
      <c r="L11">
        <f>SUMIFS(INDEX(xmen[[speech]:[depicted]],,$E$2),xmen[issue],Matrix!$B11,xmen[x],Matrix!L$10,xmen[costume],L$9)</f>
        <v>0</v>
      </c>
      <c r="M11">
        <f ca="1">$M$2-SUM(C11:L11)/2+RANDBETWEEN($M$3,$M$4)</f>
        <v>168</v>
      </c>
      <c r="O11">
        <f ca="1">AVERAGE(OFFSET(INDEX($C11:$M11,O$9),-$P$3,,$P$2,1))</f>
        <v>162</v>
      </c>
      <c r="P11">
        <f t="shared" ref="P11:Y11" ca="1" si="0">AVERAGE(OFFSET(INDEX($C11:$M11,P$9),-$P$3,,$P$2,1))</f>
        <v>0</v>
      </c>
      <c r="Q11">
        <f t="shared" ca="1" si="0"/>
        <v>0</v>
      </c>
      <c r="R11">
        <f t="shared" ca="1" si="0"/>
        <v>0</v>
      </c>
      <c r="S11">
        <f t="shared" ca="1" si="0"/>
        <v>0</v>
      </c>
      <c r="T11">
        <f t="shared" ca="1" si="0"/>
        <v>0</v>
      </c>
      <c r="U11">
        <f t="shared" ca="1" si="0"/>
        <v>0</v>
      </c>
      <c r="V11">
        <f t="shared" ca="1" si="0"/>
        <v>0</v>
      </c>
      <c r="W11">
        <f t="shared" ca="1" si="0"/>
        <v>0</v>
      </c>
      <c r="X11">
        <f t="shared" ca="1" si="0"/>
        <v>0</v>
      </c>
      <c r="Y11">
        <f t="shared" ca="1" si="0"/>
        <v>0</v>
      </c>
      <c r="Z11">
        <f ca="1">SUM(O11:Y11)</f>
        <v>162</v>
      </c>
      <c r="AA11" t="e">
        <f>IF(COUNTIFS($AE$11:$AE$18,B11),$AA$6,NA())</f>
        <v>#N/A</v>
      </c>
      <c r="AB11" t="str">
        <f>IF(ISNA(AA11),"","Issue"&amp;CHAR(10)&amp;"#"&amp;B11)</f>
        <v/>
      </c>
      <c r="AC11">
        <f>IF(ISNA(AA11),0,Z11-O11)</f>
        <v>0</v>
      </c>
      <c r="AE11">
        <v>97</v>
      </c>
      <c r="AI11" s="3" t="s">
        <v>3</v>
      </c>
    </row>
    <row r="12" spans="2:35" x14ac:dyDescent="0.3">
      <c r="B12">
        <v>85</v>
      </c>
      <c r="C12">
        <f>SUMIFS(INDEX(xmen[[speech]:[depicted]],,$E$2),xmen[issue],Matrix!$B12,xmen[x],Matrix!C$10,xmen[costume],C$9)</f>
        <v>0</v>
      </c>
      <c r="D12">
        <f>SUMIFS(INDEX(xmen[[speech]:[depicted]],,$E$2),xmen[issue],Matrix!$B12,xmen[x],Matrix!D$10,xmen[costume],D$9)</f>
        <v>0</v>
      </c>
      <c r="E12">
        <f>SUMIFS(INDEX(xmen[[speech]:[depicted]],,$E$2),xmen[issue],Matrix!$B12,xmen[x],Matrix!E$10,xmen[costume],E$9)</f>
        <v>0</v>
      </c>
      <c r="F12">
        <f>SUMIFS(INDEX(xmen[[speech]:[depicted]],,$E$2),xmen[issue],Matrix!$B12,xmen[x],Matrix!F$10,xmen[costume],F$9)</f>
        <v>0</v>
      </c>
      <c r="G12">
        <f>SUMIFS(INDEX(xmen[[speech]:[depicted]],,$E$2),xmen[issue],Matrix!$B12,xmen[x],Matrix!G$10,xmen[costume],G$9)</f>
        <v>0</v>
      </c>
      <c r="H12">
        <f>SUMIFS(INDEX(xmen[[speech]:[depicted]],,$E$2),xmen[issue],Matrix!$B12,xmen[x],Matrix!H$10,xmen[costume],H$9)</f>
        <v>0</v>
      </c>
      <c r="I12">
        <f>SUMIFS(INDEX(xmen[[speech]:[depicted]],,$E$2),xmen[issue],Matrix!$B12,xmen[x],Matrix!I$10,xmen[costume],I$9)</f>
        <v>0</v>
      </c>
      <c r="J12">
        <f>SUMIFS(INDEX(xmen[[speech]:[depicted]],,$E$2),xmen[issue],Matrix!$B12,xmen[x],Matrix!J$10,xmen[costume],J$9)</f>
        <v>0</v>
      </c>
      <c r="K12">
        <f>SUMIFS(INDEX(xmen[[speech]:[depicted]],,$E$2),xmen[issue],Matrix!$B12,xmen[x],Matrix!K$10,xmen[costume],K$9)</f>
        <v>0</v>
      </c>
      <c r="L12">
        <f>SUMIFS(INDEX(xmen[[speech]:[depicted]],,$E$2),xmen[issue],Matrix!$B12,xmen[x],Matrix!L$10,xmen[costume],L$9)</f>
        <v>0</v>
      </c>
      <c r="M12">
        <f t="shared" ref="M12:M75" ca="1" si="1">$M$2-SUM(C12:L12)/2+RANDBETWEEN($M$3,$M$4)</f>
        <v>161</v>
      </c>
      <c r="O12">
        <f t="shared" ref="O12:O42" ca="1" si="2">AVERAGE(OFFSET(INDEX($C12:$M12,O$9),-$P$3,,$P$2,1))</f>
        <v>164</v>
      </c>
      <c r="P12">
        <f t="shared" ref="P12:Y21" ca="1" si="3">AVERAGE(OFFSET(INDEX($C12:$M12,P$9),-$P$3,,$P$2,1))</f>
        <v>0</v>
      </c>
      <c r="Q12">
        <f t="shared" ca="1" si="3"/>
        <v>0</v>
      </c>
      <c r="R12">
        <f t="shared" ca="1" si="3"/>
        <v>0</v>
      </c>
      <c r="S12">
        <f t="shared" ca="1" si="3"/>
        <v>0</v>
      </c>
      <c r="T12">
        <f t="shared" ca="1" si="3"/>
        <v>0</v>
      </c>
      <c r="U12">
        <f t="shared" ca="1" si="3"/>
        <v>0</v>
      </c>
      <c r="V12">
        <f t="shared" ca="1" si="3"/>
        <v>0</v>
      </c>
      <c r="W12">
        <f t="shared" ca="1" si="3"/>
        <v>0</v>
      </c>
      <c r="X12">
        <f t="shared" ca="1" si="3"/>
        <v>0</v>
      </c>
      <c r="Y12">
        <f t="shared" ca="1" si="3"/>
        <v>0</v>
      </c>
      <c r="Z12">
        <f t="shared" ref="Z12:Z75" ca="1" si="4">SUM(O12:Y12)</f>
        <v>164</v>
      </c>
      <c r="AA12" t="e">
        <f t="shared" ref="AA12:AA75" si="5">IF(COUNTIFS($AE$11:$AE$18,B12),$AA$6,NA())</f>
        <v>#N/A</v>
      </c>
      <c r="AB12" t="str">
        <f t="shared" ref="AB12:AB75" si="6">IF(ISNA(AA12),"","Issue"&amp;CHAR(10)&amp;"#"&amp;B12)</f>
        <v/>
      </c>
      <c r="AC12">
        <f t="shared" ref="AC12:AC75" si="7">IF(ISNA(AA12),0,Z12-O12)</f>
        <v>0</v>
      </c>
      <c r="AE12">
        <v>125</v>
      </c>
      <c r="AI12" s="3" t="s">
        <v>4</v>
      </c>
    </row>
    <row r="13" spans="2:35" x14ac:dyDescent="0.3">
      <c r="B13">
        <v>87</v>
      </c>
      <c r="C13">
        <f>SUMIFS(INDEX(xmen[[speech]:[depicted]],,$E$2),xmen[issue],Matrix!$B13,xmen[x],Matrix!C$10,xmen[costume],C$9)</f>
        <v>0</v>
      </c>
      <c r="D13">
        <f>SUMIFS(INDEX(xmen[[speech]:[depicted]],,$E$2),xmen[issue],Matrix!$B13,xmen[x],Matrix!D$10,xmen[costume],D$9)</f>
        <v>0</v>
      </c>
      <c r="E13">
        <f>SUMIFS(INDEX(xmen[[speech]:[depicted]],,$E$2),xmen[issue],Matrix!$B13,xmen[x],Matrix!E$10,xmen[costume],E$9)</f>
        <v>0</v>
      </c>
      <c r="F13">
        <f>SUMIFS(INDEX(xmen[[speech]:[depicted]],,$E$2),xmen[issue],Matrix!$B13,xmen[x],Matrix!F$10,xmen[costume],F$9)</f>
        <v>0</v>
      </c>
      <c r="G13">
        <f>SUMIFS(INDEX(xmen[[speech]:[depicted]],,$E$2),xmen[issue],Matrix!$B13,xmen[x],Matrix!G$10,xmen[costume],G$9)</f>
        <v>0</v>
      </c>
      <c r="H13">
        <f>SUMIFS(INDEX(xmen[[speech]:[depicted]],,$E$2),xmen[issue],Matrix!$B13,xmen[x],Matrix!H$10,xmen[costume],H$9)</f>
        <v>0</v>
      </c>
      <c r="I13">
        <f>SUMIFS(INDEX(xmen[[speech]:[depicted]],,$E$2),xmen[issue],Matrix!$B13,xmen[x],Matrix!I$10,xmen[costume],I$9)</f>
        <v>0</v>
      </c>
      <c r="J13">
        <f>SUMIFS(INDEX(xmen[[speech]:[depicted]],,$E$2),xmen[issue],Matrix!$B13,xmen[x],Matrix!J$10,xmen[costume],J$9)</f>
        <v>0</v>
      </c>
      <c r="K13">
        <f>SUMIFS(INDEX(xmen[[speech]:[depicted]],,$E$2),xmen[issue],Matrix!$B13,xmen[x],Matrix!K$10,xmen[costume],K$9)</f>
        <v>0</v>
      </c>
      <c r="L13">
        <f>SUMIFS(INDEX(xmen[[speech]:[depicted]],,$E$2),xmen[issue],Matrix!$B13,xmen[x],Matrix!L$10,xmen[costume],L$9)</f>
        <v>0</v>
      </c>
      <c r="M13">
        <f t="shared" ca="1" si="1"/>
        <v>173</v>
      </c>
      <c r="O13">
        <f t="shared" ca="1" si="2"/>
        <v>165.83333333333334</v>
      </c>
      <c r="P13">
        <f t="shared" ca="1" si="3"/>
        <v>0</v>
      </c>
      <c r="Q13">
        <f t="shared" ca="1" si="3"/>
        <v>0</v>
      </c>
      <c r="R13">
        <f t="shared" ca="1" si="3"/>
        <v>0</v>
      </c>
      <c r="S13">
        <f t="shared" ca="1" si="3"/>
        <v>0</v>
      </c>
      <c r="T13">
        <f t="shared" ca="1" si="3"/>
        <v>0</v>
      </c>
      <c r="U13">
        <f t="shared" ca="1" si="3"/>
        <v>0</v>
      </c>
      <c r="V13">
        <f t="shared" ca="1" si="3"/>
        <v>0</v>
      </c>
      <c r="W13">
        <f t="shared" ca="1" si="3"/>
        <v>0</v>
      </c>
      <c r="X13">
        <f t="shared" ca="1" si="3"/>
        <v>0</v>
      </c>
      <c r="Y13">
        <f t="shared" ca="1" si="3"/>
        <v>0</v>
      </c>
      <c r="Z13">
        <f t="shared" ca="1" si="4"/>
        <v>165.83333333333334</v>
      </c>
      <c r="AA13" t="e">
        <f t="shared" si="5"/>
        <v>#N/A</v>
      </c>
      <c r="AB13" t="str">
        <f t="shared" si="6"/>
        <v/>
      </c>
      <c r="AC13">
        <f t="shared" si="7"/>
        <v>0</v>
      </c>
      <c r="AE13">
        <v>150</v>
      </c>
      <c r="AI13" s="3" t="s">
        <v>5</v>
      </c>
    </row>
    <row r="14" spans="2:35" x14ac:dyDescent="0.3">
      <c r="B14">
        <v>89</v>
      </c>
      <c r="C14">
        <f>SUMIFS(INDEX(xmen[[speech]:[depicted]],,$E$2),xmen[issue],Matrix!$B14,xmen[x],Matrix!C$10,xmen[costume],C$9)</f>
        <v>0</v>
      </c>
      <c r="D14">
        <f>SUMIFS(INDEX(xmen[[speech]:[depicted]],,$E$2),xmen[issue],Matrix!$B14,xmen[x],Matrix!D$10,xmen[costume],D$9)</f>
        <v>0</v>
      </c>
      <c r="E14">
        <f>SUMIFS(INDEX(xmen[[speech]:[depicted]],,$E$2),xmen[issue],Matrix!$B14,xmen[x],Matrix!E$10,xmen[costume],E$9)</f>
        <v>0</v>
      </c>
      <c r="F14">
        <f>SUMIFS(INDEX(xmen[[speech]:[depicted]],,$E$2),xmen[issue],Matrix!$B14,xmen[x],Matrix!F$10,xmen[costume],F$9)</f>
        <v>0</v>
      </c>
      <c r="G14">
        <f>SUMIFS(INDEX(xmen[[speech]:[depicted]],,$E$2),xmen[issue],Matrix!$B14,xmen[x],Matrix!G$10,xmen[costume],G$9)</f>
        <v>0</v>
      </c>
      <c r="H14">
        <f>SUMIFS(INDEX(xmen[[speech]:[depicted]],,$E$2),xmen[issue],Matrix!$B14,xmen[x],Matrix!H$10,xmen[costume],H$9)</f>
        <v>0</v>
      </c>
      <c r="I14">
        <f>SUMIFS(INDEX(xmen[[speech]:[depicted]],,$E$2),xmen[issue],Matrix!$B14,xmen[x],Matrix!I$10,xmen[costume],I$9)</f>
        <v>0</v>
      </c>
      <c r="J14">
        <f>SUMIFS(INDEX(xmen[[speech]:[depicted]],,$E$2),xmen[issue],Matrix!$B14,xmen[x],Matrix!J$10,xmen[costume],J$9)</f>
        <v>0</v>
      </c>
      <c r="K14">
        <f>SUMIFS(INDEX(xmen[[speech]:[depicted]],,$E$2),xmen[issue],Matrix!$B14,xmen[x],Matrix!K$10,xmen[costume],K$9)</f>
        <v>0</v>
      </c>
      <c r="L14">
        <f>SUMIFS(INDEX(xmen[[speech]:[depicted]],,$E$2),xmen[issue],Matrix!$B14,xmen[x],Matrix!L$10,xmen[costume],L$9)</f>
        <v>0</v>
      </c>
      <c r="M14">
        <f t="shared" ca="1" si="1"/>
        <v>146</v>
      </c>
      <c r="O14">
        <f t="shared" ca="1" si="2"/>
        <v>163.57142857142858</v>
      </c>
      <c r="P14">
        <f t="shared" ca="1" si="3"/>
        <v>0</v>
      </c>
      <c r="Q14">
        <f t="shared" ca="1" si="3"/>
        <v>0</v>
      </c>
      <c r="R14">
        <f t="shared" ca="1" si="3"/>
        <v>0</v>
      </c>
      <c r="S14">
        <f t="shared" ca="1" si="3"/>
        <v>0</v>
      </c>
      <c r="T14">
        <f t="shared" ca="1" si="3"/>
        <v>0</v>
      </c>
      <c r="U14">
        <f t="shared" ca="1" si="3"/>
        <v>0</v>
      </c>
      <c r="V14">
        <f t="shared" ca="1" si="3"/>
        <v>0</v>
      </c>
      <c r="W14">
        <f t="shared" ca="1" si="3"/>
        <v>0</v>
      </c>
      <c r="X14">
        <f t="shared" ca="1" si="3"/>
        <v>0</v>
      </c>
      <c r="Y14">
        <f t="shared" ca="1" si="3"/>
        <v>0</v>
      </c>
      <c r="Z14">
        <f t="shared" ca="1" si="4"/>
        <v>163.57142857142858</v>
      </c>
      <c r="AA14" t="e">
        <f t="shared" si="5"/>
        <v>#N/A</v>
      </c>
      <c r="AB14" t="str">
        <f t="shared" si="6"/>
        <v/>
      </c>
      <c r="AC14">
        <f t="shared" si="7"/>
        <v>0</v>
      </c>
      <c r="AE14">
        <v>175</v>
      </c>
      <c r="AI14" s="3" t="s">
        <v>6</v>
      </c>
    </row>
    <row r="15" spans="2:35" x14ac:dyDescent="0.3">
      <c r="B15">
        <v>91</v>
      </c>
      <c r="C15">
        <f>SUMIFS(INDEX(xmen[[speech]:[depicted]],,$E$2),xmen[issue],Matrix!$B15,xmen[x],Matrix!C$10,xmen[costume],C$9)</f>
        <v>0</v>
      </c>
      <c r="D15">
        <f>SUMIFS(INDEX(xmen[[speech]:[depicted]],,$E$2),xmen[issue],Matrix!$B15,xmen[x],Matrix!D$10,xmen[costume],D$9)</f>
        <v>0</v>
      </c>
      <c r="E15">
        <f>SUMIFS(INDEX(xmen[[speech]:[depicted]],,$E$2),xmen[issue],Matrix!$B15,xmen[x],Matrix!E$10,xmen[costume],E$9)</f>
        <v>0</v>
      </c>
      <c r="F15">
        <f>SUMIFS(INDEX(xmen[[speech]:[depicted]],,$E$2),xmen[issue],Matrix!$B15,xmen[x],Matrix!F$10,xmen[costume],F$9)</f>
        <v>0</v>
      </c>
      <c r="G15">
        <f>SUMIFS(INDEX(xmen[[speech]:[depicted]],,$E$2),xmen[issue],Matrix!$B15,xmen[x],Matrix!G$10,xmen[costume],G$9)</f>
        <v>0</v>
      </c>
      <c r="H15">
        <f>SUMIFS(INDEX(xmen[[speech]:[depicted]],,$E$2),xmen[issue],Matrix!$B15,xmen[x],Matrix!H$10,xmen[costume],H$9)</f>
        <v>0</v>
      </c>
      <c r="I15">
        <f>SUMIFS(INDEX(xmen[[speech]:[depicted]],,$E$2),xmen[issue],Matrix!$B15,xmen[x],Matrix!I$10,xmen[costume],I$9)</f>
        <v>0</v>
      </c>
      <c r="J15">
        <f>SUMIFS(INDEX(xmen[[speech]:[depicted]],,$E$2),xmen[issue],Matrix!$B15,xmen[x],Matrix!J$10,xmen[costume],J$9)</f>
        <v>0</v>
      </c>
      <c r="K15">
        <f>SUMIFS(INDEX(xmen[[speech]:[depicted]],,$E$2),xmen[issue],Matrix!$B15,xmen[x],Matrix!K$10,xmen[costume],K$9)</f>
        <v>0</v>
      </c>
      <c r="L15">
        <f>SUMIFS(INDEX(xmen[[speech]:[depicted]],,$E$2),xmen[issue],Matrix!$B15,xmen[x],Matrix!L$10,xmen[costume],L$9)</f>
        <v>0</v>
      </c>
      <c r="M15">
        <f t="shared" ca="1" si="1"/>
        <v>172</v>
      </c>
      <c r="O15">
        <f t="shared" ca="1" si="2"/>
        <v>161.75</v>
      </c>
      <c r="P15">
        <f t="shared" ca="1" si="3"/>
        <v>0</v>
      </c>
      <c r="Q15">
        <f t="shared" ca="1" si="3"/>
        <v>0</v>
      </c>
      <c r="R15">
        <f t="shared" ca="1" si="3"/>
        <v>0</v>
      </c>
      <c r="S15">
        <f t="shared" ca="1" si="3"/>
        <v>0</v>
      </c>
      <c r="T15">
        <f t="shared" ca="1" si="3"/>
        <v>0</v>
      </c>
      <c r="U15">
        <f t="shared" ca="1" si="3"/>
        <v>0</v>
      </c>
      <c r="V15">
        <f t="shared" ca="1" si="3"/>
        <v>0</v>
      </c>
      <c r="W15">
        <f t="shared" ca="1" si="3"/>
        <v>0</v>
      </c>
      <c r="X15">
        <f t="shared" ca="1" si="3"/>
        <v>0</v>
      </c>
      <c r="Y15">
        <f t="shared" ca="1" si="3"/>
        <v>0</v>
      </c>
      <c r="Z15">
        <f t="shared" ca="1" si="4"/>
        <v>161.75</v>
      </c>
      <c r="AA15" t="e">
        <f t="shared" si="5"/>
        <v>#N/A</v>
      </c>
      <c r="AB15" t="str">
        <f t="shared" si="6"/>
        <v/>
      </c>
      <c r="AC15">
        <f t="shared" si="7"/>
        <v>0</v>
      </c>
      <c r="AE15">
        <v>200</v>
      </c>
    </row>
    <row r="16" spans="2:35" x14ac:dyDescent="0.3">
      <c r="B16">
        <v>93</v>
      </c>
      <c r="C16">
        <f>SUMIFS(INDEX(xmen[[speech]:[depicted]],,$E$2),xmen[issue],Matrix!$B16,xmen[x],Matrix!C$10,xmen[costume],C$9)</f>
        <v>0</v>
      </c>
      <c r="D16">
        <f>SUMIFS(INDEX(xmen[[speech]:[depicted]],,$E$2),xmen[issue],Matrix!$B16,xmen[x],Matrix!D$10,xmen[costume],D$9)</f>
        <v>0</v>
      </c>
      <c r="E16">
        <f>SUMIFS(INDEX(xmen[[speech]:[depicted]],,$E$2),xmen[issue],Matrix!$B16,xmen[x],Matrix!E$10,xmen[costume],E$9)</f>
        <v>0</v>
      </c>
      <c r="F16">
        <f>SUMIFS(INDEX(xmen[[speech]:[depicted]],,$E$2),xmen[issue],Matrix!$B16,xmen[x],Matrix!F$10,xmen[costume],F$9)</f>
        <v>0</v>
      </c>
      <c r="G16">
        <f>SUMIFS(INDEX(xmen[[speech]:[depicted]],,$E$2),xmen[issue],Matrix!$B16,xmen[x],Matrix!G$10,xmen[costume],G$9)</f>
        <v>0</v>
      </c>
      <c r="H16">
        <f>SUMIFS(INDEX(xmen[[speech]:[depicted]],,$E$2),xmen[issue],Matrix!$B16,xmen[x],Matrix!H$10,xmen[costume],H$9)</f>
        <v>0</v>
      </c>
      <c r="I16">
        <f>SUMIFS(INDEX(xmen[[speech]:[depicted]],,$E$2),xmen[issue],Matrix!$B16,xmen[x],Matrix!I$10,xmen[costume],I$9)</f>
        <v>0</v>
      </c>
      <c r="J16">
        <f>SUMIFS(INDEX(xmen[[speech]:[depicted]],,$E$2),xmen[issue],Matrix!$B16,xmen[x],Matrix!J$10,xmen[costume],J$9)</f>
        <v>0</v>
      </c>
      <c r="K16">
        <f>SUMIFS(INDEX(xmen[[speech]:[depicted]],,$E$2),xmen[issue],Matrix!$B16,xmen[x],Matrix!K$10,xmen[costume],K$9)</f>
        <v>0</v>
      </c>
      <c r="L16">
        <f>SUMIFS(INDEX(xmen[[speech]:[depicted]],,$E$2),xmen[issue],Matrix!$B16,xmen[x],Matrix!L$10,xmen[costume],L$9)</f>
        <v>0</v>
      </c>
      <c r="M16">
        <f t="shared" ca="1" si="1"/>
        <v>175</v>
      </c>
      <c r="O16">
        <f t="shared" ca="1" si="2"/>
        <v>159.375</v>
      </c>
      <c r="P16">
        <f t="shared" ca="1" si="3"/>
        <v>0</v>
      </c>
      <c r="Q16">
        <f t="shared" ca="1" si="3"/>
        <v>0</v>
      </c>
      <c r="R16">
        <f t="shared" ca="1" si="3"/>
        <v>0</v>
      </c>
      <c r="S16">
        <f t="shared" ca="1" si="3"/>
        <v>0</v>
      </c>
      <c r="T16">
        <f t="shared" ca="1" si="3"/>
        <v>0</v>
      </c>
      <c r="U16">
        <f t="shared" ca="1" si="3"/>
        <v>0</v>
      </c>
      <c r="V16">
        <f t="shared" ca="1" si="3"/>
        <v>0</v>
      </c>
      <c r="W16">
        <f t="shared" ca="1" si="3"/>
        <v>0</v>
      </c>
      <c r="X16">
        <f t="shared" ca="1" si="3"/>
        <v>0</v>
      </c>
      <c r="Y16">
        <f t="shared" ca="1" si="3"/>
        <v>0</v>
      </c>
      <c r="Z16">
        <f t="shared" ca="1" si="4"/>
        <v>159.375</v>
      </c>
      <c r="AA16" t="e">
        <f t="shared" si="5"/>
        <v>#N/A</v>
      </c>
      <c r="AB16" t="str">
        <f t="shared" si="6"/>
        <v/>
      </c>
      <c r="AC16">
        <f t="shared" si="7"/>
        <v>0</v>
      </c>
      <c r="AE16">
        <v>225</v>
      </c>
    </row>
    <row r="17" spans="2:31" x14ac:dyDescent="0.3">
      <c r="B17">
        <v>95</v>
      </c>
      <c r="C17">
        <f>SUMIFS(INDEX(xmen[[speech]:[depicted]],,$E$2),xmen[issue],Matrix!$B17,xmen[x],Matrix!C$10,xmen[costume],C$9)</f>
        <v>0</v>
      </c>
      <c r="D17">
        <f>SUMIFS(INDEX(xmen[[speech]:[depicted]],,$E$2),xmen[issue],Matrix!$B17,xmen[x],Matrix!D$10,xmen[costume],D$9)</f>
        <v>0</v>
      </c>
      <c r="E17">
        <f>SUMIFS(INDEX(xmen[[speech]:[depicted]],,$E$2),xmen[issue],Matrix!$B17,xmen[x],Matrix!E$10,xmen[costume],E$9)</f>
        <v>0</v>
      </c>
      <c r="F17">
        <f>SUMIFS(INDEX(xmen[[speech]:[depicted]],,$E$2),xmen[issue],Matrix!$B17,xmen[x],Matrix!F$10,xmen[costume],F$9)</f>
        <v>0</v>
      </c>
      <c r="G17">
        <f>SUMIFS(INDEX(xmen[[speech]:[depicted]],,$E$2),xmen[issue],Matrix!$B17,xmen[x],Matrix!G$10,xmen[costume],G$9)</f>
        <v>0</v>
      </c>
      <c r="H17">
        <f>SUMIFS(INDEX(xmen[[speech]:[depicted]],,$E$2),xmen[issue],Matrix!$B17,xmen[x],Matrix!H$10,xmen[costume],H$9)</f>
        <v>0</v>
      </c>
      <c r="I17">
        <f>SUMIFS(INDEX(xmen[[speech]:[depicted]],,$E$2),xmen[issue],Matrix!$B17,xmen[x],Matrix!I$10,xmen[costume],I$9)</f>
        <v>0</v>
      </c>
      <c r="J17">
        <f>SUMIFS(INDEX(xmen[[speech]:[depicted]],,$E$2),xmen[issue],Matrix!$B17,xmen[x],Matrix!J$10,xmen[costume],J$9)</f>
        <v>0</v>
      </c>
      <c r="K17">
        <f>SUMIFS(INDEX(xmen[[speech]:[depicted]],,$E$2),xmen[issue],Matrix!$B17,xmen[x],Matrix!K$10,xmen[costume],K$9)</f>
        <v>0</v>
      </c>
      <c r="L17">
        <f>SUMIFS(INDEX(xmen[[speech]:[depicted]],,$E$2),xmen[issue],Matrix!$B17,xmen[x],Matrix!L$10,xmen[costume],L$9)</f>
        <v>0</v>
      </c>
      <c r="M17">
        <f t="shared" ca="1" si="1"/>
        <v>150</v>
      </c>
      <c r="O17">
        <f t="shared" ca="1" si="2"/>
        <v>157.625</v>
      </c>
      <c r="P17">
        <f t="shared" ca="1" si="3"/>
        <v>0</v>
      </c>
      <c r="Q17">
        <f t="shared" ca="1" si="3"/>
        <v>0</v>
      </c>
      <c r="R17">
        <f t="shared" ca="1" si="3"/>
        <v>0</v>
      </c>
      <c r="S17">
        <f t="shared" ca="1" si="3"/>
        <v>0</v>
      </c>
      <c r="T17">
        <f t="shared" ca="1" si="3"/>
        <v>0</v>
      </c>
      <c r="U17">
        <f t="shared" ca="1" si="3"/>
        <v>0</v>
      </c>
      <c r="V17">
        <f t="shared" ca="1" si="3"/>
        <v>0</v>
      </c>
      <c r="W17">
        <f t="shared" ca="1" si="3"/>
        <v>0</v>
      </c>
      <c r="X17">
        <f t="shared" ca="1" si="3"/>
        <v>0</v>
      </c>
      <c r="Y17">
        <f t="shared" ca="1" si="3"/>
        <v>0</v>
      </c>
      <c r="Z17">
        <f t="shared" ca="1" si="4"/>
        <v>157.625</v>
      </c>
      <c r="AA17" t="e">
        <f t="shared" si="5"/>
        <v>#N/A</v>
      </c>
      <c r="AB17" t="str">
        <f t="shared" si="6"/>
        <v/>
      </c>
      <c r="AC17">
        <f t="shared" si="7"/>
        <v>0</v>
      </c>
      <c r="AE17">
        <v>250</v>
      </c>
    </row>
    <row r="18" spans="2:31" x14ac:dyDescent="0.3">
      <c r="B18" s="14">
        <v>97</v>
      </c>
      <c r="C18">
        <f>SUMIFS(INDEX(xmen[[speech]:[depicted]],,$E$2),xmen[issue],Matrix!$B18,xmen[x],Matrix!C$10,xmen[costume],C$9)</f>
        <v>0</v>
      </c>
      <c r="D18">
        <f>SUMIFS(INDEX(xmen[[speech]:[depicted]],,$E$2),xmen[issue],Matrix!$B18,xmen[x],Matrix!D$10,xmen[costume],D$9)</f>
        <v>0</v>
      </c>
      <c r="E18">
        <f>SUMIFS(INDEX(xmen[[speech]:[depicted]],,$E$2),xmen[issue],Matrix!$B18,xmen[x],Matrix!E$10,xmen[costume],E$9)</f>
        <v>0</v>
      </c>
      <c r="F18">
        <f>SUMIFS(INDEX(xmen[[speech]:[depicted]],,$E$2),xmen[issue],Matrix!$B18,xmen[x],Matrix!F$10,xmen[costume],F$9)</f>
        <v>0</v>
      </c>
      <c r="G18">
        <f>SUMIFS(INDEX(xmen[[speech]:[depicted]],,$E$2),xmen[issue],Matrix!$B18,xmen[x],Matrix!G$10,xmen[costume],G$9)</f>
        <v>0</v>
      </c>
      <c r="H18">
        <f>SUMIFS(INDEX(xmen[[speech]:[depicted]],,$E$2),xmen[issue],Matrix!$B18,xmen[x],Matrix!H$10,xmen[costume],H$9)</f>
        <v>0</v>
      </c>
      <c r="I18">
        <f>SUMIFS(INDEX(xmen[[speech]:[depicted]],,$E$2),xmen[issue],Matrix!$B18,xmen[x],Matrix!I$10,xmen[costume],I$9)</f>
        <v>0</v>
      </c>
      <c r="J18">
        <f>SUMIFS(INDEX(xmen[[speech]:[depicted]],,$E$2),xmen[issue],Matrix!$B18,xmen[x],Matrix!J$10,xmen[costume],J$9)</f>
        <v>0</v>
      </c>
      <c r="K18">
        <f>SUMIFS(INDEX(xmen[[speech]:[depicted]],,$E$2),xmen[issue],Matrix!$B18,xmen[x],Matrix!K$10,xmen[costume],K$9)</f>
        <v>0</v>
      </c>
      <c r="L18">
        <f>SUMIFS(INDEX(xmen[[speech]:[depicted]],,$E$2),xmen[issue],Matrix!$B18,xmen[x],Matrix!L$10,xmen[costume],L$9)</f>
        <v>0</v>
      </c>
      <c r="M18">
        <f t="shared" ca="1" si="1"/>
        <v>149</v>
      </c>
      <c r="O18">
        <f t="shared" ca="1" si="2"/>
        <v>154.125</v>
      </c>
      <c r="P18">
        <f t="shared" ca="1" si="3"/>
        <v>0</v>
      </c>
      <c r="Q18">
        <f t="shared" ca="1" si="3"/>
        <v>0</v>
      </c>
      <c r="R18">
        <f t="shared" ca="1" si="3"/>
        <v>0</v>
      </c>
      <c r="S18">
        <f t="shared" ca="1" si="3"/>
        <v>0</v>
      </c>
      <c r="T18">
        <f t="shared" ca="1" si="3"/>
        <v>0</v>
      </c>
      <c r="U18">
        <f t="shared" ca="1" si="3"/>
        <v>0</v>
      </c>
      <c r="V18">
        <f t="shared" ca="1" si="3"/>
        <v>0</v>
      </c>
      <c r="W18">
        <f t="shared" ca="1" si="3"/>
        <v>0</v>
      </c>
      <c r="X18">
        <f t="shared" ca="1" si="3"/>
        <v>0</v>
      </c>
      <c r="Y18">
        <f t="shared" ca="1" si="3"/>
        <v>0</v>
      </c>
      <c r="Z18">
        <f t="shared" ca="1" si="4"/>
        <v>154.125</v>
      </c>
      <c r="AA18">
        <f t="shared" ca="1" si="5"/>
        <v>205</v>
      </c>
      <c r="AB18" t="str">
        <f ca="1">IF(ISNA(AA18),"","Issue"&amp;CHAR(10)&amp;"#"&amp;B18)</f>
        <v>Issue
#97</v>
      </c>
      <c r="AC18">
        <f t="shared" ca="1" si="7"/>
        <v>0</v>
      </c>
      <c r="AE18">
        <v>280</v>
      </c>
    </row>
    <row r="19" spans="2:31" x14ac:dyDescent="0.3">
      <c r="B19">
        <v>98</v>
      </c>
      <c r="C19">
        <f>SUMIFS(INDEX(xmen[[speech]:[depicted]],,$E$2),xmen[issue],Matrix!$B19,xmen[x],Matrix!C$10,xmen[costume],C$9)</f>
        <v>0</v>
      </c>
      <c r="D19">
        <f>SUMIFS(INDEX(xmen[[speech]:[depicted]],,$E$2),xmen[issue],Matrix!$B19,xmen[x],Matrix!D$10,xmen[costume],D$9)</f>
        <v>0</v>
      </c>
      <c r="E19">
        <f>SUMIFS(INDEX(xmen[[speech]:[depicted]],,$E$2),xmen[issue],Matrix!$B19,xmen[x],Matrix!E$10,xmen[costume],E$9)</f>
        <v>0</v>
      </c>
      <c r="F19">
        <f>SUMIFS(INDEX(xmen[[speech]:[depicted]],,$E$2),xmen[issue],Matrix!$B19,xmen[x],Matrix!F$10,xmen[costume],F$9)</f>
        <v>0</v>
      </c>
      <c r="G19">
        <f>SUMIFS(INDEX(xmen[[speech]:[depicted]],,$E$2),xmen[issue],Matrix!$B19,xmen[x],Matrix!G$10,xmen[costume],G$9)</f>
        <v>0</v>
      </c>
      <c r="H19">
        <f>SUMIFS(INDEX(xmen[[speech]:[depicted]],,$E$2),xmen[issue],Matrix!$B19,xmen[x],Matrix!H$10,xmen[costume],H$9)</f>
        <v>0</v>
      </c>
      <c r="I19">
        <f>SUMIFS(INDEX(xmen[[speech]:[depicted]],,$E$2),xmen[issue],Matrix!$B19,xmen[x],Matrix!I$10,xmen[costume],I$9)</f>
        <v>0</v>
      </c>
      <c r="J19">
        <f>SUMIFS(INDEX(xmen[[speech]:[depicted]],,$E$2),xmen[issue],Matrix!$B19,xmen[x],Matrix!J$10,xmen[costume],J$9)</f>
        <v>0</v>
      </c>
      <c r="K19">
        <f>SUMIFS(INDEX(xmen[[speech]:[depicted]],,$E$2),xmen[issue],Matrix!$B19,xmen[x],Matrix!K$10,xmen[costume],K$9)</f>
        <v>0</v>
      </c>
      <c r="L19">
        <f>SUMIFS(INDEX(xmen[[speech]:[depicted]],,$E$2),xmen[issue],Matrix!$B19,xmen[x],Matrix!L$10,xmen[costume],L$9)</f>
        <v>0</v>
      </c>
      <c r="M19">
        <f t="shared" ca="1" si="1"/>
        <v>149</v>
      </c>
      <c r="O19">
        <f t="shared" ca="1" si="2"/>
        <v>156.125</v>
      </c>
      <c r="P19">
        <f t="shared" ca="1" si="3"/>
        <v>0</v>
      </c>
      <c r="Q19">
        <f t="shared" ca="1" si="3"/>
        <v>0</v>
      </c>
      <c r="R19">
        <f t="shared" ca="1" si="3"/>
        <v>0</v>
      </c>
      <c r="S19">
        <f t="shared" ca="1" si="3"/>
        <v>0</v>
      </c>
      <c r="T19">
        <f t="shared" ca="1" si="3"/>
        <v>0</v>
      </c>
      <c r="U19">
        <f t="shared" ca="1" si="3"/>
        <v>0</v>
      </c>
      <c r="V19">
        <f t="shared" ca="1" si="3"/>
        <v>0</v>
      </c>
      <c r="W19">
        <f t="shared" ca="1" si="3"/>
        <v>0</v>
      </c>
      <c r="X19">
        <f t="shared" ca="1" si="3"/>
        <v>0</v>
      </c>
      <c r="Y19">
        <f t="shared" ca="1" si="3"/>
        <v>0</v>
      </c>
      <c r="Z19">
        <f t="shared" ca="1" si="4"/>
        <v>156.125</v>
      </c>
      <c r="AA19" t="e">
        <f t="shared" si="5"/>
        <v>#N/A</v>
      </c>
      <c r="AB19" t="str">
        <f t="shared" si="6"/>
        <v/>
      </c>
      <c r="AC19">
        <f t="shared" si="7"/>
        <v>0</v>
      </c>
    </row>
    <row r="20" spans="2:31" x14ac:dyDescent="0.3">
      <c r="B20">
        <v>99</v>
      </c>
      <c r="C20">
        <f>SUMIFS(INDEX(xmen[[speech]:[depicted]],,$E$2),xmen[issue],Matrix!$B20,xmen[x],Matrix!C$10,xmen[costume],C$9)</f>
        <v>0</v>
      </c>
      <c r="D20">
        <f>SUMIFS(INDEX(xmen[[speech]:[depicted]],,$E$2),xmen[issue],Matrix!$B20,xmen[x],Matrix!D$10,xmen[costume],D$9)</f>
        <v>0</v>
      </c>
      <c r="E20">
        <f>SUMIFS(INDEX(xmen[[speech]:[depicted]],,$E$2),xmen[issue],Matrix!$B20,xmen[x],Matrix!E$10,xmen[costume],E$9)</f>
        <v>0</v>
      </c>
      <c r="F20">
        <f>SUMIFS(INDEX(xmen[[speech]:[depicted]],,$E$2),xmen[issue],Matrix!$B20,xmen[x],Matrix!F$10,xmen[costume],F$9)</f>
        <v>0</v>
      </c>
      <c r="G20">
        <f>SUMIFS(INDEX(xmen[[speech]:[depicted]],,$E$2),xmen[issue],Matrix!$B20,xmen[x],Matrix!G$10,xmen[costume],G$9)</f>
        <v>0</v>
      </c>
      <c r="H20">
        <f>SUMIFS(INDEX(xmen[[speech]:[depicted]],,$E$2),xmen[issue],Matrix!$B20,xmen[x],Matrix!H$10,xmen[costume],H$9)</f>
        <v>0</v>
      </c>
      <c r="I20">
        <f>SUMIFS(INDEX(xmen[[speech]:[depicted]],,$E$2),xmen[issue],Matrix!$B20,xmen[x],Matrix!I$10,xmen[costume],I$9)</f>
        <v>0</v>
      </c>
      <c r="J20">
        <f>SUMIFS(INDEX(xmen[[speech]:[depicted]],,$E$2),xmen[issue],Matrix!$B20,xmen[x],Matrix!J$10,xmen[costume],J$9)</f>
        <v>0</v>
      </c>
      <c r="K20">
        <f>SUMIFS(INDEX(xmen[[speech]:[depicted]],,$E$2),xmen[issue],Matrix!$B20,xmen[x],Matrix!K$10,xmen[costume],K$9)</f>
        <v>0</v>
      </c>
      <c r="L20">
        <f>SUMIFS(INDEX(xmen[[speech]:[depicted]],,$E$2),xmen[issue],Matrix!$B20,xmen[x],Matrix!L$10,xmen[costume],L$9)</f>
        <v>0</v>
      </c>
      <c r="M20">
        <f t="shared" ca="1" si="1"/>
        <v>147</v>
      </c>
      <c r="O20">
        <f t="shared" ca="1" si="2"/>
        <v>155</v>
      </c>
      <c r="P20">
        <f t="shared" ca="1" si="3"/>
        <v>0</v>
      </c>
      <c r="Q20">
        <f t="shared" ca="1" si="3"/>
        <v>0</v>
      </c>
      <c r="R20">
        <f t="shared" ca="1" si="3"/>
        <v>0</v>
      </c>
      <c r="S20">
        <f t="shared" ca="1" si="3"/>
        <v>0</v>
      </c>
      <c r="T20">
        <f t="shared" ca="1" si="3"/>
        <v>0</v>
      </c>
      <c r="U20">
        <f t="shared" ca="1" si="3"/>
        <v>0</v>
      </c>
      <c r="V20">
        <f t="shared" ca="1" si="3"/>
        <v>0</v>
      </c>
      <c r="W20">
        <f t="shared" ca="1" si="3"/>
        <v>0</v>
      </c>
      <c r="X20">
        <f t="shared" ca="1" si="3"/>
        <v>0</v>
      </c>
      <c r="Y20">
        <f t="shared" ca="1" si="3"/>
        <v>0</v>
      </c>
      <c r="Z20">
        <f t="shared" ca="1" si="4"/>
        <v>155</v>
      </c>
      <c r="AA20" t="e">
        <f t="shared" si="5"/>
        <v>#N/A</v>
      </c>
      <c r="AB20" t="str">
        <f t="shared" si="6"/>
        <v/>
      </c>
      <c r="AC20">
        <f t="shared" si="7"/>
        <v>0</v>
      </c>
      <c r="AE20" s="4" t="s">
        <v>98</v>
      </c>
    </row>
    <row r="21" spans="2:31" x14ac:dyDescent="0.3">
      <c r="B21">
        <v>100</v>
      </c>
      <c r="C21">
        <f>SUMIFS(INDEX(xmen[[speech]:[depicted]],,$E$2),xmen[issue],Matrix!$B21,xmen[x],Matrix!C$10,xmen[costume],C$9)</f>
        <v>0</v>
      </c>
      <c r="D21">
        <f>SUMIFS(INDEX(xmen[[speech]:[depicted]],,$E$2),xmen[issue],Matrix!$B21,xmen[x],Matrix!D$10,xmen[costume],D$9)</f>
        <v>0</v>
      </c>
      <c r="E21">
        <f>SUMIFS(INDEX(xmen[[speech]:[depicted]],,$E$2),xmen[issue],Matrix!$B21,xmen[x],Matrix!E$10,xmen[costume],E$9)</f>
        <v>0</v>
      </c>
      <c r="F21">
        <f>SUMIFS(INDEX(xmen[[speech]:[depicted]],,$E$2),xmen[issue],Matrix!$B21,xmen[x],Matrix!F$10,xmen[costume],F$9)</f>
        <v>0</v>
      </c>
      <c r="G21">
        <f>SUMIFS(INDEX(xmen[[speech]:[depicted]],,$E$2),xmen[issue],Matrix!$B21,xmen[x],Matrix!G$10,xmen[costume],G$9)</f>
        <v>0</v>
      </c>
      <c r="H21">
        <f>SUMIFS(INDEX(xmen[[speech]:[depicted]],,$E$2),xmen[issue],Matrix!$B21,xmen[x],Matrix!H$10,xmen[costume],H$9)</f>
        <v>0</v>
      </c>
      <c r="I21">
        <f>SUMIFS(INDEX(xmen[[speech]:[depicted]],,$E$2),xmen[issue],Matrix!$B21,xmen[x],Matrix!I$10,xmen[costume],I$9)</f>
        <v>0</v>
      </c>
      <c r="J21">
        <f>SUMIFS(INDEX(xmen[[speech]:[depicted]],,$E$2),xmen[issue],Matrix!$B21,xmen[x],Matrix!J$10,xmen[costume],J$9)</f>
        <v>0</v>
      </c>
      <c r="K21">
        <f>SUMIFS(INDEX(xmen[[speech]:[depicted]],,$E$2),xmen[issue],Matrix!$B21,xmen[x],Matrix!K$10,xmen[costume],K$9)</f>
        <v>0</v>
      </c>
      <c r="L21">
        <f>SUMIFS(INDEX(xmen[[speech]:[depicted]],,$E$2),xmen[issue],Matrix!$B21,xmen[x],Matrix!L$10,xmen[costume],L$9)</f>
        <v>0</v>
      </c>
      <c r="M21">
        <f t="shared" ca="1" si="1"/>
        <v>145</v>
      </c>
      <c r="O21">
        <f t="shared" ca="1" si="2"/>
        <v>152.875</v>
      </c>
      <c r="P21">
        <f t="shared" ca="1" si="3"/>
        <v>0</v>
      </c>
      <c r="Q21">
        <f t="shared" ca="1" si="3"/>
        <v>0</v>
      </c>
      <c r="R21">
        <f t="shared" ca="1" si="3"/>
        <v>0</v>
      </c>
      <c r="S21">
        <f t="shared" ca="1" si="3"/>
        <v>0</v>
      </c>
      <c r="T21">
        <f t="shared" ca="1" si="3"/>
        <v>0</v>
      </c>
      <c r="U21">
        <f t="shared" ca="1" si="3"/>
        <v>0</v>
      </c>
      <c r="V21">
        <f t="shared" ca="1" si="3"/>
        <v>0</v>
      </c>
      <c r="W21">
        <f t="shared" ca="1" si="3"/>
        <v>0</v>
      </c>
      <c r="X21">
        <f t="shared" ca="1" si="3"/>
        <v>0</v>
      </c>
      <c r="Y21">
        <f t="shared" ca="1" si="3"/>
        <v>0</v>
      </c>
      <c r="Z21">
        <f t="shared" ca="1" si="4"/>
        <v>152.875</v>
      </c>
      <c r="AA21" t="e">
        <f t="shared" si="5"/>
        <v>#N/A</v>
      </c>
      <c r="AB21" t="str">
        <f t="shared" si="6"/>
        <v/>
      </c>
      <c r="AC21">
        <f t="shared" si="7"/>
        <v>0</v>
      </c>
      <c r="AE21" s="3" t="s">
        <v>3</v>
      </c>
    </row>
    <row r="22" spans="2:31" x14ac:dyDescent="0.3">
      <c r="B22">
        <v>101</v>
      </c>
      <c r="C22">
        <f>SUMIFS(INDEX(xmen[[speech]:[depicted]],,$E$2),xmen[issue],Matrix!$B22,xmen[x],Matrix!C$10,xmen[costume],C$9)</f>
        <v>0</v>
      </c>
      <c r="D22">
        <f>SUMIFS(INDEX(xmen[[speech]:[depicted]],,$E$2),xmen[issue],Matrix!$B22,xmen[x],Matrix!D$10,xmen[costume],D$9)</f>
        <v>0</v>
      </c>
      <c r="E22">
        <f>SUMIFS(INDEX(xmen[[speech]:[depicted]],,$E$2),xmen[issue],Matrix!$B22,xmen[x],Matrix!E$10,xmen[costume],E$9)</f>
        <v>0</v>
      </c>
      <c r="F22">
        <f>SUMIFS(INDEX(xmen[[speech]:[depicted]],,$E$2),xmen[issue],Matrix!$B22,xmen[x],Matrix!F$10,xmen[costume],F$9)</f>
        <v>0</v>
      </c>
      <c r="G22">
        <f>SUMIFS(INDEX(xmen[[speech]:[depicted]],,$E$2),xmen[issue],Matrix!$B22,xmen[x],Matrix!G$10,xmen[costume],G$9)</f>
        <v>0</v>
      </c>
      <c r="H22">
        <f>SUMIFS(INDEX(xmen[[speech]:[depicted]],,$E$2),xmen[issue],Matrix!$B22,xmen[x],Matrix!H$10,xmen[costume],H$9)</f>
        <v>0</v>
      </c>
      <c r="I22">
        <f>SUMIFS(INDEX(xmen[[speech]:[depicted]],,$E$2),xmen[issue],Matrix!$B22,xmen[x],Matrix!I$10,xmen[costume],I$9)</f>
        <v>0</v>
      </c>
      <c r="J22">
        <f>SUMIFS(INDEX(xmen[[speech]:[depicted]],,$E$2),xmen[issue],Matrix!$B22,xmen[x],Matrix!J$10,xmen[costume],J$9)</f>
        <v>0</v>
      </c>
      <c r="K22">
        <f>SUMIFS(INDEX(xmen[[speech]:[depicted]],,$E$2),xmen[issue],Matrix!$B22,xmen[x],Matrix!K$10,xmen[costume],K$9)</f>
        <v>0</v>
      </c>
      <c r="L22">
        <f>SUMIFS(INDEX(xmen[[speech]:[depicted]],,$E$2),xmen[issue],Matrix!$B22,xmen[x],Matrix!L$10,xmen[costume],L$9)</f>
        <v>0</v>
      </c>
      <c r="M22">
        <f t="shared" ca="1" si="1"/>
        <v>162</v>
      </c>
      <c r="O22">
        <f t="shared" ca="1" si="2"/>
        <v>152.75</v>
      </c>
      <c r="P22">
        <f t="shared" ref="P22:Y30" ca="1" si="8">AVERAGE(OFFSET(INDEX($C22:$M22,P$9),-$P$3,,$P$2,1))</f>
        <v>0</v>
      </c>
      <c r="Q22">
        <f t="shared" ca="1" si="8"/>
        <v>0</v>
      </c>
      <c r="R22">
        <f t="shared" ca="1" si="8"/>
        <v>0</v>
      </c>
      <c r="S22">
        <f t="shared" ca="1" si="8"/>
        <v>0</v>
      </c>
      <c r="T22">
        <f t="shared" ca="1" si="8"/>
        <v>0</v>
      </c>
      <c r="U22">
        <f t="shared" ca="1" si="8"/>
        <v>0</v>
      </c>
      <c r="V22">
        <f t="shared" ca="1" si="8"/>
        <v>0</v>
      </c>
      <c r="W22">
        <f t="shared" ca="1" si="8"/>
        <v>0</v>
      </c>
      <c r="X22">
        <f t="shared" ca="1" si="8"/>
        <v>0</v>
      </c>
      <c r="Y22">
        <f t="shared" ca="1" si="8"/>
        <v>0</v>
      </c>
      <c r="Z22">
        <f t="shared" ca="1" si="4"/>
        <v>152.75</v>
      </c>
      <c r="AA22" t="e">
        <f t="shared" si="5"/>
        <v>#N/A</v>
      </c>
      <c r="AB22" t="str">
        <f t="shared" si="6"/>
        <v/>
      </c>
      <c r="AC22">
        <f t="shared" si="7"/>
        <v>0</v>
      </c>
      <c r="AE22" s="3" t="s">
        <v>4</v>
      </c>
    </row>
    <row r="23" spans="2:31" x14ac:dyDescent="0.3">
      <c r="B23">
        <v>102</v>
      </c>
      <c r="C23">
        <f>SUMIFS(INDEX(xmen[[speech]:[depicted]],,$E$2),xmen[issue],Matrix!$B23,xmen[x],Matrix!C$10,xmen[costume],C$9)</f>
        <v>0</v>
      </c>
      <c r="D23">
        <f>SUMIFS(INDEX(xmen[[speech]:[depicted]],,$E$2),xmen[issue],Matrix!$B23,xmen[x],Matrix!D$10,xmen[costume],D$9)</f>
        <v>0</v>
      </c>
      <c r="E23">
        <f>SUMIFS(INDEX(xmen[[speech]:[depicted]],,$E$2),xmen[issue],Matrix!$B23,xmen[x],Matrix!E$10,xmen[costume],E$9)</f>
        <v>0</v>
      </c>
      <c r="F23">
        <f>SUMIFS(INDEX(xmen[[speech]:[depicted]],,$E$2),xmen[issue],Matrix!$B23,xmen[x],Matrix!F$10,xmen[costume],F$9)</f>
        <v>0</v>
      </c>
      <c r="G23">
        <f>SUMIFS(INDEX(xmen[[speech]:[depicted]],,$E$2),xmen[issue],Matrix!$B23,xmen[x],Matrix!G$10,xmen[costume],G$9)</f>
        <v>0</v>
      </c>
      <c r="H23">
        <f>SUMIFS(INDEX(xmen[[speech]:[depicted]],,$E$2),xmen[issue],Matrix!$B23,xmen[x],Matrix!H$10,xmen[costume],H$9)</f>
        <v>0</v>
      </c>
      <c r="I23">
        <f>SUMIFS(INDEX(xmen[[speech]:[depicted]],,$E$2),xmen[issue],Matrix!$B23,xmen[x],Matrix!I$10,xmen[costume],I$9)</f>
        <v>0</v>
      </c>
      <c r="J23">
        <f>SUMIFS(INDEX(xmen[[speech]:[depicted]],,$E$2),xmen[issue],Matrix!$B23,xmen[x],Matrix!J$10,xmen[costume],J$9)</f>
        <v>0</v>
      </c>
      <c r="K23">
        <f>SUMIFS(INDEX(xmen[[speech]:[depicted]],,$E$2),xmen[issue],Matrix!$B23,xmen[x],Matrix!K$10,xmen[costume],K$9)</f>
        <v>0</v>
      </c>
      <c r="L23">
        <f>SUMIFS(INDEX(xmen[[speech]:[depicted]],,$E$2),xmen[issue],Matrix!$B23,xmen[x],Matrix!L$10,xmen[costume],L$9)</f>
        <v>0</v>
      </c>
      <c r="M23">
        <f t="shared" ca="1" si="1"/>
        <v>163</v>
      </c>
      <c r="O23">
        <f t="shared" ca="1" si="2"/>
        <v>152.375</v>
      </c>
      <c r="P23">
        <f t="shared" ca="1" si="8"/>
        <v>0</v>
      </c>
      <c r="Q23">
        <f t="shared" ca="1" si="8"/>
        <v>0</v>
      </c>
      <c r="R23">
        <f t="shared" ca="1" si="8"/>
        <v>0</v>
      </c>
      <c r="S23">
        <f t="shared" ca="1" si="8"/>
        <v>0</v>
      </c>
      <c r="T23">
        <f t="shared" ca="1" si="8"/>
        <v>0</v>
      </c>
      <c r="U23">
        <f t="shared" ca="1" si="8"/>
        <v>0</v>
      </c>
      <c r="V23">
        <f t="shared" ca="1" si="8"/>
        <v>0</v>
      </c>
      <c r="W23">
        <f t="shared" ca="1" si="8"/>
        <v>0</v>
      </c>
      <c r="X23">
        <f t="shared" ca="1" si="8"/>
        <v>0</v>
      </c>
      <c r="Y23">
        <f t="shared" ca="1" si="8"/>
        <v>0</v>
      </c>
      <c r="Z23">
        <f t="shared" ca="1" si="4"/>
        <v>152.375</v>
      </c>
      <c r="AA23" t="e">
        <f t="shared" si="5"/>
        <v>#N/A</v>
      </c>
      <c r="AB23" t="str">
        <f t="shared" si="6"/>
        <v/>
      </c>
      <c r="AC23">
        <f t="shared" si="7"/>
        <v>0</v>
      </c>
      <c r="AE23" s="3" t="s">
        <v>5</v>
      </c>
    </row>
    <row r="24" spans="2:31" x14ac:dyDescent="0.3">
      <c r="B24">
        <v>103</v>
      </c>
      <c r="C24">
        <f>SUMIFS(INDEX(xmen[[speech]:[depicted]],,$E$2),xmen[issue],Matrix!$B24,xmen[x],Matrix!C$10,xmen[costume],C$9)</f>
        <v>0</v>
      </c>
      <c r="D24">
        <f>SUMIFS(INDEX(xmen[[speech]:[depicted]],,$E$2),xmen[issue],Matrix!$B24,xmen[x],Matrix!D$10,xmen[costume],D$9)</f>
        <v>0</v>
      </c>
      <c r="E24">
        <f>SUMIFS(INDEX(xmen[[speech]:[depicted]],,$E$2),xmen[issue],Matrix!$B24,xmen[x],Matrix!E$10,xmen[costume],E$9)</f>
        <v>0</v>
      </c>
      <c r="F24">
        <f>SUMIFS(INDEX(xmen[[speech]:[depicted]],,$E$2),xmen[issue],Matrix!$B24,xmen[x],Matrix!F$10,xmen[costume],F$9)</f>
        <v>0</v>
      </c>
      <c r="G24">
        <f>SUMIFS(INDEX(xmen[[speech]:[depicted]],,$E$2),xmen[issue],Matrix!$B24,xmen[x],Matrix!G$10,xmen[costume],G$9)</f>
        <v>0</v>
      </c>
      <c r="H24">
        <f>SUMIFS(INDEX(xmen[[speech]:[depicted]],,$E$2),xmen[issue],Matrix!$B24,xmen[x],Matrix!H$10,xmen[costume],H$9)</f>
        <v>0</v>
      </c>
      <c r="I24">
        <f>SUMIFS(INDEX(xmen[[speech]:[depicted]],,$E$2),xmen[issue],Matrix!$B24,xmen[x],Matrix!I$10,xmen[costume],I$9)</f>
        <v>0</v>
      </c>
      <c r="J24">
        <f>SUMIFS(INDEX(xmen[[speech]:[depicted]],,$E$2),xmen[issue],Matrix!$B24,xmen[x],Matrix!J$10,xmen[costume],J$9)</f>
        <v>0</v>
      </c>
      <c r="K24">
        <f>SUMIFS(INDEX(xmen[[speech]:[depicted]],,$E$2),xmen[issue],Matrix!$B24,xmen[x],Matrix!K$10,xmen[costume],K$9)</f>
        <v>0</v>
      </c>
      <c r="L24">
        <f>SUMIFS(INDEX(xmen[[speech]:[depicted]],,$E$2),xmen[issue],Matrix!$B24,xmen[x],Matrix!L$10,xmen[costume],L$9)</f>
        <v>0</v>
      </c>
      <c r="M24">
        <f t="shared" ca="1" si="1"/>
        <v>158</v>
      </c>
      <c r="O24">
        <f t="shared" ca="1" si="2"/>
        <v>152.25</v>
      </c>
      <c r="P24">
        <f t="shared" ca="1" si="8"/>
        <v>0</v>
      </c>
      <c r="Q24">
        <f t="shared" ca="1" si="8"/>
        <v>0</v>
      </c>
      <c r="R24">
        <f t="shared" ca="1" si="8"/>
        <v>0</v>
      </c>
      <c r="S24">
        <f t="shared" ca="1" si="8"/>
        <v>0</v>
      </c>
      <c r="T24">
        <f t="shared" ca="1" si="8"/>
        <v>0</v>
      </c>
      <c r="U24">
        <f t="shared" ca="1" si="8"/>
        <v>0</v>
      </c>
      <c r="V24">
        <f t="shared" ca="1" si="8"/>
        <v>0</v>
      </c>
      <c r="W24">
        <f t="shared" ca="1" si="8"/>
        <v>0</v>
      </c>
      <c r="X24">
        <f t="shared" ca="1" si="8"/>
        <v>0</v>
      </c>
      <c r="Y24">
        <f t="shared" ca="1" si="8"/>
        <v>0</v>
      </c>
      <c r="Z24">
        <f t="shared" ca="1" si="4"/>
        <v>152.25</v>
      </c>
      <c r="AA24" t="e">
        <f t="shared" si="5"/>
        <v>#N/A</v>
      </c>
      <c r="AB24" t="str">
        <f t="shared" si="6"/>
        <v/>
      </c>
      <c r="AC24">
        <f t="shared" si="7"/>
        <v>0</v>
      </c>
      <c r="AE24" s="3" t="s">
        <v>6</v>
      </c>
    </row>
    <row r="25" spans="2:31" x14ac:dyDescent="0.3">
      <c r="B25">
        <v>104</v>
      </c>
      <c r="C25">
        <f>SUMIFS(INDEX(xmen[[speech]:[depicted]],,$E$2),xmen[issue],Matrix!$B25,xmen[x],Matrix!C$10,xmen[costume],C$9)</f>
        <v>0</v>
      </c>
      <c r="D25">
        <f>SUMIFS(INDEX(xmen[[speech]:[depicted]],,$E$2),xmen[issue],Matrix!$B25,xmen[x],Matrix!D$10,xmen[costume],D$9)</f>
        <v>0</v>
      </c>
      <c r="E25">
        <f>SUMIFS(INDEX(xmen[[speech]:[depicted]],,$E$2),xmen[issue],Matrix!$B25,xmen[x],Matrix!E$10,xmen[costume],E$9)</f>
        <v>0</v>
      </c>
      <c r="F25">
        <f>SUMIFS(INDEX(xmen[[speech]:[depicted]],,$E$2),xmen[issue],Matrix!$B25,xmen[x],Matrix!F$10,xmen[costume],F$9)</f>
        <v>0</v>
      </c>
      <c r="G25">
        <f>SUMIFS(INDEX(xmen[[speech]:[depicted]],,$E$2),xmen[issue],Matrix!$B25,xmen[x],Matrix!G$10,xmen[costume],G$9)</f>
        <v>0</v>
      </c>
      <c r="H25">
        <f>SUMIFS(INDEX(xmen[[speech]:[depicted]],,$E$2),xmen[issue],Matrix!$B25,xmen[x],Matrix!H$10,xmen[costume],H$9)</f>
        <v>0</v>
      </c>
      <c r="I25">
        <f>SUMIFS(INDEX(xmen[[speech]:[depicted]],,$E$2),xmen[issue],Matrix!$B25,xmen[x],Matrix!I$10,xmen[costume],I$9)</f>
        <v>0</v>
      </c>
      <c r="J25">
        <f>SUMIFS(INDEX(xmen[[speech]:[depicted]],,$E$2),xmen[issue],Matrix!$B25,xmen[x],Matrix!J$10,xmen[costume],J$9)</f>
        <v>0</v>
      </c>
      <c r="K25">
        <f>SUMIFS(INDEX(xmen[[speech]:[depicted]],,$E$2),xmen[issue],Matrix!$B25,xmen[x],Matrix!K$10,xmen[costume],K$9)</f>
        <v>0</v>
      </c>
      <c r="L25">
        <f>SUMIFS(INDEX(xmen[[speech]:[depicted]],,$E$2),xmen[issue],Matrix!$B25,xmen[x],Matrix!L$10,xmen[costume],L$9)</f>
        <v>0</v>
      </c>
      <c r="M25">
        <f t="shared" ca="1" si="1"/>
        <v>149</v>
      </c>
      <c r="O25">
        <f t="shared" ca="1" si="2"/>
        <v>153.125</v>
      </c>
      <c r="P25">
        <f t="shared" ca="1" si="8"/>
        <v>0</v>
      </c>
      <c r="Q25">
        <f t="shared" ca="1" si="8"/>
        <v>0</v>
      </c>
      <c r="R25">
        <f t="shared" ca="1" si="8"/>
        <v>0</v>
      </c>
      <c r="S25">
        <f t="shared" ca="1" si="8"/>
        <v>0</v>
      </c>
      <c r="T25">
        <f t="shared" ca="1" si="8"/>
        <v>0</v>
      </c>
      <c r="U25">
        <f t="shared" ca="1" si="8"/>
        <v>0</v>
      </c>
      <c r="V25">
        <f t="shared" ca="1" si="8"/>
        <v>0</v>
      </c>
      <c r="W25">
        <f t="shared" ca="1" si="8"/>
        <v>0</v>
      </c>
      <c r="X25">
        <f t="shared" ca="1" si="8"/>
        <v>0</v>
      </c>
      <c r="Y25">
        <f t="shared" ca="1" si="8"/>
        <v>0</v>
      </c>
      <c r="Z25">
        <f t="shared" ca="1" si="4"/>
        <v>153.125</v>
      </c>
      <c r="AA25" t="e">
        <f t="shared" si="5"/>
        <v>#N/A</v>
      </c>
      <c r="AB25" t="str">
        <f t="shared" si="6"/>
        <v/>
      </c>
      <c r="AC25">
        <f t="shared" si="7"/>
        <v>0</v>
      </c>
    </row>
    <row r="26" spans="2:31" x14ac:dyDescent="0.3">
      <c r="B26">
        <v>105</v>
      </c>
      <c r="C26">
        <f>SUMIFS(INDEX(xmen[[speech]:[depicted]],,$E$2),xmen[issue],Matrix!$B26,xmen[x],Matrix!C$10,xmen[costume],C$9)</f>
        <v>0</v>
      </c>
      <c r="D26">
        <f>SUMIFS(INDEX(xmen[[speech]:[depicted]],,$E$2),xmen[issue],Matrix!$B26,xmen[x],Matrix!D$10,xmen[costume],D$9)</f>
        <v>0</v>
      </c>
      <c r="E26">
        <f>SUMIFS(INDEX(xmen[[speech]:[depicted]],,$E$2),xmen[issue],Matrix!$B26,xmen[x],Matrix!E$10,xmen[costume],E$9)</f>
        <v>0</v>
      </c>
      <c r="F26">
        <f>SUMIFS(INDEX(xmen[[speech]:[depicted]],,$E$2),xmen[issue],Matrix!$B26,xmen[x],Matrix!F$10,xmen[costume],F$9)</f>
        <v>0</v>
      </c>
      <c r="G26">
        <f>SUMIFS(INDEX(xmen[[speech]:[depicted]],,$E$2),xmen[issue],Matrix!$B26,xmen[x],Matrix!G$10,xmen[costume],G$9)</f>
        <v>0</v>
      </c>
      <c r="H26">
        <f>SUMIFS(INDEX(xmen[[speech]:[depicted]],,$E$2),xmen[issue],Matrix!$B26,xmen[x],Matrix!H$10,xmen[costume],H$9)</f>
        <v>0</v>
      </c>
      <c r="I26">
        <f>SUMIFS(INDEX(xmen[[speech]:[depicted]],,$E$2),xmen[issue],Matrix!$B26,xmen[x],Matrix!I$10,xmen[costume],I$9)</f>
        <v>0</v>
      </c>
      <c r="J26">
        <f>SUMIFS(INDEX(xmen[[speech]:[depicted]],,$E$2),xmen[issue],Matrix!$B26,xmen[x],Matrix!J$10,xmen[costume],J$9)</f>
        <v>0</v>
      </c>
      <c r="K26">
        <f>SUMIFS(INDEX(xmen[[speech]:[depicted]],,$E$2),xmen[issue],Matrix!$B26,xmen[x],Matrix!K$10,xmen[costume],K$9)</f>
        <v>0</v>
      </c>
      <c r="L26">
        <f>SUMIFS(INDEX(xmen[[speech]:[depicted]],,$E$2),xmen[issue],Matrix!$B26,xmen[x],Matrix!L$10,xmen[costume],L$9)</f>
        <v>0</v>
      </c>
      <c r="M26">
        <f t="shared" ca="1" si="1"/>
        <v>146</v>
      </c>
      <c r="O26">
        <f t="shared" ca="1" si="2"/>
        <v>156.875</v>
      </c>
      <c r="P26">
        <f t="shared" ca="1" si="8"/>
        <v>0</v>
      </c>
      <c r="Q26">
        <f t="shared" ca="1" si="8"/>
        <v>0</v>
      </c>
      <c r="R26">
        <f t="shared" ca="1" si="8"/>
        <v>0</v>
      </c>
      <c r="S26">
        <f t="shared" ca="1" si="8"/>
        <v>0</v>
      </c>
      <c r="T26">
        <f t="shared" ca="1" si="8"/>
        <v>0</v>
      </c>
      <c r="U26">
        <f t="shared" ca="1" si="8"/>
        <v>0</v>
      </c>
      <c r="V26">
        <f t="shared" ca="1" si="8"/>
        <v>0</v>
      </c>
      <c r="W26">
        <f t="shared" ca="1" si="8"/>
        <v>0</v>
      </c>
      <c r="X26">
        <f t="shared" ca="1" si="8"/>
        <v>0</v>
      </c>
      <c r="Y26">
        <f t="shared" ca="1" si="8"/>
        <v>0</v>
      </c>
      <c r="Z26">
        <f t="shared" ca="1" si="4"/>
        <v>156.875</v>
      </c>
      <c r="AA26" t="e">
        <f t="shared" si="5"/>
        <v>#N/A</v>
      </c>
      <c r="AB26" t="str">
        <f t="shared" si="6"/>
        <v/>
      </c>
      <c r="AC26">
        <f t="shared" si="7"/>
        <v>0</v>
      </c>
    </row>
    <row r="27" spans="2:31" x14ac:dyDescent="0.3">
      <c r="B27">
        <v>106</v>
      </c>
      <c r="C27">
        <f>SUMIFS(INDEX(xmen[[speech]:[depicted]],,$E$2),xmen[issue],Matrix!$B27,xmen[x],Matrix!C$10,xmen[costume],C$9)</f>
        <v>0</v>
      </c>
      <c r="D27">
        <f>SUMIFS(INDEX(xmen[[speech]:[depicted]],,$E$2),xmen[issue],Matrix!$B27,xmen[x],Matrix!D$10,xmen[costume],D$9)</f>
        <v>0</v>
      </c>
      <c r="E27">
        <f>SUMIFS(INDEX(xmen[[speech]:[depicted]],,$E$2),xmen[issue],Matrix!$B27,xmen[x],Matrix!E$10,xmen[costume],E$9)</f>
        <v>0</v>
      </c>
      <c r="F27">
        <f>SUMIFS(INDEX(xmen[[speech]:[depicted]],,$E$2),xmen[issue],Matrix!$B27,xmen[x],Matrix!F$10,xmen[costume],F$9)</f>
        <v>0</v>
      </c>
      <c r="G27">
        <f>SUMIFS(INDEX(xmen[[speech]:[depicted]],,$E$2),xmen[issue],Matrix!$B27,xmen[x],Matrix!G$10,xmen[costume],G$9)</f>
        <v>0</v>
      </c>
      <c r="H27">
        <f>SUMIFS(INDEX(xmen[[speech]:[depicted]],,$E$2),xmen[issue],Matrix!$B27,xmen[x],Matrix!H$10,xmen[costume],H$9)</f>
        <v>0</v>
      </c>
      <c r="I27">
        <f>SUMIFS(INDEX(xmen[[speech]:[depicted]],,$E$2),xmen[issue],Matrix!$B27,xmen[x],Matrix!I$10,xmen[costume],I$9)</f>
        <v>0</v>
      </c>
      <c r="J27">
        <f>SUMIFS(INDEX(xmen[[speech]:[depicted]],,$E$2),xmen[issue],Matrix!$B27,xmen[x],Matrix!J$10,xmen[costume],J$9)</f>
        <v>0</v>
      </c>
      <c r="K27">
        <f>SUMIFS(INDEX(xmen[[speech]:[depicted]],,$E$2),xmen[issue],Matrix!$B27,xmen[x],Matrix!K$10,xmen[costume],K$9)</f>
        <v>0</v>
      </c>
      <c r="L27">
        <f>SUMIFS(INDEX(xmen[[speech]:[depicted]],,$E$2),xmen[issue],Matrix!$B27,xmen[x],Matrix!L$10,xmen[costume],L$9)</f>
        <v>0</v>
      </c>
      <c r="M27">
        <f t="shared" ca="1" si="1"/>
        <v>148</v>
      </c>
      <c r="O27">
        <f t="shared" ca="1" si="2"/>
        <v>155.875</v>
      </c>
      <c r="P27">
        <f t="shared" ca="1" si="8"/>
        <v>0</v>
      </c>
      <c r="Q27">
        <f t="shared" ca="1" si="8"/>
        <v>0</v>
      </c>
      <c r="R27">
        <f t="shared" ca="1" si="8"/>
        <v>0</v>
      </c>
      <c r="S27">
        <f t="shared" ca="1" si="8"/>
        <v>0</v>
      </c>
      <c r="T27">
        <f t="shared" ca="1" si="8"/>
        <v>0</v>
      </c>
      <c r="U27">
        <f t="shared" ca="1" si="8"/>
        <v>0</v>
      </c>
      <c r="V27">
        <f t="shared" ca="1" si="8"/>
        <v>0</v>
      </c>
      <c r="W27">
        <f t="shared" ca="1" si="8"/>
        <v>0</v>
      </c>
      <c r="X27">
        <f t="shared" ca="1" si="8"/>
        <v>0</v>
      </c>
      <c r="Y27">
        <f t="shared" ca="1" si="8"/>
        <v>0</v>
      </c>
      <c r="Z27">
        <f t="shared" ca="1" si="4"/>
        <v>155.875</v>
      </c>
      <c r="AA27" t="e">
        <f t="shared" si="5"/>
        <v>#N/A</v>
      </c>
      <c r="AB27" t="str">
        <f t="shared" si="6"/>
        <v/>
      </c>
      <c r="AC27">
        <f t="shared" si="7"/>
        <v>0</v>
      </c>
    </row>
    <row r="28" spans="2:31" x14ac:dyDescent="0.3">
      <c r="B28">
        <v>107</v>
      </c>
      <c r="C28">
        <f>SUMIFS(INDEX(xmen[[speech]:[depicted]],,$E$2),xmen[issue],Matrix!$B28,xmen[x],Matrix!C$10,xmen[costume],C$9)</f>
        <v>0</v>
      </c>
      <c r="D28">
        <f>SUMIFS(INDEX(xmen[[speech]:[depicted]],,$E$2),xmen[issue],Matrix!$B28,xmen[x],Matrix!D$10,xmen[costume],D$9)</f>
        <v>0</v>
      </c>
      <c r="E28">
        <f>SUMIFS(INDEX(xmen[[speech]:[depicted]],,$E$2),xmen[issue],Matrix!$B28,xmen[x],Matrix!E$10,xmen[costume],E$9)</f>
        <v>0</v>
      </c>
      <c r="F28">
        <f>SUMIFS(INDEX(xmen[[speech]:[depicted]],,$E$2),xmen[issue],Matrix!$B28,xmen[x],Matrix!F$10,xmen[costume],F$9)</f>
        <v>0</v>
      </c>
      <c r="G28">
        <f>SUMIFS(INDEX(xmen[[speech]:[depicted]],,$E$2),xmen[issue],Matrix!$B28,xmen[x],Matrix!G$10,xmen[costume],G$9)</f>
        <v>0</v>
      </c>
      <c r="H28">
        <f>SUMIFS(INDEX(xmen[[speech]:[depicted]],,$E$2),xmen[issue],Matrix!$B28,xmen[x],Matrix!H$10,xmen[costume],H$9)</f>
        <v>0</v>
      </c>
      <c r="I28">
        <f>SUMIFS(INDEX(xmen[[speech]:[depicted]],,$E$2),xmen[issue],Matrix!$B28,xmen[x],Matrix!I$10,xmen[costume],I$9)</f>
        <v>0</v>
      </c>
      <c r="J28">
        <f>SUMIFS(INDEX(xmen[[speech]:[depicted]],,$E$2),xmen[issue],Matrix!$B28,xmen[x],Matrix!J$10,xmen[costume],J$9)</f>
        <v>0</v>
      </c>
      <c r="K28">
        <f>SUMIFS(INDEX(xmen[[speech]:[depicted]],,$E$2),xmen[issue],Matrix!$B28,xmen[x],Matrix!K$10,xmen[costume],K$9)</f>
        <v>0</v>
      </c>
      <c r="L28">
        <f>SUMIFS(INDEX(xmen[[speech]:[depicted]],,$E$2),xmen[issue],Matrix!$B28,xmen[x],Matrix!L$10,xmen[costume],L$9)</f>
        <v>0</v>
      </c>
      <c r="M28">
        <f t="shared" ca="1" si="1"/>
        <v>154</v>
      </c>
      <c r="O28">
        <f t="shared" ca="1" si="2"/>
        <v>156</v>
      </c>
      <c r="P28">
        <f t="shared" ca="1" si="8"/>
        <v>0</v>
      </c>
      <c r="Q28">
        <f t="shared" ca="1" si="8"/>
        <v>0</v>
      </c>
      <c r="R28">
        <f t="shared" ca="1" si="8"/>
        <v>0</v>
      </c>
      <c r="S28">
        <f t="shared" ca="1" si="8"/>
        <v>0</v>
      </c>
      <c r="T28">
        <f t="shared" ca="1" si="8"/>
        <v>0</v>
      </c>
      <c r="U28">
        <f t="shared" ca="1" si="8"/>
        <v>0</v>
      </c>
      <c r="V28">
        <f t="shared" ca="1" si="8"/>
        <v>0</v>
      </c>
      <c r="W28">
        <f t="shared" ca="1" si="8"/>
        <v>0</v>
      </c>
      <c r="X28">
        <f t="shared" ca="1" si="8"/>
        <v>0</v>
      </c>
      <c r="Y28">
        <f t="shared" ca="1" si="8"/>
        <v>0</v>
      </c>
      <c r="Z28">
        <f t="shared" ca="1" si="4"/>
        <v>156</v>
      </c>
      <c r="AA28" t="e">
        <f t="shared" si="5"/>
        <v>#N/A</v>
      </c>
      <c r="AB28" t="str">
        <f t="shared" si="6"/>
        <v/>
      </c>
      <c r="AC28">
        <f t="shared" si="7"/>
        <v>0</v>
      </c>
    </row>
    <row r="29" spans="2:31" x14ac:dyDescent="0.3">
      <c r="B29">
        <v>108</v>
      </c>
      <c r="C29">
        <f>SUMIFS(INDEX(xmen[[speech]:[depicted]],,$E$2),xmen[issue],Matrix!$B29,xmen[x],Matrix!C$10,xmen[costume],C$9)</f>
        <v>0</v>
      </c>
      <c r="D29">
        <f>SUMIFS(INDEX(xmen[[speech]:[depicted]],,$E$2),xmen[issue],Matrix!$B29,xmen[x],Matrix!D$10,xmen[costume],D$9)</f>
        <v>0</v>
      </c>
      <c r="E29">
        <f>SUMIFS(INDEX(xmen[[speech]:[depicted]],,$E$2),xmen[issue],Matrix!$B29,xmen[x],Matrix!E$10,xmen[costume],E$9)</f>
        <v>0</v>
      </c>
      <c r="F29">
        <f>SUMIFS(INDEX(xmen[[speech]:[depicted]],,$E$2),xmen[issue],Matrix!$B29,xmen[x],Matrix!F$10,xmen[costume],F$9)</f>
        <v>0</v>
      </c>
      <c r="G29">
        <f>SUMIFS(INDEX(xmen[[speech]:[depicted]],,$E$2),xmen[issue],Matrix!$B29,xmen[x],Matrix!G$10,xmen[costume],G$9)</f>
        <v>0</v>
      </c>
      <c r="H29">
        <f>SUMIFS(INDEX(xmen[[speech]:[depicted]],,$E$2),xmen[issue],Matrix!$B29,xmen[x],Matrix!H$10,xmen[costume],H$9)</f>
        <v>0</v>
      </c>
      <c r="I29">
        <f>SUMIFS(INDEX(xmen[[speech]:[depicted]],,$E$2),xmen[issue],Matrix!$B29,xmen[x],Matrix!I$10,xmen[costume],I$9)</f>
        <v>0</v>
      </c>
      <c r="J29">
        <f>SUMIFS(INDEX(xmen[[speech]:[depicted]],,$E$2),xmen[issue],Matrix!$B29,xmen[x],Matrix!J$10,xmen[costume],J$9)</f>
        <v>0</v>
      </c>
      <c r="K29">
        <f>SUMIFS(INDEX(xmen[[speech]:[depicted]],,$E$2),xmen[issue],Matrix!$B29,xmen[x],Matrix!K$10,xmen[costume],K$9)</f>
        <v>0</v>
      </c>
      <c r="L29">
        <f>SUMIFS(INDEX(xmen[[speech]:[depicted]],,$E$2),xmen[issue],Matrix!$B29,xmen[x],Matrix!L$10,xmen[costume],L$9)</f>
        <v>0</v>
      </c>
      <c r="M29">
        <f t="shared" ca="1" si="1"/>
        <v>175</v>
      </c>
      <c r="O29">
        <f t="shared" ca="1" si="2"/>
        <v>156.25</v>
      </c>
      <c r="P29">
        <f t="shared" ca="1" si="8"/>
        <v>0</v>
      </c>
      <c r="Q29">
        <f t="shared" ca="1" si="8"/>
        <v>0</v>
      </c>
      <c r="R29">
        <f t="shared" ca="1" si="8"/>
        <v>0</v>
      </c>
      <c r="S29">
        <f t="shared" ca="1" si="8"/>
        <v>0</v>
      </c>
      <c r="T29">
        <f t="shared" ca="1" si="8"/>
        <v>0</v>
      </c>
      <c r="U29">
        <f t="shared" ca="1" si="8"/>
        <v>0</v>
      </c>
      <c r="V29">
        <f t="shared" ca="1" si="8"/>
        <v>0</v>
      </c>
      <c r="W29">
        <f t="shared" ca="1" si="8"/>
        <v>0</v>
      </c>
      <c r="X29">
        <f t="shared" ca="1" si="8"/>
        <v>0</v>
      </c>
      <c r="Y29">
        <f t="shared" ca="1" si="8"/>
        <v>0</v>
      </c>
      <c r="Z29">
        <f t="shared" ca="1" si="4"/>
        <v>156.25</v>
      </c>
      <c r="AA29" t="e">
        <f t="shared" si="5"/>
        <v>#N/A</v>
      </c>
      <c r="AB29" t="str">
        <f t="shared" si="6"/>
        <v/>
      </c>
      <c r="AC29">
        <f t="shared" si="7"/>
        <v>0</v>
      </c>
    </row>
    <row r="30" spans="2:31" x14ac:dyDescent="0.3">
      <c r="B30">
        <v>109</v>
      </c>
      <c r="C30">
        <f>SUMIFS(INDEX(xmen[[speech]:[depicted]],,$E$2),xmen[issue],Matrix!$B30,xmen[x],Matrix!C$10,xmen[costume],C$9)</f>
        <v>0</v>
      </c>
      <c r="D30">
        <f>SUMIFS(INDEX(xmen[[speech]:[depicted]],,$E$2),xmen[issue],Matrix!$B30,xmen[x],Matrix!D$10,xmen[costume],D$9)</f>
        <v>0</v>
      </c>
      <c r="E30">
        <f>SUMIFS(INDEX(xmen[[speech]:[depicted]],,$E$2),xmen[issue],Matrix!$B30,xmen[x],Matrix!E$10,xmen[costume],E$9)</f>
        <v>0</v>
      </c>
      <c r="F30">
        <f>SUMIFS(INDEX(xmen[[speech]:[depicted]],,$E$2),xmen[issue],Matrix!$B30,xmen[x],Matrix!F$10,xmen[costume],F$9)</f>
        <v>0</v>
      </c>
      <c r="G30">
        <f>SUMIFS(INDEX(xmen[[speech]:[depicted]],,$E$2),xmen[issue],Matrix!$B30,xmen[x],Matrix!G$10,xmen[costume],G$9)</f>
        <v>0</v>
      </c>
      <c r="H30">
        <f>SUMIFS(INDEX(xmen[[speech]:[depicted]],,$E$2),xmen[issue],Matrix!$B30,xmen[x],Matrix!H$10,xmen[costume],H$9)</f>
        <v>0</v>
      </c>
      <c r="I30">
        <f>SUMIFS(INDEX(xmen[[speech]:[depicted]],,$E$2),xmen[issue],Matrix!$B30,xmen[x],Matrix!I$10,xmen[costume],I$9)</f>
        <v>0</v>
      </c>
      <c r="J30">
        <f>SUMIFS(INDEX(xmen[[speech]:[depicted]],,$E$2),xmen[issue],Matrix!$B30,xmen[x],Matrix!J$10,xmen[costume],J$9)</f>
        <v>0</v>
      </c>
      <c r="K30">
        <f>SUMIFS(INDEX(xmen[[speech]:[depicted]],,$E$2),xmen[issue],Matrix!$B30,xmen[x],Matrix!K$10,xmen[costume],K$9)</f>
        <v>0</v>
      </c>
      <c r="L30">
        <f>SUMIFS(INDEX(xmen[[speech]:[depicted]],,$E$2),xmen[issue],Matrix!$B30,xmen[x],Matrix!L$10,xmen[costume],L$9)</f>
        <v>0</v>
      </c>
      <c r="M30">
        <f t="shared" ca="1" si="1"/>
        <v>154</v>
      </c>
      <c r="O30">
        <f t="shared" ca="1" si="2"/>
        <v>157.875</v>
      </c>
      <c r="P30">
        <f t="shared" ca="1" si="8"/>
        <v>0</v>
      </c>
      <c r="Q30">
        <f t="shared" ca="1" si="8"/>
        <v>0</v>
      </c>
      <c r="R30">
        <f t="shared" ca="1" si="8"/>
        <v>0</v>
      </c>
      <c r="S30">
        <f t="shared" ca="1" si="8"/>
        <v>0</v>
      </c>
      <c r="T30">
        <f t="shared" ca="1" si="8"/>
        <v>0</v>
      </c>
      <c r="U30">
        <f t="shared" ca="1" si="8"/>
        <v>0</v>
      </c>
      <c r="V30">
        <f t="shared" ca="1" si="8"/>
        <v>0</v>
      </c>
      <c r="W30">
        <f t="shared" ca="1" si="8"/>
        <v>0</v>
      </c>
      <c r="X30">
        <f t="shared" ca="1" si="8"/>
        <v>0</v>
      </c>
      <c r="Y30">
        <f t="shared" ca="1" si="8"/>
        <v>0</v>
      </c>
      <c r="Z30">
        <f t="shared" ca="1" si="4"/>
        <v>157.875</v>
      </c>
      <c r="AA30" t="e">
        <f t="shared" si="5"/>
        <v>#N/A</v>
      </c>
      <c r="AB30" t="str">
        <f t="shared" si="6"/>
        <v/>
      </c>
      <c r="AC30">
        <f t="shared" si="7"/>
        <v>0</v>
      </c>
    </row>
    <row r="31" spans="2:31" x14ac:dyDescent="0.3">
      <c r="B31">
        <v>110</v>
      </c>
      <c r="C31">
        <f>SUMIFS(INDEX(xmen[[speech]:[depicted]],,$E$2),xmen[issue],Matrix!$B31,xmen[x],Matrix!C$10,xmen[costume],C$9)</f>
        <v>0</v>
      </c>
      <c r="D31">
        <f>SUMIFS(INDEX(xmen[[speech]:[depicted]],,$E$2),xmen[issue],Matrix!$B31,xmen[x],Matrix!D$10,xmen[costume],D$9)</f>
        <v>0</v>
      </c>
      <c r="E31">
        <f>SUMIFS(INDEX(xmen[[speech]:[depicted]],,$E$2),xmen[issue],Matrix!$B31,xmen[x],Matrix!E$10,xmen[costume],E$9)</f>
        <v>0</v>
      </c>
      <c r="F31">
        <f>SUMIFS(INDEX(xmen[[speech]:[depicted]],,$E$2),xmen[issue],Matrix!$B31,xmen[x],Matrix!F$10,xmen[costume],F$9)</f>
        <v>0</v>
      </c>
      <c r="G31">
        <f>SUMIFS(INDEX(xmen[[speech]:[depicted]],,$E$2),xmen[issue],Matrix!$B31,xmen[x],Matrix!G$10,xmen[costume],G$9)</f>
        <v>0</v>
      </c>
      <c r="H31">
        <f>SUMIFS(INDEX(xmen[[speech]:[depicted]],,$E$2),xmen[issue],Matrix!$B31,xmen[x],Matrix!H$10,xmen[costume],H$9)</f>
        <v>0</v>
      </c>
      <c r="I31">
        <f>SUMIFS(INDEX(xmen[[speech]:[depicted]],,$E$2),xmen[issue],Matrix!$B31,xmen[x],Matrix!I$10,xmen[costume],I$9)</f>
        <v>0</v>
      </c>
      <c r="J31">
        <f>SUMIFS(INDEX(xmen[[speech]:[depicted]],,$E$2),xmen[issue],Matrix!$B31,xmen[x],Matrix!J$10,xmen[costume],J$9)</f>
        <v>0</v>
      </c>
      <c r="K31">
        <f>SUMIFS(INDEX(xmen[[speech]:[depicted]],,$E$2),xmen[issue],Matrix!$B31,xmen[x],Matrix!K$10,xmen[costume],K$9)</f>
        <v>0</v>
      </c>
      <c r="L31">
        <f>SUMIFS(INDEX(xmen[[speech]:[depicted]],,$E$2),xmen[issue],Matrix!$B31,xmen[x],Matrix!L$10,xmen[costume],L$9)</f>
        <v>0</v>
      </c>
      <c r="M31">
        <f t="shared" ca="1" si="1"/>
        <v>164</v>
      </c>
      <c r="O31">
        <f t="shared" ca="1" si="2"/>
        <v>161.25</v>
      </c>
      <c r="P31">
        <f ca="1">AVERAGE(OFFSET(INDEX($C31:$M31,P$9),-$P$3,,$P$2,1))</f>
        <v>0</v>
      </c>
      <c r="Q31">
        <f t="shared" ref="P31:Y46" ca="1" si="9">AVERAGE(OFFSET(INDEX($C31:$M31,Q$9),-$P$3,,$P$2,1))</f>
        <v>0</v>
      </c>
      <c r="R31">
        <f t="shared" ca="1" si="9"/>
        <v>0</v>
      </c>
      <c r="S31">
        <f t="shared" ca="1" si="9"/>
        <v>0</v>
      </c>
      <c r="T31">
        <f t="shared" ca="1" si="9"/>
        <v>0</v>
      </c>
      <c r="U31">
        <f t="shared" ca="1" si="9"/>
        <v>0</v>
      </c>
      <c r="V31">
        <f t="shared" ca="1" si="9"/>
        <v>0</v>
      </c>
      <c r="W31">
        <f t="shared" ca="1" si="9"/>
        <v>0</v>
      </c>
      <c r="X31">
        <f t="shared" ca="1" si="9"/>
        <v>0</v>
      </c>
      <c r="Y31">
        <f t="shared" ca="1" si="9"/>
        <v>0</v>
      </c>
      <c r="Z31">
        <f t="shared" ca="1" si="4"/>
        <v>161.25</v>
      </c>
      <c r="AA31" t="e">
        <f t="shared" si="5"/>
        <v>#N/A</v>
      </c>
      <c r="AB31" t="str">
        <f t="shared" si="6"/>
        <v/>
      </c>
      <c r="AC31">
        <f t="shared" si="7"/>
        <v>0</v>
      </c>
    </row>
    <row r="32" spans="2:31" x14ac:dyDescent="0.3">
      <c r="B32">
        <v>111</v>
      </c>
      <c r="C32">
        <f>SUMIFS(INDEX(xmen[[speech]:[depicted]],,$E$2),xmen[issue],Matrix!$B32,xmen[x],Matrix!C$10,xmen[costume],C$9)</f>
        <v>0</v>
      </c>
      <c r="D32">
        <f>SUMIFS(INDEX(xmen[[speech]:[depicted]],,$E$2),xmen[issue],Matrix!$B32,xmen[x],Matrix!D$10,xmen[costume],D$9)</f>
        <v>0</v>
      </c>
      <c r="E32">
        <f>SUMIFS(INDEX(xmen[[speech]:[depicted]],,$E$2),xmen[issue],Matrix!$B32,xmen[x],Matrix!E$10,xmen[costume],E$9)</f>
        <v>0</v>
      </c>
      <c r="F32">
        <f>SUMIFS(INDEX(xmen[[speech]:[depicted]],,$E$2),xmen[issue],Matrix!$B32,xmen[x],Matrix!F$10,xmen[costume],F$9)</f>
        <v>0</v>
      </c>
      <c r="G32">
        <f>SUMIFS(INDEX(xmen[[speech]:[depicted]],,$E$2),xmen[issue],Matrix!$B32,xmen[x],Matrix!G$10,xmen[costume],G$9)</f>
        <v>0</v>
      </c>
      <c r="H32">
        <f>SUMIFS(INDEX(xmen[[speech]:[depicted]],,$E$2),xmen[issue],Matrix!$B32,xmen[x],Matrix!H$10,xmen[costume],H$9)</f>
        <v>0</v>
      </c>
      <c r="I32">
        <f>SUMIFS(INDEX(xmen[[speech]:[depicted]],,$E$2),xmen[issue],Matrix!$B32,xmen[x],Matrix!I$10,xmen[costume],I$9)</f>
        <v>0</v>
      </c>
      <c r="J32">
        <f>SUMIFS(INDEX(xmen[[speech]:[depicted]],,$E$2),xmen[issue],Matrix!$B32,xmen[x],Matrix!J$10,xmen[costume],J$9)</f>
        <v>0</v>
      </c>
      <c r="K32">
        <f>SUMIFS(INDEX(xmen[[speech]:[depicted]],,$E$2),xmen[issue],Matrix!$B32,xmen[x],Matrix!K$10,xmen[costume],K$9)</f>
        <v>0</v>
      </c>
      <c r="L32">
        <f>SUMIFS(INDEX(xmen[[speech]:[depicted]],,$E$2),xmen[issue],Matrix!$B32,xmen[x],Matrix!L$10,xmen[costume],L$9)</f>
        <v>0</v>
      </c>
      <c r="M32">
        <f t="shared" ca="1" si="1"/>
        <v>160</v>
      </c>
      <c r="O32">
        <f t="shared" ca="1" si="2"/>
        <v>161.75</v>
      </c>
      <c r="P32">
        <f t="shared" ca="1" si="9"/>
        <v>0</v>
      </c>
      <c r="Q32">
        <f t="shared" ca="1" si="9"/>
        <v>0</v>
      </c>
      <c r="R32">
        <f t="shared" ca="1" si="9"/>
        <v>0</v>
      </c>
      <c r="S32">
        <f t="shared" ca="1" si="9"/>
        <v>0</v>
      </c>
      <c r="T32">
        <f t="shared" ca="1" si="9"/>
        <v>0</v>
      </c>
      <c r="U32">
        <f t="shared" ca="1" si="9"/>
        <v>0</v>
      </c>
      <c r="V32">
        <f t="shared" ca="1" si="9"/>
        <v>0</v>
      </c>
      <c r="W32">
        <f t="shared" ca="1" si="9"/>
        <v>0</v>
      </c>
      <c r="X32">
        <f t="shared" ca="1" si="9"/>
        <v>0</v>
      </c>
      <c r="Y32">
        <f t="shared" ca="1" si="9"/>
        <v>0</v>
      </c>
      <c r="Z32">
        <f t="shared" ca="1" si="4"/>
        <v>161.75</v>
      </c>
      <c r="AA32" t="e">
        <f t="shared" si="5"/>
        <v>#N/A</v>
      </c>
      <c r="AB32" t="str">
        <f t="shared" si="6"/>
        <v/>
      </c>
      <c r="AC32">
        <f t="shared" si="7"/>
        <v>0</v>
      </c>
    </row>
    <row r="33" spans="2:29" x14ac:dyDescent="0.3">
      <c r="B33">
        <v>112</v>
      </c>
      <c r="C33">
        <f>SUMIFS(INDEX(xmen[[speech]:[depicted]],,$E$2),xmen[issue],Matrix!$B33,xmen[x],Matrix!C$10,xmen[costume],C$9)</f>
        <v>0</v>
      </c>
      <c r="D33">
        <f>SUMIFS(INDEX(xmen[[speech]:[depicted]],,$E$2),xmen[issue],Matrix!$B33,xmen[x],Matrix!D$10,xmen[costume],D$9)</f>
        <v>0</v>
      </c>
      <c r="E33">
        <f>SUMIFS(INDEX(xmen[[speech]:[depicted]],,$E$2),xmen[issue],Matrix!$B33,xmen[x],Matrix!E$10,xmen[costume],E$9)</f>
        <v>0</v>
      </c>
      <c r="F33">
        <f>SUMIFS(INDEX(xmen[[speech]:[depicted]],,$E$2),xmen[issue],Matrix!$B33,xmen[x],Matrix!F$10,xmen[costume],F$9)</f>
        <v>0</v>
      </c>
      <c r="G33">
        <f>SUMIFS(INDEX(xmen[[speech]:[depicted]],,$E$2),xmen[issue],Matrix!$B33,xmen[x],Matrix!G$10,xmen[costume],G$9)</f>
        <v>0</v>
      </c>
      <c r="H33">
        <f>SUMIFS(INDEX(xmen[[speech]:[depicted]],,$E$2),xmen[issue],Matrix!$B33,xmen[x],Matrix!H$10,xmen[costume],H$9)</f>
        <v>0</v>
      </c>
      <c r="I33">
        <f>SUMIFS(INDEX(xmen[[speech]:[depicted]],,$E$2),xmen[issue],Matrix!$B33,xmen[x],Matrix!I$10,xmen[costume],I$9)</f>
        <v>0</v>
      </c>
      <c r="J33">
        <f>SUMIFS(INDEX(xmen[[speech]:[depicted]],,$E$2),xmen[issue],Matrix!$B33,xmen[x],Matrix!J$10,xmen[costume],J$9)</f>
        <v>0</v>
      </c>
      <c r="K33">
        <f>SUMIFS(INDEX(xmen[[speech]:[depicted]],,$E$2),xmen[issue],Matrix!$B33,xmen[x],Matrix!K$10,xmen[costume],K$9)</f>
        <v>0</v>
      </c>
      <c r="L33">
        <f>SUMIFS(INDEX(xmen[[speech]:[depicted]],,$E$2),xmen[issue],Matrix!$B33,xmen[x],Matrix!L$10,xmen[costume],L$9)</f>
        <v>0</v>
      </c>
      <c r="M33">
        <f t="shared" ca="1" si="1"/>
        <v>162</v>
      </c>
      <c r="O33">
        <f t="shared" ca="1" si="2"/>
        <v>164</v>
      </c>
      <c r="P33">
        <f t="shared" ca="1" si="9"/>
        <v>0</v>
      </c>
      <c r="Q33">
        <f t="shared" ca="1" si="9"/>
        <v>0</v>
      </c>
      <c r="R33">
        <f t="shared" ca="1" si="9"/>
        <v>0</v>
      </c>
      <c r="S33">
        <f t="shared" ca="1" si="9"/>
        <v>0</v>
      </c>
      <c r="T33">
        <f t="shared" ca="1" si="9"/>
        <v>0</v>
      </c>
      <c r="U33">
        <f t="shared" ca="1" si="9"/>
        <v>0</v>
      </c>
      <c r="V33">
        <f t="shared" ca="1" si="9"/>
        <v>0</v>
      </c>
      <c r="W33">
        <f t="shared" ca="1" si="9"/>
        <v>0</v>
      </c>
      <c r="X33">
        <f t="shared" ca="1" si="9"/>
        <v>0</v>
      </c>
      <c r="Y33">
        <f t="shared" ca="1" si="9"/>
        <v>0</v>
      </c>
      <c r="Z33">
        <f t="shared" ca="1" si="4"/>
        <v>164</v>
      </c>
      <c r="AA33" t="e">
        <f t="shared" si="5"/>
        <v>#N/A</v>
      </c>
      <c r="AB33" t="str">
        <f t="shared" si="6"/>
        <v/>
      </c>
      <c r="AC33">
        <f t="shared" si="7"/>
        <v>0</v>
      </c>
    </row>
    <row r="34" spans="2:29" x14ac:dyDescent="0.3">
      <c r="B34">
        <v>113</v>
      </c>
      <c r="C34">
        <f>SUMIFS(INDEX(xmen[[speech]:[depicted]],,$E$2),xmen[issue],Matrix!$B34,xmen[x],Matrix!C$10,xmen[costume],C$9)</f>
        <v>0</v>
      </c>
      <c r="D34">
        <f>SUMIFS(INDEX(xmen[[speech]:[depicted]],,$E$2),xmen[issue],Matrix!$B34,xmen[x],Matrix!D$10,xmen[costume],D$9)</f>
        <v>0</v>
      </c>
      <c r="E34">
        <f>SUMIFS(INDEX(xmen[[speech]:[depicted]],,$E$2),xmen[issue],Matrix!$B34,xmen[x],Matrix!E$10,xmen[costume],E$9)</f>
        <v>0</v>
      </c>
      <c r="F34">
        <f>SUMIFS(INDEX(xmen[[speech]:[depicted]],,$E$2),xmen[issue],Matrix!$B34,xmen[x],Matrix!F$10,xmen[costume],F$9)</f>
        <v>0</v>
      </c>
      <c r="G34">
        <f>SUMIFS(INDEX(xmen[[speech]:[depicted]],,$E$2),xmen[issue],Matrix!$B34,xmen[x],Matrix!G$10,xmen[costume],G$9)</f>
        <v>0</v>
      </c>
      <c r="H34">
        <f>SUMIFS(INDEX(xmen[[speech]:[depicted]],,$E$2),xmen[issue],Matrix!$B34,xmen[x],Matrix!H$10,xmen[costume],H$9)</f>
        <v>0</v>
      </c>
      <c r="I34">
        <f>SUMIFS(INDEX(xmen[[speech]:[depicted]],,$E$2),xmen[issue],Matrix!$B34,xmen[x],Matrix!I$10,xmen[costume],I$9)</f>
        <v>0</v>
      </c>
      <c r="J34">
        <f>SUMIFS(INDEX(xmen[[speech]:[depicted]],,$E$2),xmen[issue],Matrix!$B34,xmen[x],Matrix!J$10,xmen[costume],J$9)</f>
        <v>0</v>
      </c>
      <c r="K34">
        <f>SUMIFS(INDEX(xmen[[speech]:[depicted]],,$E$2),xmen[issue],Matrix!$B34,xmen[x],Matrix!K$10,xmen[costume],K$9)</f>
        <v>0</v>
      </c>
      <c r="L34">
        <f>SUMIFS(INDEX(xmen[[speech]:[depicted]],,$E$2),xmen[issue],Matrix!$B34,xmen[x],Matrix!L$10,xmen[costume],L$9)</f>
        <v>0</v>
      </c>
      <c r="M34">
        <f t="shared" ca="1" si="1"/>
        <v>173</v>
      </c>
      <c r="O34">
        <f t="shared" ca="1" si="2"/>
        <v>161.375</v>
      </c>
      <c r="P34">
        <f t="shared" ca="1" si="9"/>
        <v>0</v>
      </c>
      <c r="Q34">
        <f t="shared" ca="1" si="9"/>
        <v>0</v>
      </c>
      <c r="R34">
        <f t="shared" ca="1" si="9"/>
        <v>0</v>
      </c>
      <c r="S34">
        <f t="shared" ca="1" si="9"/>
        <v>0</v>
      </c>
      <c r="T34">
        <f t="shared" ca="1" si="9"/>
        <v>0</v>
      </c>
      <c r="U34">
        <f t="shared" ca="1" si="9"/>
        <v>0</v>
      </c>
      <c r="V34">
        <f t="shared" ca="1" si="9"/>
        <v>0</v>
      </c>
      <c r="W34">
        <f t="shared" ca="1" si="9"/>
        <v>0</v>
      </c>
      <c r="X34">
        <f t="shared" ca="1" si="9"/>
        <v>0</v>
      </c>
      <c r="Y34">
        <f t="shared" ca="1" si="9"/>
        <v>0</v>
      </c>
      <c r="Z34">
        <f t="shared" ca="1" si="4"/>
        <v>161.375</v>
      </c>
      <c r="AA34" t="e">
        <f t="shared" si="5"/>
        <v>#N/A</v>
      </c>
      <c r="AB34" t="str">
        <f t="shared" si="6"/>
        <v/>
      </c>
      <c r="AC34">
        <f t="shared" si="7"/>
        <v>0</v>
      </c>
    </row>
    <row r="35" spans="2:29" x14ac:dyDescent="0.3">
      <c r="B35">
        <v>114</v>
      </c>
      <c r="C35">
        <f>SUMIFS(INDEX(xmen[[speech]:[depicted]],,$E$2),xmen[issue],Matrix!$B35,xmen[x],Matrix!C$10,xmen[costume],C$9)</f>
        <v>0</v>
      </c>
      <c r="D35">
        <f>SUMIFS(INDEX(xmen[[speech]:[depicted]],,$E$2),xmen[issue],Matrix!$B35,xmen[x],Matrix!D$10,xmen[costume],D$9)</f>
        <v>0</v>
      </c>
      <c r="E35">
        <f>SUMIFS(INDEX(xmen[[speech]:[depicted]],,$E$2),xmen[issue],Matrix!$B35,xmen[x],Matrix!E$10,xmen[costume],E$9)</f>
        <v>0</v>
      </c>
      <c r="F35">
        <f>SUMIFS(INDEX(xmen[[speech]:[depicted]],,$E$2),xmen[issue],Matrix!$B35,xmen[x],Matrix!F$10,xmen[costume],F$9)</f>
        <v>0</v>
      </c>
      <c r="G35">
        <f>SUMIFS(INDEX(xmen[[speech]:[depicted]],,$E$2),xmen[issue],Matrix!$B35,xmen[x],Matrix!G$10,xmen[costume],G$9)</f>
        <v>0</v>
      </c>
      <c r="H35">
        <f>SUMIFS(INDEX(xmen[[speech]:[depicted]],,$E$2),xmen[issue],Matrix!$B35,xmen[x],Matrix!H$10,xmen[costume],H$9)</f>
        <v>0</v>
      </c>
      <c r="I35">
        <f>SUMIFS(INDEX(xmen[[speech]:[depicted]],,$E$2),xmen[issue],Matrix!$B35,xmen[x],Matrix!I$10,xmen[costume],I$9)</f>
        <v>0</v>
      </c>
      <c r="J35">
        <f>SUMIFS(INDEX(xmen[[speech]:[depicted]],,$E$2),xmen[issue],Matrix!$B35,xmen[x],Matrix!J$10,xmen[costume],J$9)</f>
        <v>0</v>
      </c>
      <c r="K35">
        <f>SUMIFS(INDEX(xmen[[speech]:[depicted]],,$E$2),xmen[issue],Matrix!$B35,xmen[x],Matrix!K$10,xmen[costume],K$9)</f>
        <v>0</v>
      </c>
      <c r="L35">
        <f>SUMIFS(INDEX(xmen[[speech]:[depicted]],,$E$2),xmen[issue],Matrix!$B35,xmen[x],Matrix!L$10,xmen[costume],L$9)</f>
        <v>0</v>
      </c>
      <c r="M35">
        <f t="shared" ca="1" si="1"/>
        <v>152</v>
      </c>
      <c r="O35">
        <f t="shared" ca="1" si="2"/>
        <v>161</v>
      </c>
      <c r="P35">
        <f t="shared" ca="1" si="9"/>
        <v>0</v>
      </c>
      <c r="Q35">
        <f t="shared" ca="1" si="9"/>
        <v>0</v>
      </c>
      <c r="R35">
        <f t="shared" ca="1" si="9"/>
        <v>0</v>
      </c>
      <c r="S35">
        <f t="shared" ca="1" si="9"/>
        <v>0</v>
      </c>
      <c r="T35">
        <f t="shared" ca="1" si="9"/>
        <v>0</v>
      </c>
      <c r="U35">
        <f t="shared" ca="1" si="9"/>
        <v>0</v>
      </c>
      <c r="V35">
        <f t="shared" ca="1" si="9"/>
        <v>0</v>
      </c>
      <c r="W35">
        <f t="shared" ca="1" si="9"/>
        <v>0</v>
      </c>
      <c r="X35">
        <f t="shared" ca="1" si="9"/>
        <v>0</v>
      </c>
      <c r="Y35">
        <f t="shared" ca="1" si="9"/>
        <v>0</v>
      </c>
      <c r="Z35">
        <f t="shared" ca="1" si="4"/>
        <v>161</v>
      </c>
      <c r="AA35" t="e">
        <f t="shared" si="5"/>
        <v>#N/A</v>
      </c>
      <c r="AB35" t="str">
        <f t="shared" si="6"/>
        <v/>
      </c>
      <c r="AC35">
        <f t="shared" si="7"/>
        <v>0</v>
      </c>
    </row>
    <row r="36" spans="2:29" x14ac:dyDescent="0.3">
      <c r="B36">
        <v>115</v>
      </c>
      <c r="C36">
        <f>SUMIFS(INDEX(xmen[[speech]:[depicted]],,$E$2),xmen[issue],Matrix!$B36,xmen[x],Matrix!C$10,xmen[costume],C$9)</f>
        <v>0</v>
      </c>
      <c r="D36">
        <f>SUMIFS(INDEX(xmen[[speech]:[depicted]],,$E$2),xmen[issue],Matrix!$B36,xmen[x],Matrix!D$10,xmen[costume],D$9)</f>
        <v>0</v>
      </c>
      <c r="E36">
        <f>SUMIFS(INDEX(xmen[[speech]:[depicted]],,$E$2),xmen[issue],Matrix!$B36,xmen[x],Matrix!E$10,xmen[costume],E$9)</f>
        <v>0</v>
      </c>
      <c r="F36">
        <f>SUMIFS(INDEX(xmen[[speech]:[depicted]],,$E$2),xmen[issue],Matrix!$B36,xmen[x],Matrix!F$10,xmen[costume],F$9)</f>
        <v>0</v>
      </c>
      <c r="G36">
        <f>SUMIFS(INDEX(xmen[[speech]:[depicted]],,$E$2),xmen[issue],Matrix!$B36,xmen[x],Matrix!G$10,xmen[costume],G$9)</f>
        <v>0</v>
      </c>
      <c r="H36">
        <f>SUMIFS(INDEX(xmen[[speech]:[depicted]],,$E$2),xmen[issue],Matrix!$B36,xmen[x],Matrix!H$10,xmen[costume],H$9)</f>
        <v>0</v>
      </c>
      <c r="I36">
        <f>SUMIFS(INDEX(xmen[[speech]:[depicted]],,$E$2),xmen[issue],Matrix!$B36,xmen[x],Matrix!I$10,xmen[costume],I$9)</f>
        <v>0</v>
      </c>
      <c r="J36">
        <f>SUMIFS(INDEX(xmen[[speech]:[depicted]],,$E$2),xmen[issue],Matrix!$B36,xmen[x],Matrix!J$10,xmen[costume],J$9)</f>
        <v>0</v>
      </c>
      <c r="K36">
        <f>SUMIFS(INDEX(xmen[[speech]:[depicted]],,$E$2),xmen[issue],Matrix!$B36,xmen[x],Matrix!K$10,xmen[costume],K$9)</f>
        <v>0</v>
      </c>
      <c r="L36">
        <f>SUMIFS(INDEX(xmen[[speech]:[depicted]],,$E$2),xmen[issue],Matrix!$B36,xmen[x],Matrix!L$10,xmen[costume],L$9)</f>
        <v>0</v>
      </c>
      <c r="M36">
        <f t="shared" ca="1" si="1"/>
        <v>172</v>
      </c>
      <c r="O36">
        <f t="shared" ca="1" si="2"/>
        <v>161.25</v>
      </c>
      <c r="P36">
        <f t="shared" ca="1" si="9"/>
        <v>0</v>
      </c>
      <c r="Q36">
        <f t="shared" ca="1" si="9"/>
        <v>0</v>
      </c>
      <c r="R36">
        <f t="shared" ca="1" si="9"/>
        <v>0</v>
      </c>
      <c r="S36">
        <f t="shared" ca="1" si="9"/>
        <v>0</v>
      </c>
      <c r="T36">
        <f t="shared" ca="1" si="9"/>
        <v>0</v>
      </c>
      <c r="U36">
        <f t="shared" ca="1" si="9"/>
        <v>0</v>
      </c>
      <c r="V36">
        <f t="shared" ca="1" si="9"/>
        <v>0</v>
      </c>
      <c r="W36">
        <f t="shared" ca="1" si="9"/>
        <v>0</v>
      </c>
      <c r="X36">
        <f t="shared" ca="1" si="9"/>
        <v>0</v>
      </c>
      <c r="Y36">
        <f t="shared" ca="1" si="9"/>
        <v>0</v>
      </c>
      <c r="Z36">
        <f t="shared" ca="1" si="4"/>
        <v>161.25</v>
      </c>
      <c r="AA36" t="e">
        <f t="shared" si="5"/>
        <v>#N/A</v>
      </c>
      <c r="AB36" t="str">
        <f t="shared" si="6"/>
        <v/>
      </c>
      <c r="AC36">
        <f t="shared" si="7"/>
        <v>0</v>
      </c>
    </row>
    <row r="37" spans="2:29" x14ac:dyDescent="0.3">
      <c r="B37">
        <v>116</v>
      </c>
      <c r="C37">
        <f>SUMIFS(INDEX(xmen[[speech]:[depicted]],,$E$2),xmen[issue],Matrix!$B37,xmen[x],Matrix!C$10,xmen[costume],C$9)</f>
        <v>0</v>
      </c>
      <c r="D37">
        <f>SUMIFS(INDEX(xmen[[speech]:[depicted]],,$E$2),xmen[issue],Matrix!$B37,xmen[x],Matrix!D$10,xmen[costume],D$9)</f>
        <v>0</v>
      </c>
      <c r="E37">
        <f>SUMIFS(INDEX(xmen[[speech]:[depicted]],,$E$2),xmen[issue],Matrix!$B37,xmen[x],Matrix!E$10,xmen[costume],E$9)</f>
        <v>0</v>
      </c>
      <c r="F37">
        <f>SUMIFS(INDEX(xmen[[speech]:[depicted]],,$E$2),xmen[issue],Matrix!$B37,xmen[x],Matrix!F$10,xmen[costume],F$9)</f>
        <v>0</v>
      </c>
      <c r="G37">
        <f>SUMIFS(INDEX(xmen[[speech]:[depicted]],,$E$2),xmen[issue],Matrix!$B37,xmen[x],Matrix!G$10,xmen[costume],G$9)</f>
        <v>0</v>
      </c>
      <c r="H37">
        <f>SUMIFS(INDEX(xmen[[speech]:[depicted]],,$E$2),xmen[issue],Matrix!$B37,xmen[x],Matrix!H$10,xmen[costume],H$9)</f>
        <v>0</v>
      </c>
      <c r="I37">
        <f>SUMIFS(INDEX(xmen[[speech]:[depicted]],,$E$2),xmen[issue],Matrix!$B37,xmen[x],Matrix!I$10,xmen[costume],I$9)</f>
        <v>0</v>
      </c>
      <c r="J37">
        <f>SUMIFS(INDEX(xmen[[speech]:[depicted]],,$E$2),xmen[issue],Matrix!$B37,xmen[x],Matrix!J$10,xmen[costume],J$9)</f>
        <v>0</v>
      </c>
      <c r="K37">
        <f>SUMIFS(INDEX(xmen[[speech]:[depicted]],,$E$2),xmen[issue],Matrix!$B37,xmen[x],Matrix!K$10,xmen[costume],K$9)</f>
        <v>0</v>
      </c>
      <c r="L37">
        <f>SUMIFS(INDEX(xmen[[speech]:[depicted]],,$E$2),xmen[issue],Matrix!$B37,xmen[x],Matrix!L$10,xmen[costume],L$9)</f>
        <v>0</v>
      </c>
      <c r="M37">
        <f t="shared" ca="1" si="1"/>
        <v>154</v>
      </c>
      <c r="O37">
        <f t="shared" ca="1" si="2"/>
        <v>161.625</v>
      </c>
      <c r="P37">
        <f t="shared" ca="1" si="9"/>
        <v>0</v>
      </c>
      <c r="Q37">
        <f t="shared" ca="1" si="9"/>
        <v>0</v>
      </c>
      <c r="R37">
        <f t="shared" ca="1" si="9"/>
        <v>0</v>
      </c>
      <c r="S37">
        <f t="shared" ca="1" si="9"/>
        <v>0</v>
      </c>
      <c r="T37">
        <f t="shared" ca="1" si="9"/>
        <v>0</v>
      </c>
      <c r="U37">
        <f t="shared" ca="1" si="9"/>
        <v>0</v>
      </c>
      <c r="V37">
        <f t="shared" ca="1" si="9"/>
        <v>0</v>
      </c>
      <c r="W37">
        <f t="shared" ca="1" si="9"/>
        <v>0</v>
      </c>
      <c r="X37">
        <f t="shared" ca="1" si="9"/>
        <v>0</v>
      </c>
      <c r="Y37">
        <f t="shared" ca="1" si="9"/>
        <v>0</v>
      </c>
      <c r="Z37">
        <f t="shared" ca="1" si="4"/>
        <v>161.625</v>
      </c>
      <c r="AA37" t="e">
        <f t="shared" si="5"/>
        <v>#N/A</v>
      </c>
      <c r="AB37" t="str">
        <f t="shared" si="6"/>
        <v/>
      </c>
      <c r="AC37">
        <f t="shared" si="7"/>
        <v>0</v>
      </c>
    </row>
    <row r="38" spans="2:29" x14ac:dyDescent="0.3">
      <c r="B38">
        <v>117</v>
      </c>
      <c r="C38">
        <f>SUMIFS(INDEX(xmen[[speech]:[depicted]],,$E$2),xmen[issue],Matrix!$B38,xmen[x],Matrix!C$10,xmen[costume],C$9)</f>
        <v>0</v>
      </c>
      <c r="D38">
        <f>SUMIFS(INDEX(xmen[[speech]:[depicted]],,$E$2),xmen[issue],Matrix!$B38,xmen[x],Matrix!D$10,xmen[costume],D$9)</f>
        <v>0</v>
      </c>
      <c r="E38">
        <f>SUMIFS(INDEX(xmen[[speech]:[depicted]],,$E$2),xmen[issue],Matrix!$B38,xmen[x],Matrix!E$10,xmen[costume],E$9)</f>
        <v>0</v>
      </c>
      <c r="F38">
        <f>SUMIFS(INDEX(xmen[[speech]:[depicted]],,$E$2),xmen[issue],Matrix!$B38,xmen[x],Matrix!F$10,xmen[costume],F$9)</f>
        <v>0</v>
      </c>
      <c r="G38">
        <f>SUMIFS(INDEX(xmen[[speech]:[depicted]],,$E$2),xmen[issue],Matrix!$B38,xmen[x],Matrix!G$10,xmen[costume],G$9)</f>
        <v>0</v>
      </c>
      <c r="H38">
        <f>SUMIFS(INDEX(xmen[[speech]:[depicted]],,$E$2),xmen[issue],Matrix!$B38,xmen[x],Matrix!H$10,xmen[costume],H$9)</f>
        <v>0</v>
      </c>
      <c r="I38">
        <f>SUMIFS(INDEX(xmen[[speech]:[depicted]],,$E$2),xmen[issue],Matrix!$B38,xmen[x],Matrix!I$10,xmen[costume],I$9)</f>
        <v>0</v>
      </c>
      <c r="J38">
        <f>SUMIFS(INDEX(xmen[[speech]:[depicted]],,$E$2),xmen[issue],Matrix!$B38,xmen[x],Matrix!J$10,xmen[costume],J$9)</f>
        <v>0</v>
      </c>
      <c r="K38">
        <f>SUMIFS(INDEX(xmen[[speech]:[depicted]],,$E$2),xmen[issue],Matrix!$B38,xmen[x],Matrix!K$10,xmen[costume],K$9)</f>
        <v>0</v>
      </c>
      <c r="L38">
        <f>SUMIFS(INDEX(xmen[[speech]:[depicted]],,$E$2),xmen[issue],Matrix!$B38,xmen[x],Matrix!L$10,xmen[costume],L$9)</f>
        <v>0</v>
      </c>
      <c r="M38">
        <f t="shared" ca="1" si="1"/>
        <v>151</v>
      </c>
      <c r="O38">
        <f t="shared" ca="1" si="2"/>
        <v>160.75</v>
      </c>
      <c r="P38">
        <f t="shared" ca="1" si="9"/>
        <v>0</v>
      </c>
      <c r="Q38">
        <f t="shared" ca="1" si="9"/>
        <v>0</v>
      </c>
      <c r="R38">
        <f t="shared" ca="1" si="9"/>
        <v>0</v>
      </c>
      <c r="S38">
        <f t="shared" ca="1" si="9"/>
        <v>0</v>
      </c>
      <c r="T38">
        <f t="shared" ca="1" si="9"/>
        <v>0</v>
      </c>
      <c r="U38">
        <f t="shared" ca="1" si="9"/>
        <v>0</v>
      </c>
      <c r="V38">
        <f t="shared" ca="1" si="9"/>
        <v>0</v>
      </c>
      <c r="W38">
        <f t="shared" ca="1" si="9"/>
        <v>0</v>
      </c>
      <c r="X38">
        <f t="shared" ca="1" si="9"/>
        <v>0</v>
      </c>
      <c r="Y38">
        <f t="shared" ca="1" si="9"/>
        <v>0</v>
      </c>
      <c r="Z38">
        <f t="shared" ca="1" si="4"/>
        <v>160.75</v>
      </c>
      <c r="AA38" t="e">
        <f t="shared" si="5"/>
        <v>#N/A</v>
      </c>
      <c r="AB38" t="str">
        <f t="shared" si="6"/>
        <v/>
      </c>
      <c r="AC38">
        <f t="shared" si="7"/>
        <v>0</v>
      </c>
    </row>
    <row r="39" spans="2:29" x14ac:dyDescent="0.3">
      <c r="B39">
        <v>118</v>
      </c>
      <c r="C39">
        <f>SUMIFS(INDEX(xmen[[speech]:[depicted]],,$E$2),xmen[issue],Matrix!$B39,xmen[x],Matrix!C$10,xmen[costume],C$9)</f>
        <v>0</v>
      </c>
      <c r="D39">
        <f>SUMIFS(INDEX(xmen[[speech]:[depicted]],,$E$2),xmen[issue],Matrix!$B39,xmen[x],Matrix!D$10,xmen[costume],D$9)</f>
        <v>0</v>
      </c>
      <c r="E39">
        <f>SUMIFS(INDEX(xmen[[speech]:[depicted]],,$E$2),xmen[issue],Matrix!$B39,xmen[x],Matrix!E$10,xmen[costume],E$9)</f>
        <v>0</v>
      </c>
      <c r="F39">
        <f>SUMIFS(INDEX(xmen[[speech]:[depicted]],,$E$2),xmen[issue],Matrix!$B39,xmen[x],Matrix!F$10,xmen[costume],F$9)</f>
        <v>0</v>
      </c>
      <c r="G39">
        <f>SUMIFS(INDEX(xmen[[speech]:[depicted]],,$E$2),xmen[issue],Matrix!$B39,xmen[x],Matrix!G$10,xmen[costume],G$9)</f>
        <v>0</v>
      </c>
      <c r="H39">
        <f>SUMIFS(INDEX(xmen[[speech]:[depicted]],,$E$2),xmen[issue],Matrix!$B39,xmen[x],Matrix!H$10,xmen[costume],H$9)</f>
        <v>0</v>
      </c>
      <c r="I39">
        <f>SUMIFS(INDEX(xmen[[speech]:[depicted]],,$E$2),xmen[issue],Matrix!$B39,xmen[x],Matrix!I$10,xmen[costume],I$9)</f>
        <v>0</v>
      </c>
      <c r="J39">
        <f>SUMIFS(INDEX(xmen[[speech]:[depicted]],,$E$2),xmen[issue],Matrix!$B39,xmen[x],Matrix!J$10,xmen[costume],J$9)</f>
        <v>0</v>
      </c>
      <c r="K39">
        <f>SUMIFS(INDEX(xmen[[speech]:[depicted]],,$E$2),xmen[issue],Matrix!$B39,xmen[x],Matrix!K$10,xmen[costume],K$9)</f>
        <v>0</v>
      </c>
      <c r="L39">
        <f>SUMIFS(INDEX(xmen[[speech]:[depicted]],,$E$2),xmen[issue],Matrix!$B39,xmen[x],Matrix!L$10,xmen[costume],L$9)</f>
        <v>0</v>
      </c>
      <c r="M39">
        <f t="shared" ca="1" si="1"/>
        <v>166</v>
      </c>
      <c r="O39">
        <f t="shared" ca="1" si="2"/>
        <v>158.75</v>
      </c>
      <c r="P39">
        <f t="shared" ca="1" si="9"/>
        <v>0</v>
      </c>
      <c r="Q39">
        <f t="shared" ca="1" si="9"/>
        <v>0</v>
      </c>
      <c r="R39">
        <f t="shared" ca="1" si="9"/>
        <v>0</v>
      </c>
      <c r="S39">
        <f t="shared" ca="1" si="9"/>
        <v>0</v>
      </c>
      <c r="T39">
        <f t="shared" ca="1" si="9"/>
        <v>0</v>
      </c>
      <c r="U39">
        <f t="shared" ca="1" si="9"/>
        <v>0</v>
      </c>
      <c r="V39">
        <f t="shared" ca="1" si="9"/>
        <v>0</v>
      </c>
      <c r="W39">
        <f t="shared" ca="1" si="9"/>
        <v>0</v>
      </c>
      <c r="X39">
        <f t="shared" ca="1" si="9"/>
        <v>0</v>
      </c>
      <c r="Y39">
        <f t="shared" ca="1" si="9"/>
        <v>0</v>
      </c>
      <c r="Z39">
        <f t="shared" ca="1" si="4"/>
        <v>158.75</v>
      </c>
      <c r="AA39" t="e">
        <f t="shared" si="5"/>
        <v>#N/A</v>
      </c>
      <c r="AB39" t="str">
        <f t="shared" si="6"/>
        <v/>
      </c>
      <c r="AC39">
        <f t="shared" si="7"/>
        <v>0</v>
      </c>
    </row>
    <row r="40" spans="2:29" x14ac:dyDescent="0.3">
      <c r="B40">
        <v>119</v>
      </c>
      <c r="C40">
        <f>SUMIFS(INDEX(xmen[[speech]:[depicted]],,$E$2),xmen[issue],Matrix!$B40,xmen[x],Matrix!C$10,xmen[costume],C$9)</f>
        <v>0</v>
      </c>
      <c r="D40">
        <f>SUMIFS(INDEX(xmen[[speech]:[depicted]],,$E$2),xmen[issue],Matrix!$B40,xmen[x],Matrix!D$10,xmen[costume],D$9)</f>
        <v>0</v>
      </c>
      <c r="E40">
        <f>SUMIFS(INDEX(xmen[[speech]:[depicted]],,$E$2),xmen[issue],Matrix!$B40,xmen[x],Matrix!E$10,xmen[costume],E$9)</f>
        <v>0</v>
      </c>
      <c r="F40">
        <f>SUMIFS(INDEX(xmen[[speech]:[depicted]],,$E$2),xmen[issue],Matrix!$B40,xmen[x],Matrix!F$10,xmen[costume],F$9)</f>
        <v>0</v>
      </c>
      <c r="G40">
        <f>SUMIFS(INDEX(xmen[[speech]:[depicted]],,$E$2),xmen[issue],Matrix!$B40,xmen[x],Matrix!G$10,xmen[costume],G$9)</f>
        <v>0</v>
      </c>
      <c r="H40">
        <f>SUMIFS(INDEX(xmen[[speech]:[depicted]],,$E$2),xmen[issue],Matrix!$B40,xmen[x],Matrix!H$10,xmen[costume],H$9)</f>
        <v>0</v>
      </c>
      <c r="I40">
        <f>SUMIFS(INDEX(xmen[[speech]:[depicted]],,$E$2),xmen[issue],Matrix!$B40,xmen[x],Matrix!I$10,xmen[costume],I$9)</f>
        <v>0</v>
      </c>
      <c r="J40">
        <f>SUMIFS(INDEX(xmen[[speech]:[depicted]],,$E$2),xmen[issue],Matrix!$B40,xmen[x],Matrix!J$10,xmen[costume],J$9)</f>
        <v>0</v>
      </c>
      <c r="K40">
        <f>SUMIFS(INDEX(xmen[[speech]:[depicted]],,$E$2),xmen[issue],Matrix!$B40,xmen[x],Matrix!K$10,xmen[costume],K$9)</f>
        <v>0</v>
      </c>
      <c r="L40">
        <f>SUMIFS(INDEX(xmen[[speech]:[depicted]],,$E$2),xmen[issue],Matrix!$B40,xmen[x],Matrix!L$10,xmen[costume],L$9)</f>
        <v>0</v>
      </c>
      <c r="M40">
        <f t="shared" ca="1" si="1"/>
        <v>163</v>
      </c>
      <c r="O40">
        <f t="shared" ca="1" si="2"/>
        <v>160</v>
      </c>
      <c r="P40">
        <f t="shared" ca="1" si="9"/>
        <v>0</v>
      </c>
      <c r="Q40">
        <f t="shared" ca="1" si="9"/>
        <v>0</v>
      </c>
      <c r="R40">
        <f t="shared" ca="1" si="9"/>
        <v>0</v>
      </c>
      <c r="S40">
        <f t="shared" ca="1" si="9"/>
        <v>0</v>
      </c>
      <c r="T40">
        <f t="shared" ca="1" si="9"/>
        <v>0</v>
      </c>
      <c r="U40">
        <f t="shared" ca="1" si="9"/>
        <v>0</v>
      </c>
      <c r="V40">
        <f t="shared" ca="1" si="9"/>
        <v>0</v>
      </c>
      <c r="W40">
        <f t="shared" ca="1" si="9"/>
        <v>0</v>
      </c>
      <c r="X40">
        <f t="shared" ca="1" si="9"/>
        <v>0</v>
      </c>
      <c r="Y40">
        <f t="shared" ca="1" si="9"/>
        <v>0</v>
      </c>
      <c r="Z40">
        <f t="shared" ca="1" si="4"/>
        <v>160</v>
      </c>
      <c r="AA40" t="e">
        <f t="shared" si="5"/>
        <v>#N/A</v>
      </c>
      <c r="AB40" t="str">
        <f t="shared" si="6"/>
        <v/>
      </c>
      <c r="AC40">
        <f t="shared" si="7"/>
        <v>0</v>
      </c>
    </row>
    <row r="41" spans="2:29" x14ac:dyDescent="0.3">
      <c r="B41">
        <v>120</v>
      </c>
      <c r="C41">
        <f>SUMIFS(INDEX(xmen[[speech]:[depicted]],,$E$2),xmen[issue],Matrix!$B41,xmen[x],Matrix!C$10,xmen[costume],C$9)</f>
        <v>0</v>
      </c>
      <c r="D41">
        <f>SUMIFS(INDEX(xmen[[speech]:[depicted]],,$E$2),xmen[issue],Matrix!$B41,xmen[x],Matrix!D$10,xmen[costume],D$9)</f>
        <v>0</v>
      </c>
      <c r="E41">
        <f>SUMIFS(INDEX(xmen[[speech]:[depicted]],,$E$2),xmen[issue],Matrix!$B41,xmen[x],Matrix!E$10,xmen[costume],E$9)</f>
        <v>0</v>
      </c>
      <c r="F41">
        <f>SUMIFS(INDEX(xmen[[speech]:[depicted]],,$E$2),xmen[issue],Matrix!$B41,xmen[x],Matrix!F$10,xmen[costume],F$9)</f>
        <v>0</v>
      </c>
      <c r="G41">
        <f>SUMIFS(INDEX(xmen[[speech]:[depicted]],,$E$2),xmen[issue],Matrix!$B41,xmen[x],Matrix!G$10,xmen[costume],G$9)</f>
        <v>0</v>
      </c>
      <c r="H41">
        <f>SUMIFS(INDEX(xmen[[speech]:[depicted]],,$E$2),xmen[issue],Matrix!$B41,xmen[x],Matrix!H$10,xmen[costume],H$9)</f>
        <v>0</v>
      </c>
      <c r="I41">
        <f>SUMIFS(INDEX(xmen[[speech]:[depicted]],,$E$2),xmen[issue],Matrix!$B41,xmen[x],Matrix!I$10,xmen[costume],I$9)</f>
        <v>0</v>
      </c>
      <c r="J41">
        <f>SUMIFS(INDEX(xmen[[speech]:[depicted]],,$E$2),xmen[issue],Matrix!$B41,xmen[x],Matrix!J$10,xmen[costume],J$9)</f>
        <v>0</v>
      </c>
      <c r="K41">
        <f>SUMIFS(INDEX(xmen[[speech]:[depicted]],,$E$2),xmen[issue],Matrix!$B41,xmen[x],Matrix!K$10,xmen[costume],K$9)</f>
        <v>0</v>
      </c>
      <c r="L41">
        <f>SUMIFS(INDEX(xmen[[speech]:[depicted]],,$E$2),xmen[issue],Matrix!$B41,xmen[x],Matrix!L$10,xmen[costume],L$9)</f>
        <v>0</v>
      </c>
      <c r="M41">
        <f t="shared" ca="1" si="1"/>
        <v>155</v>
      </c>
      <c r="O41">
        <f t="shared" ca="1" si="2"/>
        <v>160.125</v>
      </c>
      <c r="P41">
        <f t="shared" ca="1" si="9"/>
        <v>0</v>
      </c>
      <c r="Q41">
        <f t="shared" ca="1" si="9"/>
        <v>0</v>
      </c>
      <c r="R41">
        <f t="shared" ca="1" si="9"/>
        <v>0</v>
      </c>
      <c r="S41">
        <f t="shared" ca="1" si="9"/>
        <v>0</v>
      </c>
      <c r="T41">
        <f t="shared" ca="1" si="9"/>
        <v>0</v>
      </c>
      <c r="U41">
        <f t="shared" ca="1" si="9"/>
        <v>0</v>
      </c>
      <c r="V41">
        <f t="shared" ca="1" si="9"/>
        <v>0</v>
      </c>
      <c r="W41">
        <f t="shared" ca="1" si="9"/>
        <v>0</v>
      </c>
      <c r="X41">
        <f t="shared" ca="1" si="9"/>
        <v>0</v>
      </c>
      <c r="Y41">
        <f t="shared" ca="1" si="9"/>
        <v>0</v>
      </c>
      <c r="Z41">
        <f t="shared" ca="1" si="4"/>
        <v>160.125</v>
      </c>
      <c r="AA41" t="e">
        <f t="shared" si="5"/>
        <v>#N/A</v>
      </c>
      <c r="AB41" t="str">
        <f t="shared" si="6"/>
        <v/>
      </c>
      <c r="AC41">
        <f t="shared" si="7"/>
        <v>0</v>
      </c>
    </row>
    <row r="42" spans="2:29" x14ac:dyDescent="0.3">
      <c r="B42">
        <v>121</v>
      </c>
      <c r="C42">
        <f>SUMIFS(INDEX(xmen[[speech]:[depicted]],,$E$2),xmen[issue],Matrix!$B42,xmen[x],Matrix!C$10,xmen[costume],C$9)</f>
        <v>0</v>
      </c>
      <c r="D42">
        <f>SUMIFS(INDEX(xmen[[speech]:[depicted]],,$E$2),xmen[issue],Matrix!$B42,xmen[x],Matrix!D$10,xmen[costume],D$9)</f>
        <v>0</v>
      </c>
      <c r="E42">
        <f>SUMIFS(INDEX(xmen[[speech]:[depicted]],,$E$2),xmen[issue],Matrix!$B42,xmen[x],Matrix!E$10,xmen[costume],E$9)</f>
        <v>0</v>
      </c>
      <c r="F42">
        <f>SUMIFS(INDEX(xmen[[speech]:[depicted]],,$E$2),xmen[issue],Matrix!$B42,xmen[x],Matrix!F$10,xmen[costume],F$9)</f>
        <v>0</v>
      </c>
      <c r="G42">
        <f>SUMIFS(INDEX(xmen[[speech]:[depicted]],,$E$2),xmen[issue],Matrix!$B42,xmen[x],Matrix!G$10,xmen[costume],G$9)</f>
        <v>0</v>
      </c>
      <c r="H42">
        <f>SUMIFS(INDEX(xmen[[speech]:[depicted]],,$E$2),xmen[issue],Matrix!$B42,xmen[x],Matrix!H$10,xmen[costume],H$9)</f>
        <v>0</v>
      </c>
      <c r="I42">
        <f>SUMIFS(INDEX(xmen[[speech]:[depicted]],,$E$2),xmen[issue],Matrix!$B42,xmen[x],Matrix!I$10,xmen[costume],I$9)</f>
        <v>0</v>
      </c>
      <c r="J42">
        <f>SUMIFS(INDEX(xmen[[speech]:[depicted]],,$E$2),xmen[issue],Matrix!$B42,xmen[x],Matrix!J$10,xmen[costume],J$9)</f>
        <v>0</v>
      </c>
      <c r="K42">
        <f>SUMIFS(INDEX(xmen[[speech]:[depicted]],,$E$2),xmen[issue],Matrix!$B42,xmen[x],Matrix!K$10,xmen[costume],K$9)</f>
        <v>0</v>
      </c>
      <c r="L42">
        <f>SUMIFS(INDEX(xmen[[speech]:[depicted]],,$E$2),xmen[issue],Matrix!$B42,xmen[x],Matrix!L$10,xmen[costume],L$9)</f>
        <v>0</v>
      </c>
      <c r="M42">
        <f t="shared" ca="1" si="1"/>
        <v>157</v>
      </c>
      <c r="O42">
        <f t="shared" ca="1" si="2"/>
        <v>161.125</v>
      </c>
      <c r="P42">
        <f t="shared" ca="1" si="9"/>
        <v>0</v>
      </c>
      <c r="Q42">
        <f t="shared" ca="1" si="9"/>
        <v>0</v>
      </c>
      <c r="R42">
        <f t="shared" ca="1" si="9"/>
        <v>0</v>
      </c>
      <c r="S42">
        <f t="shared" ca="1" si="9"/>
        <v>0</v>
      </c>
      <c r="T42">
        <f t="shared" ca="1" si="9"/>
        <v>0</v>
      </c>
      <c r="U42">
        <f t="shared" ca="1" si="9"/>
        <v>0</v>
      </c>
      <c r="V42">
        <f t="shared" ca="1" si="9"/>
        <v>0</v>
      </c>
      <c r="W42">
        <f t="shared" ca="1" si="9"/>
        <v>0</v>
      </c>
      <c r="X42">
        <f t="shared" ca="1" si="9"/>
        <v>0</v>
      </c>
      <c r="Y42">
        <f t="shared" ca="1" si="9"/>
        <v>0</v>
      </c>
      <c r="Z42">
        <f t="shared" ca="1" si="4"/>
        <v>161.125</v>
      </c>
      <c r="AA42" t="e">
        <f t="shared" si="5"/>
        <v>#N/A</v>
      </c>
      <c r="AB42" t="str">
        <f t="shared" si="6"/>
        <v/>
      </c>
      <c r="AC42">
        <f t="shared" si="7"/>
        <v>0</v>
      </c>
    </row>
    <row r="43" spans="2:29" x14ac:dyDescent="0.3">
      <c r="B43">
        <v>122</v>
      </c>
      <c r="C43">
        <f>SUMIFS(INDEX(xmen[[speech]:[depicted]],,$E$2),xmen[issue],Matrix!$B43,xmen[x],Matrix!C$10,xmen[costume],C$9)</f>
        <v>0</v>
      </c>
      <c r="D43">
        <f>SUMIFS(INDEX(xmen[[speech]:[depicted]],,$E$2),xmen[issue],Matrix!$B43,xmen[x],Matrix!D$10,xmen[costume],D$9)</f>
        <v>0</v>
      </c>
      <c r="E43">
        <f>SUMIFS(INDEX(xmen[[speech]:[depicted]],,$E$2),xmen[issue],Matrix!$B43,xmen[x],Matrix!E$10,xmen[costume],E$9)</f>
        <v>0</v>
      </c>
      <c r="F43">
        <f>SUMIFS(INDEX(xmen[[speech]:[depicted]],,$E$2),xmen[issue],Matrix!$B43,xmen[x],Matrix!F$10,xmen[costume],F$9)</f>
        <v>0</v>
      </c>
      <c r="G43">
        <f>SUMIFS(INDEX(xmen[[speech]:[depicted]],,$E$2),xmen[issue],Matrix!$B43,xmen[x],Matrix!G$10,xmen[costume],G$9)</f>
        <v>0</v>
      </c>
      <c r="H43">
        <f>SUMIFS(INDEX(xmen[[speech]:[depicted]],,$E$2),xmen[issue],Matrix!$B43,xmen[x],Matrix!H$10,xmen[costume],H$9)</f>
        <v>0</v>
      </c>
      <c r="I43">
        <f>SUMIFS(INDEX(xmen[[speech]:[depicted]],,$E$2),xmen[issue],Matrix!$B43,xmen[x],Matrix!I$10,xmen[costume],I$9)</f>
        <v>0</v>
      </c>
      <c r="J43">
        <f>SUMIFS(INDEX(xmen[[speech]:[depicted]],,$E$2),xmen[issue],Matrix!$B43,xmen[x],Matrix!J$10,xmen[costume],J$9)</f>
        <v>0</v>
      </c>
      <c r="K43">
        <f>SUMIFS(INDEX(xmen[[speech]:[depicted]],,$E$2),xmen[issue],Matrix!$B43,xmen[x],Matrix!K$10,xmen[costume],K$9)</f>
        <v>0</v>
      </c>
      <c r="L43">
        <f>SUMIFS(INDEX(xmen[[speech]:[depicted]],,$E$2),xmen[issue],Matrix!$B43,xmen[x],Matrix!L$10,xmen[costume],L$9)</f>
        <v>0</v>
      </c>
      <c r="M43">
        <f t="shared" ca="1" si="1"/>
        <v>162</v>
      </c>
      <c r="O43">
        <f t="shared" ref="O43:O74" ca="1" si="10">AVERAGE(OFFSET(INDEX($C43:$M43,O$9),-$P$3,,$P$2,1))</f>
        <v>163.25</v>
      </c>
      <c r="P43">
        <f t="shared" ca="1" si="9"/>
        <v>0</v>
      </c>
      <c r="Q43">
        <f t="shared" ca="1" si="9"/>
        <v>0</v>
      </c>
      <c r="R43">
        <f t="shared" ca="1" si="9"/>
        <v>0</v>
      </c>
      <c r="S43">
        <f t="shared" ca="1" si="9"/>
        <v>0</v>
      </c>
      <c r="T43">
        <f t="shared" ca="1" si="9"/>
        <v>0</v>
      </c>
      <c r="U43">
        <f t="shared" ca="1" si="9"/>
        <v>0</v>
      </c>
      <c r="V43">
        <f t="shared" ca="1" si="9"/>
        <v>0</v>
      </c>
      <c r="W43">
        <f t="shared" ca="1" si="9"/>
        <v>0</v>
      </c>
      <c r="X43">
        <f t="shared" ca="1" si="9"/>
        <v>0</v>
      </c>
      <c r="Y43">
        <f t="shared" ca="1" si="9"/>
        <v>0</v>
      </c>
      <c r="Z43">
        <f t="shared" ca="1" si="4"/>
        <v>163.25</v>
      </c>
      <c r="AA43" t="e">
        <f t="shared" si="5"/>
        <v>#N/A</v>
      </c>
      <c r="AB43" t="str">
        <f t="shared" si="6"/>
        <v/>
      </c>
      <c r="AC43">
        <f t="shared" si="7"/>
        <v>0</v>
      </c>
    </row>
    <row r="44" spans="2:29" x14ac:dyDescent="0.3">
      <c r="B44">
        <v>123</v>
      </c>
      <c r="C44">
        <f>SUMIFS(INDEX(xmen[[speech]:[depicted]],,$E$2),xmen[issue],Matrix!$B44,xmen[x],Matrix!C$10,xmen[costume],C$9)</f>
        <v>0</v>
      </c>
      <c r="D44">
        <f>SUMIFS(INDEX(xmen[[speech]:[depicted]],,$E$2),xmen[issue],Matrix!$B44,xmen[x],Matrix!D$10,xmen[costume],D$9)</f>
        <v>0</v>
      </c>
      <c r="E44">
        <f>SUMIFS(INDEX(xmen[[speech]:[depicted]],,$E$2),xmen[issue],Matrix!$B44,xmen[x],Matrix!E$10,xmen[costume],E$9)</f>
        <v>0</v>
      </c>
      <c r="F44">
        <f>SUMIFS(INDEX(xmen[[speech]:[depicted]],,$E$2),xmen[issue],Matrix!$B44,xmen[x],Matrix!F$10,xmen[costume],F$9)</f>
        <v>0</v>
      </c>
      <c r="G44">
        <f>SUMIFS(INDEX(xmen[[speech]:[depicted]],,$E$2),xmen[issue],Matrix!$B44,xmen[x],Matrix!G$10,xmen[costume],G$9)</f>
        <v>0</v>
      </c>
      <c r="H44">
        <f>SUMIFS(INDEX(xmen[[speech]:[depicted]],,$E$2),xmen[issue],Matrix!$B44,xmen[x],Matrix!H$10,xmen[costume],H$9)</f>
        <v>0</v>
      </c>
      <c r="I44">
        <f>SUMIFS(INDEX(xmen[[speech]:[depicted]],,$E$2),xmen[issue],Matrix!$B44,xmen[x],Matrix!I$10,xmen[costume],I$9)</f>
        <v>0</v>
      </c>
      <c r="J44">
        <f>SUMIFS(INDEX(xmen[[speech]:[depicted]],,$E$2),xmen[issue],Matrix!$B44,xmen[x],Matrix!J$10,xmen[costume],J$9)</f>
        <v>0</v>
      </c>
      <c r="K44">
        <f>SUMIFS(INDEX(xmen[[speech]:[depicted]],,$E$2),xmen[issue],Matrix!$B44,xmen[x],Matrix!K$10,xmen[costume],K$9)</f>
        <v>0</v>
      </c>
      <c r="L44">
        <f>SUMIFS(INDEX(xmen[[speech]:[depicted]],,$E$2),xmen[issue],Matrix!$B44,xmen[x],Matrix!L$10,xmen[costume],L$9)</f>
        <v>0</v>
      </c>
      <c r="M44">
        <f t="shared" ca="1" si="1"/>
        <v>173</v>
      </c>
      <c r="O44">
        <f t="shared" ca="1" si="10"/>
        <v>164</v>
      </c>
      <c r="P44">
        <f t="shared" ca="1" si="9"/>
        <v>0</v>
      </c>
      <c r="Q44">
        <f t="shared" ca="1" si="9"/>
        <v>0</v>
      </c>
      <c r="R44">
        <f t="shared" ca="1" si="9"/>
        <v>0</v>
      </c>
      <c r="S44">
        <f t="shared" ca="1" si="9"/>
        <v>0</v>
      </c>
      <c r="T44">
        <f t="shared" ca="1" si="9"/>
        <v>0</v>
      </c>
      <c r="U44">
        <f t="shared" ca="1" si="9"/>
        <v>0</v>
      </c>
      <c r="V44">
        <f t="shared" ca="1" si="9"/>
        <v>0</v>
      </c>
      <c r="W44">
        <f t="shared" ca="1" si="9"/>
        <v>0</v>
      </c>
      <c r="X44">
        <f t="shared" ca="1" si="9"/>
        <v>0</v>
      </c>
      <c r="Y44">
        <f t="shared" ca="1" si="9"/>
        <v>0</v>
      </c>
      <c r="Z44">
        <f t="shared" ca="1" si="4"/>
        <v>164</v>
      </c>
      <c r="AA44" t="e">
        <f t="shared" si="5"/>
        <v>#N/A</v>
      </c>
      <c r="AB44" t="str">
        <f t="shared" si="6"/>
        <v/>
      </c>
      <c r="AC44">
        <f t="shared" si="7"/>
        <v>0</v>
      </c>
    </row>
    <row r="45" spans="2:29" x14ac:dyDescent="0.3">
      <c r="B45">
        <v>124</v>
      </c>
      <c r="C45">
        <f>SUMIFS(INDEX(xmen[[speech]:[depicted]],,$E$2),xmen[issue],Matrix!$B45,xmen[x],Matrix!C$10,xmen[costume],C$9)</f>
        <v>0</v>
      </c>
      <c r="D45">
        <f>SUMIFS(INDEX(xmen[[speech]:[depicted]],,$E$2),xmen[issue],Matrix!$B45,xmen[x],Matrix!D$10,xmen[costume],D$9)</f>
        <v>0</v>
      </c>
      <c r="E45">
        <f>SUMIFS(INDEX(xmen[[speech]:[depicted]],,$E$2),xmen[issue],Matrix!$B45,xmen[x],Matrix!E$10,xmen[costume],E$9)</f>
        <v>0</v>
      </c>
      <c r="F45">
        <f>SUMIFS(INDEX(xmen[[speech]:[depicted]],,$E$2),xmen[issue],Matrix!$B45,xmen[x],Matrix!F$10,xmen[costume],F$9)</f>
        <v>0</v>
      </c>
      <c r="G45">
        <f>SUMIFS(INDEX(xmen[[speech]:[depicted]],,$E$2),xmen[issue],Matrix!$B45,xmen[x],Matrix!G$10,xmen[costume],G$9)</f>
        <v>0</v>
      </c>
      <c r="H45">
        <f>SUMIFS(INDEX(xmen[[speech]:[depicted]],,$E$2),xmen[issue],Matrix!$B45,xmen[x],Matrix!H$10,xmen[costume],H$9)</f>
        <v>0</v>
      </c>
      <c r="I45">
        <f>SUMIFS(INDEX(xmen[[speech]:[depicted]],,$E$2),xmen[issue],Matrix!$B45,xmen[x],Matrix!I$10,xmen[costume],I$9)</f>
        <v>0</v>
      </c>
      <c r="J45">
        <f>SUMIFS(INDEX(xmen[[speech]:[depicted]],,$E$2),xmen[issue],Matrix!$B45,xmen[x],Matrix!J$10,xmen[costume],J$9)</f>
        <v>0</v>
      </c>
      <c r="K45">
        <f>SUMIFS(INDEX(xmen[[speech]:[depicted]],,$E$2),xmen[issue],Matrix!$B45,xmen[x],Matrix!K$10,xmen[costume],K$9)</f>
        <v>0</v>
      </c>
      <c r="L45">
        <f>SUMIFS(INDEX(xmen[[speech]:[depicted]],,$E$2),xmen[issue],Matrix!$B45,xmen[x],Matrix!L$10,xmen[costume],L$9)</f>
        <v>0</v>
      </c>
      <c r="M45">
        <f t="shared" ca="1" si="1"/>
        <v>162</v>
      </c>
      <c r="O45">
        <f t="shared" ca="1" si="10"/>
        <v>162.625</v>
      </c>
      <c r="P45">
        <f t="shared" ca="1" si="9"/>
        <v>0</v>
      </c>
      <c r="Q45">
        <f t="shared" ca="1" si="9"/>
        <v>0</v>
      </c>
      <c r="R45">
        <f t="shared" ca="1" si="9"/>
        <v>0</v>
      </c>
      <c r="S45">
        <f t="shared" ca="1" si="9"/>
        <v>0</v>
      </c>
      <c r="T45">
        <f t="shared" ca="1" si="9"/>
        <v>0</v>
      </c>
      <c r="U45">
        <f t="shared" ca="1" si="9"/>
        <v>0</v>
      </c>
      <c r="V45">
        <f t="shared" ca="1" si="9"/>
        <v>0</v>
      </c>
      <c r="W45">
        <f t="shared" ca="1" si="9"/>
        <v>0</v>
      </c>
      <c r="X45">
        <f t="shared" ca="1" si="9"/>
        <v>0</v>
      </c>
      <c r="Y45">
        <f t="shared" ca="1" si="9"/>
        <v>0</v>
      </c>
      <c r="Z45">
        <f t="shared" ca="1" si="4"/>
        <v>162.625</v>
      </c>
      <c r="AA45" t="e">
        <f t="shared" si="5"/>
        <v>#N/A</v>
      </c>
      <c r="AB45" t="str">
        <f t="shared" si="6"/>
        <v/>
      </c>
      <c r="AC45">
        <f t="shared" si="7"/>
        <v>0</v>
      </c>
    </row>
    <row r="46" spans="2:29" x14ac:dyDescent="0.3">
      <c r="B46">
        <v>125</v>
      </c>
      <c r="C46">
        <f>SUMIFS(INDEX(xmen[[speech]:[depicted]],,$E$2),xmen[issue],Matrix!$B46,xmen[x],Matrix!C$10,xmen[costume],C$9)</f>
        <v>0</v>
      </c>
      <c r="D46">
        <f>SUMIFS(INDEX(xmen[[speech]:[depicted]],,$E$2),xmen[issue],Matrix!$B46,xmen[x],Matrix!D$10,xmen[costume],D$9)</f>
        <v>0</v>
      </c>
      <c r="E46">
        <f>SUMIFS(INDEX(xmen[[speech]:[depicted]],,$E$2),xmen[issue],Matrix!$B46,xmen[x],Matrix!E$10,xmen[costume],E$9)</f>
        <v>0</v>
      </c>
      <c r="F46">
        <f>SUMIFS(INDEX(xmen[[speech]:[depicted]],,$E$2),xmen[issue],Matrix!$B46,xmen[x],Matrix!F$10,xmen[costume],F$9)</f>
        <v>0</v>
      </c>
      <c r="G46">
        <f>SUMIFS(INDEX(xmen[[speech]:[depicted]],,$E$2),xmen[issue],Matrix!$B46,xmen[x],Matrix!G$10,xmen[costume],G$9)</f>
        <v>0</v>
      </c>
      <c r="H46">
        <f>SUMIFS(INDEX(xmen[[speech]:[depicted]],,$E$2),xmen[issue],Matrix!$B46,xmen[x],Matrix!H$10,xmen[costume],H$9)</f>
        <v>0</v>
      </c>
      <c r="I46">
        <f>SUMIFS(INDEX(xmen[[speech]:[depicted]],,$E$2),xmen[issue],Matrix!$B46,xmen[x],Matrix!I$10,xmen[costume],I$9)</f>
        <v>0</v>
      </c>
      <c r="J46">
        <f>SUMIFS(INDEX(xmen[[speech]:[depicted]],,$E$2),xmen[issue],Matrix!$B46,xmen[x],Matrix!J$10,xmen[costume],J$9)</f>
        <v>0</v>
      </c>
      <c r="K46">
        <f>SUMIFS(INDEX(xmen[[speech]:[depicted]],,$E$2),xmen[issue],Matrix!$B46,xmen[x],Matrix!K$10,xmen[costume],K$9)</f>
        <v>0</v>
      </c>
      <c r="L46">
        <f>SUMIFS(INDEX(xmen[[speech]:[depicted]],,$E$2),xmen[issue],Matrix!$B46,xmen[x],Matrix!L$10,xmen[costume],L$9)</f>
        <v>0</v>
      </c>
      <c r="M46">
        <f t="shared" ca="1" si="1"/>
        <v>168</v>
      </c>
      <c r="O46">
        <f t="shared" ca="1" si="10"/>
        <v>162.625</v>
      </c>
      <c r="P46">
        <f t="shared" ca="1" si="9"/>
        <v>0</v>
      </c>
      <c r="Q46">
        <f t="shared" ca="1" si="9"/>
        <v>0</v>
      </c>
      <c r="R46">
        <f t="shared" ca="1" si="9"/>
        <v>0</v>
      </c>
      <c r="S46">
        <f t="shared" ca="1" si="9"/>
        <v>0</v>
      </c>
      <c r="T46">
        <f t="shared" ca="1" si="9"/>
        <v>0</v>
      </c>
      <c r="U46">
        <f t="shared" ca="1" si="9"/>
        <v>0</v>
      </c>
      <c r="V46">
        <f t="shared" ca="1" si="9"/>
        <v>0</v>
      </c>
      <c r="W46">
        <f t="shared" ca="1" si="9"/>
        <v>0</v>
      </c>
      <c r="X46">
        <f t="shared" ca="1" si="9"/>
        <v>0</v>
      </c>
      <c r="Y46">
        <f t="shared" ca="1" si="9"/>
        <v>0</v>
      </c>
      <c r="Z46">
        <f t="shared" ca="1" si="4"/>
        <v>162.625</v>
      </c>
      <c r="AA46">
        <f t="shared" ca="1" si="5"/>
        <v>205</v>
      </c>
      <c r="AB46" t="str">
        <f t="shared" ca="1" si="6"/>
        <v>Issue
#125</v>
      </c>
      <c r="AC46">
        <f t="shared" ca="1" si="7"/>
        <v>0</v>
      </c>
    </row>
    <row r="47" spans="2:29" x14ac:dyDescent="0.3">
      <c r="B47">
        <v>126</v>
      </c>
      <c r="C47">
        <f>SUMIFS(INDEX(xmen[[speech]:[depicted]],,$E$2),xmen[issue],Matrix!$B47,xmen[x],Matrix!C$10,xmen[costume],C$9)</f>
        <v>0</v>
      </c>
      <c r="D47">
        <f>SUMIFS(INDEX(xmen[[speech]:[depicted]],,$E$2),xmen[issue],Matrix!$B47,xmen[x],Matrix!D$10,xmen[costume],D$9)</f>
        <v>0</v>
      </c>
      <c r="E47">
        <f>SUMIFS(INDEX(xmen[[speech]:[depicted]],,$E$2),xmen[issue],Matrix!$B47,xmen[x],Matrix!E$10,xmen[costume],E$9)</f>
        <v>0</v>
      </c>
      <c r="F47">
        <f>SUMIFS(INDEX(xmen[[speech]:[depicted]],,$E$2),xmen[issue],Matrix!$B47,xmen[x],Matrix!F$10,xmen[costume],F$9)</f>
        <v>0</v>
      </c>
      <c r="G47">
        <f>SUMIFS(INDEX(xmen[[speech]:[depicted]],,$E$2),xmen[issue],Matrix!$B47,xmen[x],Matrix!G$10,xmen[costume],G$9)</f>
        <v>0</v>
      </c>
      <c r="H47">
        <f>SUMIFS(INDEX(xmen[[speech]:[depicted]],,$E$2),xmen[issue],Matrix!$B47,xmen[x],Matrix!H$10,xmen[costume],H$9)</f>
        <v>0</v>
      </c>
      <c r="I47">
        <f>SUMIFS(INDEX(xmen[[speech]:[depicted]],,$E$2),xmen[issue],Matrix!$B47,xmen[x],Matrix!I$10,xmen[costume],I$9)</f>
        <v>0</v>
      </c>
      <c r="J47">
        <f>SUMIFS(INDEX(xmen[[speech]:[depicted]],,$E$2),xmen[issue],Matrix!$B47,xmen[x],Matrix!J$10,xmen[costume],J$9)</f>
        <v>0</v>
      </c>
      <c r="K47">
        <f>SUMIFS(INDEX(xmen[[speech]:[depicted]],,$E$2),xmen[issue],Matrix!$B47,xmen[x],Matrix!K$10,xmen[costume],K$9)</f>
        <v>0</v>
      </c>
      <c r="L47">
        <f>SUMIFS(INDEX(xmen[[speech]:[depicted]],,$E$2),xmen[issue],Matrix!$B47,xmen[x],Matrix!L$10,xmen[costume],L$9)</f>
        <v>0</v>
      </c>
      <c r="M47">
        <f t="shared" ca="1" si="1"/>
        <v>172</v>
      </c>
      <c r="O47">
        <f t="shared" ca="1" si="10"/>
        <v>162.375</v>
      </c>
      <c r="P47">
        <f t="shared" ref="P47:Y62" ca="1" si="11">AVERAGE(OFFSET(INDEX($C47:$M47,P$9),-$P$3,,$P$2,1))</f>
        <v>0</v>
      </c>
      <c r="Q47">
        <f t="shared" ca="1" si="11"/>
        <v>0</v>
      </c>
      <c r="R47">
        <f t="shared" ca="1" si="11"/>
        <v>0</v>
      </c>
      <c r="S47">
        <f t="shared" ca="1" si="11"/>
        <v>0</v>
      </c>
      <c r="T47">
        <f t="shared" ca="1" si="11"/>
        <v>0</v>
      </c>
      <c r="U47">
        <f t="shared" ca="1" si="11"/>
        <v>0</v>
      </c>
      <c r="V47">
        <f t="shared" ca="1" si="11"/>
        <v>0</v>
      </c>
      <c r="W47">
        <f t="shared" ca="1" si="11"/>
        <v>0</v>
      </c>
      <c r="X47">
        <f t="shared" ca="1" si="11"/>
        <v>0</v>
      </c>
      <c r="Y47">
        <f t="shared" ca="1" si="11"/>
        <v>0</v>
      </c>
      <c r="Z47">
        <f t="shared" ca="1" si="4"/>
        <v>162.375</v>
      </c>
      <c r="AA47" t="e">
        <f t="shared" si="5"/>
        <v>#N/A</v>
      </c>
      <c r="AB47" t="str">
        <f t="shared" si="6"/>
        <v/>
      </c>
      <c r="AC47">
        <f t="shared" si="7"/>
        <v>0</v>
      </c>
    </row>
    <row r="48" spans="2:29" x14ac:dyDescent="0.3">
      <c r="B48">
        <v>127</v>
      </c>
      <c r="C48">
        <f>SUMIFS(INDEX(xmen[[speech]:[depicted]],,$E$2),xmen[issue],Matrix!$B48,xmen[x],Matrix!C$10,xmen[costume],C$9)</f>
        <v>0</v>
      </c>
      <c r="D48">
        <f>SUMIFS(INDEX(xmen[[speech]:[depicted]],,$E$2),xmen[issue],Matrix!$B48,xmen[x],Matrix!D$10,xmen[costume],D$9)</f>
        <v>0</v>
      </c>
      <c r="E48">
        <f>SUMIFS(INDEX(xmen[[speech]:[depicted]],,$E$2),xmen[issue],Matrix!$B48,xmen[x],Matrix!E$10,xmen[costume],E$9)</f>
        <v>0</v>
      </c>
      <c r="F48">
        <f>SUMIFS(INDEX(xmen[[speech]:[depicted]],,$E$2),xmen[issue],Matrix!$B48,xmen[x],Matrix!F$10,xmen[costume],F$9)</f>
        <v>0</v>
      </c>
      <c r="G48">
        <f>SUMIFS(INDEX(xmen[[speech]:[depicted]],,$E$2),xmen[issue],Matrix!$B48,xmen[x],Matrix!G$10,xmen[costume],G$9)</f>
        <v>0</v>
      </c>
      <c r="H48">
        <f>SUMIFS(INDEX(xmen[[speech]:[depicted]],,$E$2),xmen[issue],Matrix!$B48,xmen[x],Matrix!H$10,xmen[costume],H$9)</f>
        <v>0</v>
      </c>
      <c r="I48">
        <f>SUMIFS(INDEX(xmen[[speech]:[depicted]],,$E$2),xmen[issue],Matrix!$B48,xmen[x],Matrix!I$10,xmen[costume],I$9)</f>
        <v>0</v>
      </c>
      <c r="J48">
        <f>SUMIFS(INDEX(xmen[[speech]:[depicted]],,$E$2),xmen[issue],Matrix!$B48,xmen[x],Matrix!J$10,xmen[costume],J$9)</f>
        <v>0</v>
      </c>
      <c r="K48">
        <f>SUMIFS(INDEX(xmen[[speech]:[depicted]],,$E$2),xmen[issue],Matrix!$B48,xmen[x],Matrix!K$10,xmen[costume],K$9)</f>
        <v>0</v>
      </c>
      <c r="L48">
        <f>SUMIFS(INDEX(xmen[[speech]:[depicted]],,$E$2),xmen[issue],Matrix!$B48,xmen[x],Matrix!L$10,xmen[costume],L$9)</f>
        <v>0</v>
      </c>
      <c r="M48">
        <f t="shared" ca="1" si="1"/>
        <v>152</v>
      </c>
      <c r="O48">
        <f t="shared" ca="1" si="10"/>
        <v>163</v>
      </c>
      <c r="P48">
        <f t="shared" ca="1" si="11"/>
        <v>0</v>
      </c>
      <c r="Q48">
        <f t="shared" ca="1" si="11"/>
        <v>0</v>
      </c>
      <c r="R48">
        <f t="shared" ca="1" si="11"/>
        <v>0</v>
      </c>
      <c r="S48">
        <f t="shared" ca="1" si="11"/>
        <v>0</v>
      </c>
      <c r="T48">
        <f t="shared" ca="1" si="11"/>
        <v>0</v>
      </c>
      <c r="U48">
        <f t="shared" ca="1" si="11"/>
        <v>0</v>
      </c>
      <c r="V48">
        <f t="shared" ca="1" si="11"/>
        <v>0</v>
      </c>
      <c r="W48">
        <f t="shared" ca="1" si="11"/>
        <v>0</v>
      </c>
      <c r="X48">
        <f t="shared" ca="1" si="11"/>
        <v>0</v>
      </c>
      <c r="Y48">
        <f t="shared" ca="1" si="11"/>
        <v>0</v>
      </c>
      <c r="Z48">
        <f t="shared" ca="1" si="4"/>
        <v>163</v>
      </c>
      <c r="AA48" t="e">
        <f t="shared" si="5"/>
        <v>#N/A</v>
      </c>
      <c r="AB48" t="str">
        <f t="shared" si="6"/>
        <v/>
      </c>
      <c r="AC48">
        <f t="shared" si="7"/>
        <v>0</v>
      </c>
    </row>
    <row r="49" spans="2:29" x14ac:dyDescent="0.3">
      <c r="B49">
        <v>128</v>
      </c>
      <c r="C49">
        <f>SUMIFS(INDEX(xmen[[speech]:[depicted]],,$E$2),xmen[issue],Matrix!$B49,xmen[x],Matrix!C$10,xmen[costume],C$9)</f>
        <v>0</v>
      </c>
      <c r="D49">
        <f>SUMIFS(INDEX(xmen[[speech]:[depicted]],,$E$2),xmen[issue],Matrix!$B49,xmen[x],Matrix!D$10,xmen[costume],D$9)</f>
        <v>0</v>
      </c>
      <c r="E49">
        <f>SUMIFS(INDEX(xmen[[speech]:[depicted]],,$E$2),xmen[issue],Matrix!$B49,xmen[x],Matrix!E$10,xmen[costume],E$9)</f>
        <v>0</v>
      </c>
      <c r="F49">
        <f>SUMIFS(INDEX(xmen[[speech]:[depicted]],,$E$2),xmen[issue],Matrix!$B49,xmen[x],Matrix!F$10,xmen[costume],F$9)</f>
        <v>0</v>
      </c>
      <c r="G49">
        <f>SUMIFS(INDEX(xmen[[speech]:[depicted]],,$E$2),xmen[issue],Matrix!$B49,xmen[x],Matrix!G$10,xmen[costume],G$9)</f>
        <v>0</v>
      </c>
      <c r="H49">
        <f>SUMIFS(INDEX(xmen[[speech]:[depicted]],,$E$2),xmen[issue],Matrix!$B49,xmen[x],Matrix!H$10,xmen[costume],H$9)</f>
        <v>0</v>
      </c>
      <c r="I49">
        <f>SUMIFS(INDEX(xmen[[speech]:[depicted]],,$E$2),xmen[issue],Matrix!$B49,xmen[x],Matrix!I$10,xmen[costume],I$9)</f>
        <v>0</v>
      </c>
      <c r="J49">
        <f>SUMIFS(INDEX(xmen[[speech]:[depicted]],,$E$2),xmen[issue],Matrix!$B49,xmen[x],Matrix!J$10,xmen[costume],J$9)</f>
        <v>0</v>
      </c>
      <c r="K49">
        <f>SUMIFS(INDEX(xmen[[speech]:[depicted]],,$E$2),xmen[issue],Matrix!$B49,xmen[x],Matrix!K$10,xmen[costume],K$9)</f>
        <v>0</v>
      </c>
      <c r="L49">
        <f>SUMIFS(INDEX(xmen[[speech]:[depicted]],,$E$2),xmen[issue],Matrix!$B49,xmen[x],Matrix!L$10,xmen[costume],L$9)</f>
        <v>0</v>
      </c>
      <c r="M49">
        <f t="shared" ca="1" si="1"/>
        <v>155</v>
      </c>
      <c r="O49">
        <f t="shared" ca="1" si="10"/>
        <v>162.5</v>
      </c>
      <c r="P49">
        <f t="shared" ca="1" si="11"/>
        <v>0</v>
      </c>
      <c r="Q49">
        <f t="shared" ca="1" si="11"/>
        <v>0</v>
      </c>
      <c r="R49">
        <f t="shared" ca="1" si="11"/>
        <v>0</v>
      </c>
      <c r="S49">
        <f t="shared" ca="1" si="11"/>
        <v>0</v>
      </c>
      <c r="T49">
        <f t="shared" ca="1" si="11"/>
        <v>0</v>
      </c>
      <c r="U49">
        <f t="shared" ca="1" si="11"/>
        <v>0</v>
      </c>
      <c r="V49">
        <f t="shared" ca="1" si="11"/>
        <v>0</v>
      </c>
      <c r="W49">
        <f t="shared" ca="1" si="11"/>
        <v>0</v>
      </c>
      <c r="X49">
        <f t="shared" ca="1" si="11"/>
        <v>0</v>
      </c>
      <c r="Y49">
        <f t="shared" ca="1" si="11"/>
        <v>0</v>
      </c>
      <c r="Z49">
        <f t="shared" ca="1" si="4"/>
        <v>162.5</v>
      </c>
      <c r="AA49" t="e">
        <f t="shared" si="5"/>
        <v>#N/A</v>
      </c>
      <c r="AB49" t="str">
        <f t="shared" si="6"/>
        <v/>
      </c>
      <c r="AC49">
        <f t="shared" si="7"/>
        <v>0</v>
      </c>
    </row>
    <row r="50" spans="2:29" x14ac:dyDescent="0.3">
      <c r="B50">
        <v>129</v>
      </c>
      <c r="C50">
        <f>SUMIFS(INDEX(xmen[[speech]:[depicted]],,$E$2),xmen[issue],Matrix!$B50,xmen[x],Matrix!C$10,xmen[costume],C$9)</f>
        <v>0</v>
      </c>
      <c r="D50">
        <f>SUMIFS(INDEX(xmen[[speech]:[depicted]],,$E$2),xmen[issue],Matrix!$B50,xmen[x],Matrix!D$10,xmen[costume],D$9)</f>
        <v>0</v>
      </c>
      <c r="E50">
        <f>SUMIFS(INDEX(xmen[[speech]:[depicted]],,$E$2),xmen[issue],Matrix!$B50,xmen[x],Matrix!E$10,xmen[costume],E$9)</f>
        <v>0</v>
      </c>
      <c r="F50">
        <f>SUMIFS(INDEX(xmen[[speech]:[depicted]],,$E$2),xmen[issue],Matrix!$B50,xmen[x],Matrix!F$10,xmen[costume],F$9)</f>
        <v>0</v>
      </c>
      <c r="G50">
        <f>SUMIFS(INDEX(xmen[[speech]:[depicted]],,$E$2),xmen[issue],Matrix!$B50,xmen[x],Matrix!G$10,xmen[costume],G$9)</f>
        <v>0</v>
      </c>
      <c r="H50">
        <f>SUMIFS(INDEX(xmen[[speech]:[depicted]],,$E$2),xmen[issue],Matrix!$B50,xmen[x],Matrix!H$10,xmen[costume],H$9)</f>
        <v>0</v>
      </c>
      <c r="I50">
        <f>SUMIFS(INDEX(xmen[[speech]:[depicted]],,$E$2),xmen[issue],Matrix!$B50,xmen[x],Matrix!I$10,xmen[costume],I$9)</f>
        <v>0</v>
      </c>
      <c r="J50">
        <f>SUMIFS(INDEX(xmen[[speech]:[depicted]],,$E$2),xmen[issue],Matrix!$B50,xmen[x],Matrix!J$10,xmen[costume],J$9)</f>
        <v>0</v>
      </c>
      <c r="K50">
        <f>SUMIFS(INDEX(xmen[[speech]:[depicted]],,$E$2),xmen[issue],Matrix!$B50,xmen[x],Matrix!K$10,xmen[costume],K$9)</f>
        <v>0</v>
      </c>
      <c r="L50">
        <f>SUMIFS(INDEX(xmen[[speech]:[depicted]],,$E$2),xmen[issue],Matrix!$B50,xmen[x],Matrix!L$10,xmen[costume],L$9)</f>
        <v>0</v>
      </c>
      <c r="M50">
        <f t="shared" ca="1" si="1"/>
        <v>155</v>
      </c>
      <c r="O50">
        <f t="shared" ca="1" si="10"/>
        <v>164</v>
      </c>
      <c r="P50">
        <f t="shared" ca="1" si="11"/>
        <v>0</v>
      </c>
      <c r="Q50">
        <f t="shared" ca="1" si="11"/>
        <v>0</v>
      </c>
      <c r="R50">
        <f t="shared" ca="1" si="11"/>
        <v>0</v>
      </c>
      <c r="S50">
        <f t="shared" ca="1" si="11"/>
        <v>0</v>
      </c>
      <c r="T50">
        <f t="shared" ca="1" si="11"/>
        <v>0</v>
      </c>
      <c r="U50">
        <f t="shared" ca="1" si="11"/>
        <v>0</v>
      </c>
      <c r="V50">
        <f t="shared" ca="1" si="11"/>
        <v>0</v>
      </c>
      <c r="W50">
        <f t="shared" ca="1" si="11"/>
        <v>0</v>
      </c>
      <c r="X50">
        <f t="shared" ca="1" si="11"/>
        <v>0</v>
      </c>
      <c r="Y50">
        <f t="shared" ca="1" si="11"/>
        <v>0</v>
      </c>
      <c r="Z50">
        <f t="shared" ca="1" si="4"/>
        <v>164</v>
      </c>
      <c r="AA50" t="e">
        <f t="shared" si="5"/>
        <v>#N/A</v>
      </c>
      <c r="AB50" t="str">
        <f t="shared" si="6"/>
        <v/>
      </c>
      <c r="AC50">
        <f t="shared" si="7"/>
        <v>0</v>
      </c>
    </row>
    <row r="51" spans="2:29" x14ac:dyDescent="0.3">
      <c r="B51">
        <v>130</v>
      </c>
      <c r="C51">
        <f>SUMIFS(INDEX(xmen[[speech]:[depicted]],,$E$2),xmen[issue],Matrix!$B51,xmen[x],Matrix!C$10,xmen[costume],C$9)</f>
        <v>0</v>
      </c>
      <c r="D51">
        <f>SUMIFS(INDEX(xmen[[speech]:[depicted]],,$E$2),xmen[issue],Matrix!$B51,xmen[x],Matrix!D$10,xmen[costume],D$9)</f>
        <v>0</v>
      </c>
      <c r="E51">
        <f>SUMIFS(INDEX(xmen[[speech]:[depicted]],,$E$2),xmen[issue],Matrix!$B51,xmen[x],Matrix!E$10,xmen[costume],E$9)</f>
        <v>0</v>
      </c>
      <c r="F51">
        <f>SUMIFS(INDEX(xmen[[speech]:[depicted]],,$E$2),xmen[issue],Matrix!$B51,xmen[x],Matrix!F$10,xmen[costume],F$9)</f>
        <v>0</v>
      </c>
      <c r="G51">
        <f>SUMIFS(INDEX(xmen[[speech]:[depicted]],,$E$2),xmen[issue],Matrix!$B51,xmen[x],Matrix!G$10,xmen[costume],G$9)</f>
        <v>0</v>
      </c>
      <c r="H51">
        <f>SUMIFS(INDEX(xmen[[speech]:[depicted]],,$E$2),xmen[issue],Matrix!$B51,xmen[x],Matrix!H$10,xmen[costume],H$9)</f>
        <v>0</v>
      </c>
      <c r="I51">
        <f>SUMIFS(INDEX(xmen[[speech]:[depicted]],,$E$2),xmen[issue],Matrix!$B51,xmen[x],Matrix!I$10,xmen[costume],I$9)</f>
        <v>0</v>
      </c>
      <c r="J51">
        <f>SUMIFS(INDEX(xmen[[speech]:[depicted]],,$E$2),xmen[issue],Matrix!$B51,xmen[x],Matrix!J$10,xmen[costume],J$9)</f>
        <v>0</v>
      </c>
      <c r="K51">
        <f>SUMIFS(INDEX(xmen[[speech]:[depicted]],,$E$2),xmen[issue],Matrix!$B51,xmen[x],Matrix!K$10,xmen[costume],K$9)</f>
        <v>0</v>
      </c>
      <c r="L51">
        <f>SUMIFS(INDEX(xmen[[speech]:[depicted]],,$E$2),xmen[issue],Matrix!$B51,xmen[x],Matrix!L$10,xmen[costume],L$9)</f>
        <v>0</v>
      </c>
      <c r="M51">
        <f t="shared" ca="1" si="1"/>
        <v>167</v>
      </c>
      <c r="O51">
        <f t="shared" ca="1" si="10"/>
        <v>162</v>
      </c>
      <c r="P51">
        <f t="shared" ca="1" si="11"/>
        <v>0</v>
      </c>
      <c r="Q51">
        <f t="shared" ca="1" si="11"/>
        <v>0</v>
      </c>
      <c r="R51">
        <f t="shared" ca="1" si="11"/>
        <v>0</v>
      </c>
      <c r="S51">
        <f t="shared" ca="1" si="11"/>
        <v>0</v>
      </c>
      <c r="T51">
        <f t="shared" ca="1" si="11"/>
        <v>0</v>
      </c>
      <c r="U51">
        <f t="shared" ca="1" si="11"/>
        <v>0</v>
      </c>
      <c r="V51">
        <f t="shared" ca="1" si="11"/>
        <v>0</v>
      </c>
      <c r="W51">
        <f t="shared" ca="1" si="11"/>
        <v>0</v>
      </c>
      <c r="X51">
        <f t="shared" ca="1" si="11"/>
        <v>0</v>
      </c>
      <c r="Y51">
        <f t="shared" ca="1" si="11"/>
        <v>0</v>
      </c>
      <c r="Z51">
        <f t="shared" ca="1" si="4"/>
        <v>162</v>
      </c>
      <c r="AA51" t="e">
        <f t="shared" si="5"/>
        <v>#N/A</v>
      </c>
      <c r="AB51" t="str">
        <f t="shared" si="6"/>
        <v/>
      </c>
      <c r="AC51">
        <f t="shared" si="7"/>
        <v>0</v>
      </c>
    </row>
    <row r="52" spans="2:29" x14ac:dyDescent="0.3">
      <c r="B52">
        <v>131</v>
      </c>
      <c r="C52">
        <f>SUMIFS(INDEX(xmen[[speech]:[depicted]],,$E$2),xmen[issue],Matrix!$B52,xmen[x],Matrix!C$10,xmen[costume],C$9)</f>
        <v>0</v>
      </c>
      <c r="D52">
        <f>SUMIFS(INDEX(xmen[[speech]:[depicted]],,$E$2),xmen[issue],Matrix!$B52,xmen[x],Matrix!D$10,xmen[costume],D$9)</f>
        <v>0</v>
      </c>
      <c r="E52">
        <f>SUMIFS(INDEX(xmen[[speech]:[depicted]],,$E$2),xmen[issue],Matrix!$B52,xmen[x],Matrix!E$10,xmen[costume],E$9)</f>
        <v>0</v>
      </c>
      <c r="F52">
        <f>SUMIFS(INDEX(xmen[[speech]:[depicted]],,$E$2),xmen[issue],Matrix!$B52,xmen[x],Matrix!F$10,xmen[costume],F$9)</f>
        <v>0</v>
      </c>
      <c r="G52">
        <f>SUMIFS(INDEX(xmen[[speech]:[depicted]],,$E$2),xmen[issue],Matrix!$B52,xmen[x],Matrix!G$10,xmen[costume],G$9)</f>
        <v>0</v>
      </c>
      <c r="H52">
        <f>SUMIFS(INDEX(xmen[[speech]:[depicted]],,$E$2),xmen[issue],Matrix!$B52,xmen[x],Matrix!H$10,xmen[costume],H$9)</f>
        <v>0</v>
      </c>
      <c r="I52">
        <f>SUMIFS(INDEX(xmen[[speech]:[depicted]],,$E$2),xmen[issue],Matrix!$B52,xmen[x],Matrix!I$10,xmen[costume],I$9)</f>
        <v>0</v>
      </c>
      <c r="J52">
        <f>SUMIFS(INDEX(xmen[[speech]:[depicted]],,$E$2),xmen[issue],Matrix!$B52,xmen[x],Matrix!J$10,xmen[costume],J$9)</f>
        <v>0</v>
      </c>
      <c r="K52">
        <f>SUMIFS(INDEX(xmen[[speech]:[depicted]],,$E$2),xmen[issue],Matrix!$B52,xmen[x],Matrix!K$10,xmen[costume],K$9)</f>
        <v>0</v>
      </c>
      <c r="L52">
        <f>SUMIFS(INDEX(xmen[[speech]:[depicted]],,$E$2),xmen[issue],Matrix!$B52,xmen[x],Matrix!L$10,xmen[costume],L$9)</f>
        <v>0</v>
      </c>
      <c r="M52">
        <f t="shared" ca="1" si="1"/>
        <v>169</v>
      </c>
      <c r="O52">
        <f t="shared" ca="1" si="10"/>
        <v>160.625</v>
      </c>
      <c r="P52">
        <f t="shared" ca="1" si="11"/>
        <v>0</v>
      </c>
      <c r="Q52">
        <f t="shared" ca="1" si="11"/>
        <v>0</v>
      </c>
      <c r="R52">
        <f t="shared" ca="1" si="11"/>
        <v>0</v>
      </c>
      <c r="S52">
        <f t="shared" ca="1" si="11"/>
        <v>0</v>
      </c>
      <c r="T52">
        <f t="shared" ca="1" si="11"/>
        <v>0</v>
      </c>
      <c r="U52">
        <f t="shared" ca="1" si="11"/>
        <v>0</v>
      </c>
      <c r="V52">
        <f t="shared" ca="1" si="11"/>
        <v>0</v>
      </c>
      <c r="W52">
        <f t="shared" ca="1" si="11"/>
        <v>0</v>
      </c>
      <c r="X52">
        <f t="shared" ca="1" si="11"/>
        <v>0</v>
      </c>
      <c r="Y52">
        <f t="shared" ca="1" si="11"/>
        <v>0</v>
      </c>
      <c r="Z52">
        <f t="shared" ca="1" si="4"/>
        <v>160.625</v>
      </c>
      <c r="AA52" t="e">
        <f t="shared" si="5"/>
        <v>#N/A</v>
      </c>
      <c r="AB52" t="str">
        <f t="shared" si="6"/>
        <v/>
      </c>
      <c r="AC52">
        <f t="shared" si="7"/>
        <v>0</v>
      </c>
    </row>
    <row r="53" spans="2:29" x14ac:dyDescent="0.3">
      <c r="B53">
        <v>132</v>
      </c>
      <c r="C53">
        <f>SUMIFS(INDEX(xmen[[speech]:[depicted]],,$E$2),xmen[issue],Matrix!$B53,xmen[x],Matrix!C$10,xmen[costume],C$9)</f>
        <v>0</v>
      </c>
      <c r="D53">
        <f>SUMIFS(INDEX(xmen[[speech]:[depicted]],,$E$2),xmen[issue],Matrix!$B53,xmen[x],Matrix!D$10,xmen[costume],D$9)</f>
        <v>0</v>
      </c>
      <c r="E53">
        <f>SUMIFS(INDEX(xmen[[speech]:[depicted]],,$E$2),xmen[issue],Matrix!$B53,xmen[x],Matrix!E$10,xmen[costume],E$9)</f>
        <v>0</v>
      </c>
      <c r="F53">
        <f>SUMIFS(INDEX(xmen[[speech]:[depicted]],,$E$2),xmen[issue],Matrix!$B53,xmen[x],Matrix!F$10,xmen[costume],F$9)</f>
        <v>0</v>
      </c>
      <c r="G53">
        <f>SUMIFS(INDEX(xmen[[speech]:[depicted]],,$E$2),xmen[issue],Matrix!$B53,xmen[x],Matrix!G$10,xmen[costume],G$9)</f>
        <v>0</v>
      </c>
      <c r="H53">
        <f>SUMIFS(INDEX(xmen[[speech]:[depicted]],,$E$2),xmen[issue],Matrix!$B53,xmen[x],Matrix!H$10,xmen[costume],H$9)</f>
        <v>0</v>
      </c>
      <c r="I53">
        <f>SUMIFS(INDEX(xmen[[speech]:[depicted]],,$E$2),xmen[issue],Matrix!$B53,xmen[x],Matrix!I$10,xmen[costume],I$9)</f>
        <v>0</v>
      </c>
      <c r="J53">
        <f>SUMIFS(INDEX(xmen[[speech]:[depicted]],,$E$2),xmen[issue],Matrix!$B53,xmen[x],Matrix!J$10,xmen[costume],J$9)</f>
        <v>0</v>
      </c>
      <c r="K53">
        <f>SUMIFS(INDEX(xmen[[speech]:[depicted]],,$E$2),xmen[issue],Matrix!$B53,xmen[x],Matrix!K$10,xmen[costume],K$9)</f>
        <v>0</v>
      </c>
      <c r="L53">
        <f>SUMIFS(INDEX(xmen[[speech]:[depicted]],,$E$2),xmen[issue],Matrix!$B53,xmen[x],Matrix!L$10,xmen[costume],L$9)</f>
        <v>0</v>
      </c>
      <c r="M53">
        <f t="shared" ca="1" si="1"/>
        <v>174</v>
      </c>
      <c r="O53">
        <f t="shared" ca="1" si="10"/>
        <v>161.375</v>
      </c>
      <c r="P53">
        <f t="shared" ca="1" si="11"/>
        <v>0</v>
      </c>
      <c r="Q53">
        <f t="shared" ca="1" si="11"/>
        <v>0</v>
      </c>
      <c r="R53">
        <f t="shared" ca="1" si="11"/>
        <v>0</v>
      </c>
      <c r="S53">
        <f t="shared" ca="1" si="11"/>
        <v>0</v>
      </c>
      <c r="T53">
        <f t="shared" ca="1" si="11"/>
        <v>0</v>
      </c>
      <c r="U53">
        <f t="shared" ca="1" si="11"/>
        <v>0</v>
      </c>
      <c r="V53">
        <f t="shared" ca="1" si="11"/>
        <v>0</v>
      </c>
      <c r="W53">
        <f t="shared" ca="1" si="11"/>
        <v>0</v>
      </c>
      <c r="X53">
        <f t="shared" ca="1" si="11"/>
        <v>0</v>
      </c>
      <c r="Y53">
        <f t="shared" ca="1" si="11"/>
        <v>0</v>
      </c>
      <c r="Z53">
        <f t="shared" ca="1" si="4"/>
        <v>161.375</v>
      </c>
      <c r="AA53" t="e">
        <f t="shared" si="5"/>
        <v>#N/A</v>
      </c>
      <c r="AB53" t="str">
        <f t="shared" si="6"/>
        <v/>
      </c>
      <c r="AC53">
        <f t="shared" si="7"/>
        <v>0</v>
      </c>
    </row>
    <row r="54" spans="2:29" x14ac:dyDescent="0.3">
      <c r="B54">
        <v>133</v>
      </c>
      <c r="C54">
        <f>SUMIFS(INDEX(xmen[[speech]:[depicted]],,$E$2),xmen[issue],Matrix!$B54,xmen[x],Matrix!C$10,xmen[costume],C$9)</f>
        <v>0</v>
      </c>
      <c r="D54">
        <f>SUMIFS(INDEX(xmen[[speech]:[depicted]],,$E$2),xmen[issue],Matrix!$B54,xmen[x],Matrix!D$10,xmen[costume],D$9)</f>
        <v>0</v>
      </c>
      <c r="E54">
        <f>SUMIFS(INDEX(xmen[[speech]:[depicted]],,$E$2),xmen[issue],Matrix!$B54,xmen[x],Matrix!E$10,xmen[costume],E$9)</f>
        <v>0</v>
      </c>
      <c r="F54">
        <f>SUMIFS(INDEX(xmen[[speech]:[depicted]],,$E$2),xmen[issue],Matrix!$B54,xmen[x],Matrix!F$10,xmen[costume],F$9)</f>
        <v>0</v>
      </c>
      <c r="G54">
        <f>SUMIFS(INDEX(xmen[[speech]:[depicted]],,$E$2),xmen[issue],Matrix!$B54,xmen[x],Matrix!G$10,xmen[costume],G$9)</f>
        <v>0</v>
      </c>
      <c r="H54">
        <f>SUMIFS(INDEX(xmen[[speech]:[depicted]],,$E$2),xmen[issue],Matrix!$B54,xmen[x],Matrix!H$10,xmen[costume],H$9)</f>
        <v>0</v>
      </c>
      <c r="I54">
        <f>SUMIFS(INDEX(xmen[[speech]:[depicted]],,$E$2),xmen[issue],Matrix!$B54,xmen[x],Matrix!I$10,xmen[costume],I$9)</f>
        <v>0</v>
      </c>
      <c r="J54">
        <f>SUMIFS(INDEX(xmen[[speech]:[depicted]],,$E$2),xmen[issue],Matrix!$B54,xmen[x],Matrix!J$10,xmen[costume],J$9)</f>
        <v>0</v>
      </c>
      <c r="K54">
        <f>SUMIFS(INDEX(xmen[[speech]:[depicted]],,$E$2),xmen[issue],Matrix!$B54,xmen[x],Matrix!K$10,xmen[costume],K$9)</f>
        <v>0</v>
      </c>
      <c r="L54">
        <f>SUMIFS(INDEX(xmen[[speech]:[depicted]],,$E$2),xmen[issue],Matrix!$B54,xmen[x],Matrix!L$10,xmen[costume],L$9)</f>
        <v>0</v>
      </c>
      <c r="M54">
        <f t="shared" ca="1" si="1"/>
        <v>152</v>
      </c>
      <c r="O54">
        <f t="shared" ca="1" si="10"/>
        <v>163</v>
      </c>
      <c r="P54">
        <f t="shared" ca="1" si="11"/>
        <v>0</v>
      </c>
      <c r="Q54">
        <f t="shared" ca="1" si="11"/>
        <v>0</v>
      </c>
      <c r="R54">
        <f t="shared" ca="1" si="11"/>
        <v>0</v>
      </c>
      <c r="S54">
        <f t="shared" ca="1" si="11"/>
        <v>0</v>
      </c>
      <c r="T54">
        <f t="shared" ca="1" si="11"/>
        <v>0</v>
      </c>
      <c r="U54">
        <f t="shared" ca="1" si="11"/>
        <v>0</v>
      </c>
      <c r="V54">
        <f t="shared" ca="1" si="11"/>
        <v>0</v>
      </c>
      <c r="W54">
        <f t="shared" ca="1" si="11"/>
        <v>0</v>
      </c>
      <c r="X54">
        <f t="shared" ca="1" si="11"/>
        <v>0</v>
      </c>
      <c r="Y54">
        <f t="shared" ca="1" si="11"/>
        <v>0</v>
      </c>
      <c r="Z54">
        <f t="shared" ca="1" si="4"/>
        <v>163</v>
      </c>
      <c r="AA54" t="e">
        <f t="shared" si="5"/>
        <v>#N/A</v>
      </c>
      <c r="AB54" t="str">
        <f t="shared" si="6"/>
        <v/>
      </c>
      <c r="AC54">
        <f t="shared" si="7"/>
        <v>0</v>
      </c>
    </row>
    <row r="55" spans="2:29" x14ac:dyDescent="0.3">
      <c r="B55">
        <v>134</v>
      </c>
      <c r="C55">
        <f>SUMIFS(INDEX(xmen[[speech]:[depicted]],,$E$2),xmen[issue],Matrix!$B55,xmen[x],Matrix!C$10,xmen[costume],C$9)</f>
        <v>0</v>
      </c>
      <c r="D55">
        <f>SUMIFS(INDEX(xmen[[speech]:[depicted]],,$E$2),xmen[issue],Matrix!$B55,xmen[x],Matrix!D$10,xmen[costume],D$9)</f>
        <v>0</v>
      </c>
      <c r="E55">
        <f>SUMIFS(INDEX(xmen[[speech]:[depicted]],,$E$2),xmen[issue],Matrix!$B55,xmen[x],Matrix!E$10,xmen[costume],E$9)</f>
        <v>0</v>
      </c>
      <c r="F55">
        <f>SUMIFS(INDEX(xmen[[speech]:[depicted]],,$E$2),xmen[issue],Matrix!$B55,xmen[x],Matrix!F$10,xmen[costume],F$9)</f>
        <v>0</v>
      </c>
      <c r="G55">
        <f>SUMIFS(INDEX(xmen[[speech]:[depicted]],,$E$2),xmen[issue],Matrix!$B55,xmen[x],Matrix!G$10,xmen[costume],G$9)</f>
        <v>0</v>
      </c>
      <c r="H55">
        <f>SUMIFS(INDEX(xmen[[speech]:[depicted]],,$E$2),xmen[issue],Matrix!$B55,xmen[x],Matrix!H$10,xmen[costume],H$9)</f>
        <v>0</v>
      </c>
      <c r="I55">
        <f>SUMIFS(INDEX(xmen[[speech]:[depicted]],,$E$2),xmen[issue],Matrix!$B55,xmen[x],Matrix!I$10,xmen[costume],I$9)</f>
        <v>0</v>
      </c>
      <c r="J55">
        <f>SUMIFS(INDEX(xmen[[speech]:[depicted]],,$E$2),xmen[issue],Matrix!$B55,xmen[x],Matrix!J$10,xmen[costume],J$9)</f>
        <v>0</v>
      </c>
      <c r="K55">
        <f>SUMIFS(INDEX(xmen[[speech]:[depicted]],,$E$2),xmen[issue],Matrix!$B55,xmen[x],Matrix!K$10,xmen[costume],K$9)</f>
        <v>0</v>
      </c>
      <c r="L55">
        <f>SUMIFS(INDEX(xmen[[speech]:[depicted]],,$E$2),xmen[issue],Matrix!$B55,xmen[x],Matrix!L$10,xmen[costume],L$9)</f>
        <v>0</v>
      </c>
      <c r="M55">
        <f t="shared" ca="1" si="1"/>
        <v>161</v>
      </c>
      <c r="O55">
        <f t="shared" ca="1" si="10"/>
        <v>161.125</v>
      </c>
      <c r="P55">
        <f t="shared" ca="1" si="11"/>
        <v>0</v>
      </c>
      <c r="Q55">
        <f t="shared" ca="1" si="11"/>
        <v>0</v>
      </c>
      <c r="R55">
        <f t="shared" ca="1" si="11"/>
        <v>0</v>
      </c>
      <c r="S55">
        <f t="shared" ca="1" si="11"/>
        <v>0</v>
      </c>
      <c r="T55">
        <f t="shared" ca="1" si="11"/>
        <v>0</v>
      </c>
      <c r="U55">
        <f t="shared" ca="1" si="11"/>
        <v>0</v>
      </c>
      <c r="V55">
        <f t="shared" ca="1" si="11"/>
        <v>0</v>
      </c>
      <c r="W55">
        <f t="shared" ca="1" si="11"/>
        <v>0</v>
      </c>
      <c r="X55">
        <f t="shared" ca="1" si="11"/>
        <v>0</v>
      </c>
      <c r="Y55">
        <f t="shared" ca="1" si="11"/>
        <v>1.25</v>
      </c>
      <c r="Z55">
        <f t="shared" ca="1" si="4"/>
        <v>162.375</v>
      </c>
      <c r="AA55" t="e">
        <f t="shared" si="5"/>
        <v>#N/A</v>
      </c>
      <c r="AB55" t="str">
        <f t="shared" si="6"/>
        <v/>
      </c>
      <c r="AC55">
        <f t="shared" si="7"/>
        <v>0</v>
      </c>
    </row>
    <row r="56" spans="2:29" x14ac:dyDescent="0.3">
      <c r="B56">
        <v>135</v>
      </c>
      <c r="C56">
        <f>SUMIFS(INDEX(xmen[[speech]:[depicted]],,$E$2),xmen[issue],Matrix!$B56,xmen[x],Matrix!C$10,xmen[costume],C$9)</f>
        <v>0</v>
      </c>
      <c r="D56">
        <f>SUMIFS(INDEX(xmen[[speech]:[depicted]],,$E$2),xmen[issue],Matrix!$B56,xmen[x],Matrix!D$10,xmen[costume],D$9)</f>
        <v>0</v>
      </c>
      <c r="E56">
        <f>SUMIFS(INDEX(xmen[[speech]:[depicted]],,$E$2),xmen[issue],Matrix!$B56,xmen[x],Matrix!E$10,xmen[costume],E$9)</f>
        <v>0</v>
      </c>
      <c r="F56">
        <f>SUMIFS(INDEX(xmen[[speech]:[depicted]],,$E$2),xmen[issue],Matrix!$B56,xmen[x],Matrix!F$10,xmen[costume],F$9)</f>
        <v>0</v>
      </c>
      <c r="G56">
        <f>SUMIFS(INDEX(xmen[[speech]:[depicted]],,$E$2),xmen[issue],Matrix!$B56,xmen[x],Matrix!G$10,xmen[costume],G$9)</f>
        <v>0</v>
      </c>
      <c r="H56">
        <f>SUMIFS(INDEX(xmen[[speech]:[depicted]],,$E$2),xmen[issue],Matrix!$B56,xmen[x],Matrix!H$10,xmen[costume],H$9)</f>
        <v>0</v>
      </c>
      <c r="I56">
        <f>SUMIFS(INDEX(xmen[[speech]:[depicted]],,$E$2),xmen[issue],Matrix!$B56,xmen[x],Matrix!I$10,xmen[costume],I$9)</f>
        <v>0</v>
      </c>
      <c r="J56">
        <f>SUMIFS(INDEX(xmen[[speech]:[depicted]],,$E$2),xmen[issue],Matrix!$B56,xmen[x],Matrix!J$10,xmen[costume],J$9)</f>
        <v>0</v>
      </c>
      <c r="K56">
        <f>SUMIFS(INDEX(xmen[[speech]:[depicted]],,$E$2),xmen[issue],Matrix!$B56,xmen[x],Matrix!K$10,xmen[costume],K$9)</f>
        <v>0</v>
      </c>
      <c r="L56">
        <f>SUMIFS(INDEX(xmen[[speech]:[depicted]],,$E$2),xmen[issue],Matrix!$B56,xmen[x],Matrix!L$10,xmen[costume],L$9)</f>
        <v>0</v>
      </c>
      <c r="M56">
        <f t="shared" ca="1" si="1"/>
        <v>158</v>
      </c>
      <c r="O56">
        <f t="shared" ca="1" si="10"/>
        <v>161.5</v>
      </c>
      <c r="P56">
        <f t="shared" ca="1" si="11"/>
        <v>0</v>
      </c>
      <c r="Q56">
        <f t="shared" ca="1" si="11"/>
        <v>0</v>
      </c>
      <c r="R56">
        <f t="shared" ca="1" si="11"/>
        <v>0</v>
      </c>
      <c r="S56">
        <f t="shared" ca="1" si="11"/>
        <v>0</v>
      </c>
      <c r="T56">
        <f t="shared" ca="1" si="11"/>
        <v>0</v>
      </c>
      <c r="U56">
        <f t="shared" ca="1" si="11"/>
        <v>0</v>
      </c>
      <c r="V56">
        <f t="shared" ca="1" si="11"/>
        <v>0</v>
      </c>
      <c r="W56">
        <f t="shared" ca="1" si="11"/>
        <v>0</v>
      </c>
      <c r="X56">
        <f t="shared" ca="1" si="11"/>
        <v>0</v>
      </c>
      <c r="Y56">
        <f t="shared" ca="1" si="11"/>
        <v>1.25</v>
      </c>
      <c r="Z56">
        <f t="shared" ca="1" si="4"/>
        <v>162.75</v>
      </c>
      <c r="AA56" t="e">
        <f t="shared" si="5"/>
        <v>#N/A</v>
      </c>
      <c r="AB56" t="str">
        <f t="shared" si="6"/>
        <v/>
      </c>
      <c r="AC56">
        <f t="shared" si="7"/>
        <v>0</v>
      </c>
    </row>
    <row r="57" spans="2:29" x14ac:dyDescent="0.3">
      <c r="B57">
        <v>136</v>
      </c>
      <c r="C57">
        <f>SUMIFS(INDEX(xmen[[speech]:[depicted]],,$E$2),xmen[issue],Matrix!$B57,xmen[x],Matrix!C$10,xmen[costume],C$9)</f>
        <v>0</v>
      </c>
      <c r="D57">
        <f>SUMIFS(INDEX(xmen[[speech]:[depicted]],,$E$2),xmen[issue],Matrix!$B57,xmen[x],Matrix!D$10,xmen[costume],D$9)</f>
        <v>0</v>
      </c>
      <c r="E57">
        <f>SUMIFS(INDEX(xmen[[speech]:[depicted]],,$E$2),xmen[issue],Matrix!$B57,xmen[x],Matrix!E$10,xmen[costume],E$9)</f>
        <v>0</v>
      </c>
      <c r="F57">
        <f>SUMIFS(INDEX(xmen[[speech]:[depicted]],,$E$2),xmen[issue],Matrix!$B57,xmen[x],Matrix!F$10,xmen[costume],F$9)</f>
        <v>0</v>
      </c>
      <c r="G57">
        <f>SUMIFS(INDEX(xmen[[speech]:[depicted]],,$E$2),xmen[issue],Matrix!$B57,xmen[x],Matrix!G$10,xmen[costume],G$9)</f>
        <v>0</v>
      </c>
      <c r="H57">
        <f>SUMIFS(INDEX(xmen[[speech]:[depicted]],,$E$2),xmen[issue],Matrix!$B57,xmen[x],Matrix!H$10,xmen[costume],H$9)</f>
        <v>0</v>
      </c>
      <c r="I57">
        <f>SUMIFS(INDEX(xmen[[speech]:[depicted]],,$E$2),xmen[issue],Matrix!$B57,xmen[x],Matrix!I$10,xmen[costume],I$9)</f>
        <v>0</v>
      </c>
      <c r="J57">
        <f>SUMIFS(INDEX(xmen[[speech]:[depicted]],,$E$2),xmen[issue],Matrix!$B57,xmen[x],Matrix!J$10,xmen[costume],J$9)</f>
        <v>0</v>
      </c>
      <c r="K57">
        <f>SUMIFS(INDEX(xmen[[speech]:[depicted]],,$E$2),xmen[issue],Matrix!$B57,xmen[x],Matrix!K$10,xmen[costume],K$9)</f>
        <v>0</v>
      </c>
      <c r="L57">
        <f>SUMIFS(INDEX(xmen[[speech]:[depicted]],,$E$2),xmen[issue],Matrix!$B57,xmen[x],Matrix!L$10,xmen[costume],L$9)</f>
        <v>0</v>
      </c>
      <c r="M57">
        <f t="shared" ca="1" si="1"/>
        <v>168</v>
      </c>
      <c r="O57">
        <f t="shared" ca="1" si="10"/>
        <v>158.625</v>
      </c>
      <c r="P57">
        <f t="shared" ca="1" si="11"/>
        <v>0</v>
      </c>
      <c r="Q57">
        <f t="shared" ca="1" si="11"/>
        <v>0</v>
      </c>
      <c r="R57">
        <f t="shared" ca="1" si="11"/>
        <v>0</v>
      </c>
      <c r="S57">
        <f t="shared" ca="1" si="11"/>
        <v>0</v>
      </c>
      <c r="T57">
        <f t="shared" ca="1" si="11"/>
        <v>0</v>
      </c>
      <c r="U57">
        <f t="shared" ca="1" si="11"/>
        <v>0</v>
      </c>
      <c r="V57">
        <f t="shared" ca="1" si="11"/>
        <v>0</v>
      </c>
      <c r="W57">
        <f t="shared" ca="1" si="11"/>
        <v>0</v>
      </c>
      <c r="X57">
        <f t="shared" ca="1" si="11"/>
        <v>0</v>
      </c>
      <c r="Y57">
        <f t="shared" ca="1" si="11"/>
        <v>1.25</v>
      </c>
      <c r="Z57">
        <f t="shared" ca="1" si="4"/>
        <v>159.875</v>
      </c>
      <c r="AA57" t="e">
        <f t="shared" si="5"/>
        <v>#N/A</v>
      </c>
      <c r="AB57" t="str">
        <f t="shared" si="6"/>
        <v/>
      </c>
      <c r="AC57">
        <f t="shared" si="7"/>
        <v>0</v>
      </c>
    </row>
    <row r="58" spans="2:29" x14ac:dyDescent="0.3">
      <c r="B58">
        <v>137</v>
      </c>
      <c r="C58">
        <f>SUMIFS(INDEX(xmen[[speech]:[depicted]],,$E$2),xmen[issue],Matrix!$B58,xmen[x],Matrix!C$10,xmen[costume],C$9)</f>
        <v>0</v>
      </c>
      <c r="D58">
        <f>SUMIFS(INDEX(xmen[[speech]:[depicted]],,$E$2),xmen[issue],Matrix!$B58,xmen[x],Matrix!D$10,xmen[costume],D$9)</f>
        <v>0</v>
      </c>
      <c r="E58">
        <f>SUMIFS(INDEX(xmen[[speech]:[depicted]],,$E$2),xmen[issue],Matrix!$B58,xmen[x],Matrix!E$10,xmen[costume],E$9)</f>
        <v>0</v>
      </c>
      <c r="F58">
        <f>SUMIFS(INDEX(xmen[[speech]:[depicted]],,$E$2),xmen[issue],Matrix!$B58,xmen[x],Matrix!F$10,xmen[costume],F$9)</f>
        <v>0</v>
      </c>
      <c r="G58">
        <f>SUMIFS(INDEX(xmen[[speech]:[depicted]],,$E$2),xmen[issue],Matrix!$B58,xmen[x],Matrix!G$10,xmen[costume],G$9)</f>
        <v>0</v>
      </c>
      <c r="H58">
        <f>SUMIFS(INDEX(xmen[[speech]:[depicted]],,$E$2),xmen[issue],Matrix!$B58,xmen[x],Matrix!H$10,xmen[costume],H$9)</f>
        <v>0</v>
      </c>
      <c r="I58">
        <f>SUMIFS(INDEX(xmen[[speech]:[depicted]],,$E$2),xmen[issue],Matrix!$B58,xmen[x],Matrix!I$10,xmen[costume],I$9)</f>
        <v>0</v>
      </c>
      <c r="J58">
        <f>SUMIFS(INDEX(xmen[[speech]:[depicted]],,$E$2),xmen[issue],Matrix!$B58,xmen[x],Matrix!J$10,xmen[costume],J$9)</f>
        <v>0</v>
      </c>
      <c r="K58">
        <f>SUMIFS(INDEX(xmen[[speech]:[depicted]],,$E$2),xmen[issue],Matrix!$B58,xmen[x],Matrix!K$10,xmen[costume],K$9)</f>
        <v>0</v>
      </c>
      <c r="L58">
        <f>SUMIFS(INDEX(xmen[[speech]:[depicted]],,$E$2),xmen[issue],Matrix!$B58,xmen[x],Matrix!L$10,xmen[costume],L$9)</f>
        <v>10</v>
      </c>
      <c r="M58">
        <f t="shared" ca="1" si="1"/>
        <v>140</v>
      </c>
      <c r="O58">
        <f t="shared" ca="1" si="10"/>
        <v>158.375</v>
      </c>
      <c r="P58">
        <f t="shared" ca="1" si="11"/>
        <v>0</v>
      </c>
      <c r="Q58">
        <f t="shared" ca="1" si="11"/>
        <v>0</v>
      </c>
      <c r="R58">
        <f t="shared" ca="1" si="11"/>
        <v>0</v>
      </c>
      <c r="S58">
        <f t="shared" ca="1" si="11"/>
        <v>0</v>
      </c>
      <c r="T58">
        <f t="shared" ca="1" si="11"/>
        <v>0</v>
      </c>
      <c r="U58">
        <f t="shared" ca="1" si="11"/>
        <v>0</v>
      </c>
      <c r="V58">
        <f t="shared" ca="1" si="11"/>
        <v>0</v>
      </c>
      <c r="W58">
        <f t="shared" ca="1" si="11"/>
        <v>0</v>
      </c>
      <c r="X58">
        <f t="shared" ca="1" si="11"/>
        <v>0</v>
      </c>
      <c r="Y58">
        <f t="shared" ca="1" si="11"/>
        <v>1.25</v>
      </c>
      <c r="Z58">
        <f t="shared" ca="1" si="4"/>
        <v>159.625</v>
      </c>
      <c r="AA58" t="e">
        <f t="shared" si="5"/>
        <v>#N/A</v>
      </c>
      <c r="AB58" t="str">
        <f t="shared" si="6"/>
        <v/>
      </c>
      <c r="AC58">
        <f t="shared" si="7"/>
        <v>0</v>
      </c>
    </row>
    <row r="59" spans="2:29" x14ac:dyDescent="0.3">
      <c r="B59">
        <v>138</v>
      </c>
      <c r="C59">
        <f>SUMIFS(INDEX(xmen[[speech]:[depicted]],,$E$2),xmen[issue],Matrix!$B59,xmen[x],Matrix!C$10,xmen[costume],C$9)</f>
        <v>0</v>
      </c>
      <c r="D59">
        <f>SUMIFS(INDEX(xmen[[speech]:[depicted]],,$E$2),xmen[issue],Matrix!$B59,xmen[x],Matrix!D$10,xmen[costume],D$9)</f>
        <v>0</v>
      </c>
      <c r="E59">
        <f>SUMIFS(INDEX(xmen[[speech]:[depicted]],,$E$2),xmen[issue],Matrix!$B59,xmen[x],Matrix!E$10,xmen[costume],E$9)</f>
        <v>0</v>
      </c>
      <c r="F59">
        <f>SUMIFS(INDEX(xmen[[speech]:[depicted]],,$E$2),xmen[issue],Matrix!$B59,xmen[x],Matrix!F$10,xmen[costume],F$9)</f>
        <v>0</v>
      </c>
      <c r="G59">
        <f>SUMIFS(INDEX(xmen[[speech]:[depicted]],,$E$2),xmen[issue],Matrix!$B59,xmen[x],Matrix!G$10,xmen[costume],G$9)</f>
        <v>0</v>
      </c>
      <c r="H59">
        <f>SUMIFS(INDEX(xmen[[speech]:[depicted]],,$E$2),xmen[issue],Matrix!$B59,xmen[x],Matrix!H$10,xmen[costume],H$9)</f>
        <v>0</v>
      </c>
      <c r="I59">
        <f>SUMIFS(INDEX(xmen[[speech]:[depicted]],,$E$2),xmen[issue],Matrix!$B59,xmen[x],Matrix!I$10,xmen[costume],I$9)</f>
        <v>0</v>
      </c>
      <c r="J59">
        <f>SUMIFS(INDEX(xmen[[speech]:[depicted]],,$E$2),xmen[issue],Matrix!$B59,xmen[x],Matrix!J$10,xmen[costume],J$9)</f>
        <v>0</v>
      </c>
      <c r="K59">
        <f>SUMIFS(INDEX(xmen[[speech]:[depicted]],,$E$2),xmen[issue],Matrix!$B59,xmen[x],Matrix!K$10,xmen[costume],K$9)</f>
        <v>0</v>
      </c>
      <c r="L59">
        <f>SUMIFS(INDEX(xmen[[speech]:[depicted]],,$E$2),xmen[issue],Matrix!$B59,xmen[x],Matrix!L$10,xmen[costume],L$9)</f>
        <v>0</v>
      </c>
      <c r="M59">
        <f t="shared" ca="1" si="1"/>
        <v>170</v>
      </c>
      <c r="O59">
        <f t="shared" ca="1" si="10"/>
        <v>160.375</v>
      </c>
      <c r="P59">
        <f t="shared" ca="1" si="11"/>
        <v>0</v>
      </c>
      <c r="Q59">
        <f t="shared" ca="1" si="11"/>
        <v>0</v>
      </c>
      <c r="R59">
        <f t="shared" ca="1" si="11"/>
        <v>0</v>
      </c>
      <c r="S59">
        <f t="shared" ca="1" si="11"/>
        <v>0</v>
      </c>
      <c r="T59">
        <f t="shared" ca="1" si="11"/>
        <v>0</v>
      </c>
      <c r="U59">
        <f t="shared" ca="1" si="11"/>
        <v>0</v>
      </c>
      <c r="V59">
        <f t="shared" ca="1" si="11"/>
        <v>0</v>
      </c>
      <c r="W59">
        <f t="shared" ca="1" si="11"/>
        <v>0</v>
      </c>
      <c r="X59">
        <f t="shared" ca="1" si="11"/>
        <v>0</v>
      </c>
      <c r="Y59">
        <f t="shared" ca="1" si="11"/>
        <v>1.25</v>
      </c>
      <c r="Z59">
        <f t="shared" ca="1" si="4"/>
        <v>161.625</v>
      </c>
      <c r="AA59" t="e">
        <f t="shared" si="5"/>
        <v>#N/A</v>
      </c>
      <c r="AB59" t="str">
        <f t="shared" si="6"/>
        <v/>
      </c>
      <c r="AC59">
        <f t="shared" si="7"/>
        <v>0</v>
      </c>
    </row>
    <row r="60" spans="2:29" x14ac:dyDescent="0.3">
      <c r="B60">
        <v>139</v>
      </c>
      <c r="C60">
        <f>SUMIFS(INDEX(xmen[[speech]:[depicted]],,$E$2),xmen[issue],Matrix!$B60,xmen[x],Matrix!C$10,xmen[costume],C$9)</f>
        <v>0</v>
      </c>
      <c r="D60">
        <f>SUMIFS(INDEX(xmen[[speech]:[depicted]],,$E$2),xmen[issue],Matrix!$B60,xmen[x],Matrix!D$10,xmen[costume],D$9)</f>
        <v>0</v>
      </c>
      <c r="E60">
        <f>SUMIFS(INDEX(xmen[[speech]:[depicted]],,$E$2),xmen[issue],Matrix!$B60,xmen[x],Matrix!E$10,xmen[costume],E$9)</f>
        <v>0</v>
      </c>
      <c r="F60">
        <f>SUMIFS(INDEX(xmen[[speech]:[depicted]],,$E$2),xmen[issue],Matrix!$B60,xmen[x],Matrix!F$10,xmen[costume],F$9)</f>
        <v>0</v>
      </c>
      <c r="G60">
        <f>SUMIFS(INDEX(xmen[[speech]:[depicted]],,$E$2),xmen[issue],Matrix!$B60,xmen[x],Matrix!G$10,xmen[costume],G$9)</f>
        <v>0</v>
      </c>
      <c r="H60">
        <f>SUMIFS(INDEX(xmen[[speech]:[depicted]],,$E$2),xmen[issue],Matrix!$B60,xmen[x],Matrix!H$10,xmen[costume],H$9)</f>
        <v>0</v>
      </c>
      <c r="I60">
        <f>SUMIFS(INDEX(xmen[[speech]:[depicted]],,$E$2),xmen[issue],Matrix!$B60,xmen[x],Matrix!I$10,xmen[costume],I$9)</f>
        <v>0</v>
      </c>
      <c r="J60">
        <f>SUMIFS(INDEX(xmen[[speech]:[depicted]],,$E$2),xmen[issue],Matrix!$B60,xmen[x],Matrix!J$10,xmen[costume],J$9)</f>
        <v>0</v>
      </c>
      <c r="K60">
        <f>SUMIFS(INDEX(xmen[[speech]:[depicted]],,$E$2),xmen[issue],Matrix!$B60,xmen[x],Matrix!K$10,xmen[costume],K$9)</f>
        <v>0</v>
      </c>
      <c r="L60">
        <f>SUMIFS(INDEX(xmen[[speech]:[depicted]],,$E$2),xmen[issue],Matrix!$B60,xmen[x],Matrix!L$10,xmen[costume],L$9)</f>
        <v>0</v>
      </c>
      <c r="M60">
        <f t="shared" ca="1" si="1"/>
        <v>146</v>
      </c>
      <c r="O60">
        <f t="shared" ca="1" si="10"/>
        <v>159.5</v>
      </c>
      <c r="P60">
        <f t="shared" ca="1" si="11"/>
        <v>0</v>
      </c>
      <c r="Q60">
        <f t="shared" ca="1" si="11"/>
        <v>0</v>
      </c>
      <c r="R60">
        <f t="shared" ca="1" si="11"/>
        <v>0</v>
      </c>
      <c r="S60">
        <f t="shared" ca="1" si="11"/>
        <v>0</v>
      </c>
      <c r="T60">
        <f t="shared" ca="1" si="11"/>
        <v>0</v>
      </c>
      <c r="U60">
        <f t="shared" ca="1" si="11"/>
        <v>0</v>
      </c>
      <c r="V60">
        <f t="shared" ca="1" si="11"/>
        <v>0</v>
      </c>
      <c r="W60">
        <f t="shared" ca="1" si="11"/>
        <v>0</v>
      </c>
      <c r="X60">
        <f t="shared" ca="1" si="11"/>
        <v>0</v>
      </c>
      <c r="Y60">
        <f t="shared" ca="1" si="11"/>
        <v>1.25</v>
      </c>
      <c r="Z60">
        <f t="shared" ca="1" si="4"/>
        <v>160.75</v>
      </c>
      <c r="AA60" t="e">
        <f t="shared" si="5"/>
        <v>#N/A</v>
      </c>
      <c r="AB60" t="str">
        <f t="shared" si="6"/>
        <v/>
      </c>
      <c r="AC60">
        <f t="shared" si="7"/>
        <v>0</v>
      </c>
    </row>
    <row r="61" spans="2:29" x14ac:dyDescent="0.3">
      <c r="B61">
        <v>140</v>
      </c>
      <c r="C61">
        <f>SUMIFS(INDEX(xmen[[speech]:[depicted]],,$E$2),xmen[issue],Matrix!$B61,xmen[x],Matrix!C$10,xmen[costume],C$9)</f>
        <v>0</v>
      </c>
      <c r="D61">
        <f>SUMIFS(INDEX(xmen[[speech]:[depicted]],,$E$2),xmen[issue],Matrix!$B61,xmen[x],Matrix!D$10,xmen[costume],D$9)</f>
        <v>0</v>
      </c>
      <c r="E61">
        <f>SUMIFS(INDEX(xmen[[speech]:[depicted]],,$E$2),xmen[issue],Matrix!$B61,xmen[x],Matrix!E$10,xmen[costume],E$9)</f>
        <v>0</v>
      </c>
      <c r="F61">
        <f>SUMIFS(INDEX(xmen[[speech]:[depicted]],,$E$2),xmen[issue],Matrix!$B61,xmen[x],Matrix!F$10,xmen[costume],F$9)</f>
        <v>0</v>
      </c>
      <c r="G61">
        <f>SUMIFS(INDEX(xmen[[speech]:[depicted]],,$E$2),xmen[issue],Matrix!$B61,xmen[x],Matrix!G$10,xmen[costume],G$9)</f>
        <v>0</v>
      </c>
      <c r="H61">
        <f>SUMIFS(INDEX(xmen[[speech]:[depicted]],,$E$2),xmen[issue],Matrix!$B61,xmen[x],Matrix!H$10,xmen[costume],H$9)</f>
        <v>0</v>
      </c>
      <c r="I61">
        <f>SUMIFS(INDEX(xmen[[speech]:[depicted]],,$E$2),xmen[issue],Matrix!$B61,xmen[x],Matrix!I$10,xmen[costume],I$9)</f>
        <v>0</v>
      </c>
      <c r="J61">
        <f>SUMIFS(INDEX(xmen[[speech]:[depicted]],,$E$2),xmen[issue],Matrix!$B61,xmen[x],Matrix!J$10,xmen[costume],J$9)</f>
        <v>0</v>
      </c>
      <c r="K61">
        <f>SUMIFS(INDEX(xmen[[speech]:[depicted]],,$E$2),xmen[issue],Matrix!$B61,xmen[x],Matrix!K$10,xmen[costume],K$9)</f>
        <v>0</v>
      </c>
      <c r="L61">
        <f>SUMIFS(INDEX(xmen[[speech]:[depicted]],,$E$2),xmen[issue],Matrix!$B61,xmen[x],Matrix!L$10,xmen[costume],L$9)</f>
        <v>0</v>
      </c>
      <c r="M61">
        <f t="shared" ca="1" si="1"/>
        <v>172</v>
      </c>
      <c r="O61">
        <f t="shared" ca="1" si="10"/>
        <v>158.125</v>
      </c>
      <c r="P61">
        <f t="shared" ca="1" si="11"/>
        <v>0</v>
      </c>
      <c r="Q61">
        <f t="shared" ca="1" si="11"/>
        <v>0</v>
      </c>
      <c r="R61">
        <f t="shared" ca="1" si="11"/>
        <v>0</v>
      </c>
      <c r="S61">
        <f t="shared" ca="1" si="11"/>
        <v>0</v>
      </c>
      <c r="T61">
        <f t="shared" ca="1" si="11"/>
        <v>0</v>
      </c>
      <c r="U61">
        <f t="shared" ca="1" si="11"/>
        <v>0</v>
      </c>
      <c r="V61">
        <f t="shared" ca="1" si="11"/>
        <v>0</v>
      </c>
      <c r="W61">
        <f t="shared" ca="1" si="11"/>
        <v>0</v>
      </c>
      <c r="X61">
        <f t="shared" ca="1" si="11"/>
        <v>0</v>
      </c>
      <c r="Y61">
        <f t="shared" ca="1" si="11"/>
        <v>1.25</v>
      </c>
      <c r="Z61">
        <f t="shared" ca="1" si="4"/>
        <v>159.375</v>
      </c>
      <c r="AA61" t="e">
        <f t="shared" si="5"/>
        <v>#N/A</v>
      </c>
      <c r="AB61" t="str">
        <f t="shared" si="6"/>
        <v/>
      </c>
      <c r="AC61">
        <f t="shared" si="7"/>
        <v>0</v>
      </c>
    </row>
    <row r="62" spans="2:29" x14ac:dyDescent="0.3">
      <c r="B62">
        <v>141</v>
      </c>
      <c r="C62">
        <f>SUMIFS(INDEX(xmen[[speech]:[depicted]],,$E$2),xmen[issue],Matrix!$B62,xmen[x],Matrix!C$10,xmen[costume],C$9)</f>
        <v>0</v>
      </c>
      <c r="D62">
        <f>SUMIFS(INDEX(xmen[[speech]:[depicted]],,$E$2),xmen[issue],Matrix!$B62,xmen[x],Matrix!D$10,xmen[costume],D$9)</f>
        <v>0</v>
      </c>
      <c r="E62">
        <f>SUMIFS(INDEX(xmen[[speech]:[depicted]],,$E$2),xmen[issue],Matrix!$B62,xmen[x],Matrix!E$10,xmen[costume],E$9)</f>
        <v>0</v>
      </c>
      <c r="F62">
        <f>SUMIFS(INDEX(xmen[[speech]:[depicted]],,$E$2),xmen[issue],Matrix!$B62,xmen[x],Matrix!F$10,xmen[costume],F$9)</f>
        <v>0</v>
      </c>
      <c r="G62">
        <f>SUMIFS(INDEX(xmen[[speech]:[depicted]],,$E$2),xmen[issue],Matrix!$B62,xmen[x],Matrix!G$10,xmen[costume],G$9)</f>
        <v>0</v>
      </c>
      <c r="H62">
        <f>SUMIFS(INDEX(xmen[[speech]:[depicted]],,$E$2),xmen[issue],Matrix!$B62,xmen[x],Matrix!H$10,xmen[costume],H$9)</f>
        <v>0</v>
      </c>
      <c r="I62">
        <f>SUMIFS(INDEX(xmen[[speech]:[depicted]],,$E$2),xmen[issue],Matrix!$B62,xmen[x],Matrix!I$10,xmen[costume],I$9)</f>
        <v>0</v>
      </c>
      <c r="J62">
        <f>SUMIFS(INDEX(xmen[[speech]:[depicted]],,$E$2),xmen[issue],Matrix!$B62,xmen[x],Matrix!J$10,xmen[costume],J$9)</f>
        <v>0</v>
      </c>
      <c r="K62">
        <f>SUMIFS(INDEX(xmen[[speech]:[depicted]],,$E$2),xmen[issue],Matrix!$B62,xmen[x],Matrix!K$10,xmen[costume],K$9)</f>
        <v>0</v>
      </c>
      <c r="L62">
        <f>SUMIFS(INDEX(xmen[[speech]:[depicted]],,$E$2),xmen[issue],Matrix!$B62,xmen[x],Matrix!L$10,xmen[costume],L$9)</f>
        <v>0</v>
      </c>
      <c r="M62">
        <f t="shared" ca="1" si="1"/>
        <v>168</v>
      </c>
      <c r="O62">
        <f t="shared" ca="1" si="10"/>
        <v>156.5</v>
      </c>
      <c r="P62">
        <f t="shared" ca="1" si="11"/>
        <v>0</v>
      </c>
      <c r="Q62">
        <f t="shared" ca="1" si="11"/>
        <v>0</v>
      </c>
      <c r="R62">
        <f t="shared" ca="1" si="11"/>
        <v>0</v>
      </c>
      <c r="S62">
        <f t="shared" ca="1" si="11"/>
        <v>0</v>
      </c>
      <c r="T62">
        <f t="shared" ca="1" si="11"/>
        <v>0</v>
      </c>
      <c r="U62">
        <f t="shared" ca="1" si="11"/>
        <v>0</v>
      </c>
      <c r="V62">
        <f t="shared" ca="1" si="11"/>
        <v>0</v>
      </c>
      <c r="W62">
        <f t="shared" ca="1" si="11"/>
        <v>0</v>
      </c>
      <c r="X62">
        <f t="shared" ca="1" si="11"/>
        <v>0</v>
      </c>
      <c r="Y62">
        <f t="shared" ca="1" si="11"/>
        <v>1.25</v>
      </c>
      <c r="Z62">
        <f t="shared" ca="1" si="4"/>
        <v>157.75</v>
      </c>
      <c r="AA62" t="e">
        <f t="shared" si="5"/>
        <v>#N/A</v>
      </c>
      <c r="AB62" t="str">
        <f t="shared" si="6"/>
        <v/>
      </c>
      <c r="AC62">
        <f t="shared" si="7"/>
        <v>0</v>
      </c>
    </row>
    <row r="63" spans="2:29" x14ac:dyDescent="0.3">
      <c r="B63">
        <v>142</v>
      </c>
      <c r="C63">
        <f>SUMIFS(INDEX(xmen[[speech]:[depicted]],,$E$2),xmen[issue],Matrix!$B63,xmen[x],Matrix!C$10,xmen[costume],C$9)</f>
        <v>0</v>
      </c>
      <c r="D63">
        <f>SUMIFS(INDEX(xmen[[speech]:[depicted]],,$E$2),xmen[issue],Matrix!$B63,xmen[x],Matrix!D$10,xmen[costume],D$9)</f>
        <v>0</v>
      </c>
      <c r="E63">
        <f>SUMIFS(INDEX(xmen[[speech]:[depicted]],,$E$2),xmen[issue],Matrix!$B63,xmen[x],Matrix!E$10,xmen[costume],E$9)</f>
        <v>0</v>
      </c>
      <c r="F63">
        <f>SUMIFS(INDEX(xmen[[speech]:[depicted]],,$E$2),xmen[issue],Matrix!$B63,xmen[x],Matrix!F$10,xmen[costume],F$9)</f>
        <v>0</v>
      </c>
      <c r="G63">
        <f>SUMIFS(INDEX(xmen[[speech]:[depicted]],,$E$2),xmen[issue],Matrix!$B63,xmen[x],Matrix!G$10,xmen[costume],G$9)</f>
        <v>0</v>
      </c>
      <c r="H63">
        <f>SUMIFS(INDEX(xmen[[speech]:[depicted]],,$E$2),xmen[issue],Matrix!$B63,xmen[x],Matrix!H$10,xmen[costume],H$9)</f>
        <v>0</v>
      </c>
      <c r="I63">
        <f>SUMIFS(INDEX(xmen[[speech]:[depicted]],,$E$2),xmen[issue],Matrix!$B63,xmen[x],Matrix!I$10,xmen[costume],I$9)</f>
        <v>0</v>
      </c>
      <c r="J63">
        <f>SUMIFS(INDEX(xmen[[speech]:[depicted]],,$E$2),xmen[issue],Matrix!$B63,xmen[x],Matrix!J$10,xmen[costume],J$9)</f>
        <v>0</v>
      </c>
      <c r="K63">
        <f>SUMIFS(INDEX(xmen[[speech]:[depicted]],,$E$2),xmen[issue],Matrix!$B63,xmen[x],Matrix!K$10,xmen[costume],K$9)</f>
        <v>0</v>
      </c>
      <c r="L63">
        <f>SUMIFS(INDEX(xmen[[speech]:[depicted]],,$E$2),xmen[issue],Matrix!$B63,xmen[x],Matrix!L$10,xmen[costume],L$9)</f>
        <v>0</v>
      </c>
      <c r="M63">
        <f t="shared" ca="1" si="1"/>
        <v>154</v>
      </c>
      <c r="O63">
        <f t="shared" ca="1" si="10"/>
        <v>160.75</v>
      </c>
      <c r="P63">
        <f t="shared" ref="P63:Y75" ca="1" si="12">AVERAGE(OFFSET(INDEX($C63:$M63,P$9),-$P$3,,$P$2,1))</f>
        <v>0</v>
      </c>
      <c r="Q63">
        <f t="shared" ca="1" si="12"/>
        <v>0</v>
      </c>
      <c r="R63">
        <f t="shared" ca="1" si="12"/>
        <v>0</v>
      </c>
      <c r="S63">
        <f t="shared" ca="1" si="12"/>
        <v>0</v>
      </c>
      <c r="T63">
        <f t="shared" ca="1" si="12"/>
        <v>0</v>
      </c>
      <c r="U63">
        <f t="shared" ca="1" si="12"/>
        <v>0</v>
      </c>
      <c r="V63">
        <f t="shared" ca="1" si="12"/>
        <v>0</v>
      </c>
      <c r="W63">
        <f t="shared" ca="1" si="12"/>
        <v>0</v>
      </c>
      <c r="X63">
        <f t="shared" ca="1" si="12"/>
        <v>0</v>
      </c>
      <c r="Y63">
        <f t="shared" ca="1" si="12"/>
        <v>0</v>
      </c>
      <c r="Z63">
        <f t="shared" ca="1" si="4"/>
        <v>160.75</v>
      </c>
      <c r="AA63" t="e">
        <f t="shared" si="5"/>
        <v>#N/A</v>
      </c>
      <c r="AB63" t="str">
        <f t="shared" si="6"/>
        <v/>
      </c>
      <c r="AC63">
        <f t="shared" si="7"/>
        <v>0</v>
      </c>
    </row>
    <row r="64" spans="2:29" x14ac:dyDescent="0.3">
      <c r="B64">
        <v>143</v>
      </c>
      <c r="C64">
        <f>SUMIFS(INDEX(xmen[[speech]:[depicted]],,$E$2),xmen[issue],Matrix!$B64,xmen[x],Matrix!C$10,xmen[costume],C$9)</f>
        <v>0</v>
      </c>
      <c r="D64">
        <f>SUMIFS(INDEX(xmen[[speech]:[depicted]],,$E$2),xmen[issue],Matrix!$B64,xmen[x],Matrix!D$10,xmen[costume],D$9)</f>
        <v>0</v>
      </c>
      <c r="E64">
        <f>SUMIFS(INDEX(xmen[[speech]:[depicted]],,$E$2),xmen[issue],Matrix!$B64,xmen[x],Matrix!E$10,xmen[costume],E$9)</f>
        <v>0</v>
      </c>
      <c r="F64">
        <f>SUMIFS(INDEX(xmen[[speech]:[depicted]],,$E$2),xmen[issue],Matrix!$B64,xmen[x],Matrix!F$10,xmen[costume],F$9)</f>
        <v>0</v>
      </c>
      <c r="G64">
        <f>SUMIFS(INDEX(xmen[[speech]:[depicted]],,$E$2),xmen[issue],Matrix!$B64,xmen[x],Matrix!G$10,xmen[costume],G$9)</f>
        <v>0</v>
      </c>
      <c r="H64">
        <f>SUMIFS(INDEX(xmen[[speech]:[depicted]],,$E$2),xmen[issue],Matrix!$B64,xmen[x],Matrix!H$10,xmen[costume],H$9)</f>
        <v>0</v>
      </c>
      <c r="I64">
        <f>SUMIFS(INDEX(xmen[[speech]:[depicted]],,$E$2),xmen[issue],Matrix!$B64,xmen[x],Matrix!I$10,xmen[costume],I$9)</f>
        <v>0</v>
      </c>
      <c r="J64">
        <f>SUMIFS(INDEX(xmen[[speech]:[depicted]],,$E$2),xmen[issue],Matrix!$B64,xmen[x],Matrix!J$10,xmen[costume],J$9)</f>
        <v>0</v>
      </c>
      <c r="K64">
        <f>SUMIFS(INDEX(xmen[[speech]:[depicted]],,$E$2),xmen[issue],Matrix!$B64,xmen[x],Matrix!K$10,xmen[costume],K$9)</f>
        <v>0</v>
      </c>
      <c r="L64">
        <f>SUMIFS(INDEX(xmen[[speech]:[depicted]],,$E$2),xmen[issue],Matrix!$B64,xmen[x],Matrix!L$10,xmen[costume],L$9)</f>
        <v>0</v>
      </c>
      <c r="M64">
        <f t="shared" ca="1" si="1"/>
        <v>147</v>
      </c>
      <c r="O64">
        <f t="shared" ca="1" si="10"/>
        <v>161.375</v>
      </c>
      <c r="P64">
        <f t="shared" ca="1" si="12"/>
        <v>0</v>
      </c>
      <c r="Q64">
        <f t="shared" ca="1" si="12"/>
        <v>0</v>
      </c>
      <c r="R64">
        <f t="shared" ca="1" si="12"/>
        <v>0</v>
      </c>
      <c r="S64">
        <f t="shared" ca="1" si="12"/>
        <v>0</v>
      </c>
      <c r="T64">
        <f t="shared" ca="1" si="12"/>
        <v>0</v>
      </c>
      <c r="U64">
        <f t="shared" ca="1" si="12"/>
        <v>0</v>
      </c>
      <c r="V64">
        <f t="shared" ca="1" si="12"/>
        <v>0</v>
      </c>
      <c r="W64">
        <f t="shared" ca="1" si="12"/>
        <v>0</v>
      </c>
      <c r="X64">
        <f t="shared" ca="1" si="12"/>
        <v>0</v>
      </c>
      <c r="Y64">
        <f t="shared" ca="1" si="12"/>
        <v>0</v>
      </c>
      <c r="Z64">
        <f t="shared" ca="1" si="4"/>
        <v>161.375</v>
      </c>
      <c r="AA64" t="e">
        <f t="shared" si="5"/>
        <v>#N/A</v>
      </c>
      <c r="AB64" t="str">
        <f t="shared" si="6"/>
        <v/>
      </c>
      <c r="AC64">
        <f t="shared" si="7"/>
        <v>0</v>
      </c>
    </row>
    <row r="65" spans="2:29" x14ac:dyDescent="0.3">
      <c r="B65">
        <v>144</v>
      </c>
      <c r="C65">
        <f>SUMIFS(INDEX(xmen[[speech]:[depicted]],,$E$2),xmen[issue],Matrix!$B65,xmen[x],Matrix!C$10,xmen[costume],C$9)</f>
        <v>0</v>
      </c>
      <c r="D65">
        <f>SUMIFS(INDEX(xmen[[speech]:[depicted]],,$E$2),xmen[issue],Matrix!$B65,xmen[x],Matrix!D$10,xmen[costume],D$9)</f>
        <v>0</v>
      </c>
      <c r="E65">
        <f>SUMIFS(INDEX(xmen[[speech]:[depicted]],,$E$2),xmen[issue],Matrix!$B65,xmen[x],Matrix!E$10,xmen[costume],E$9)</f>
        <v>0</v>
      </c>
      <c r="F65">
        <f>SUMIFS(INDEX(xmen[[speech]:[depicted]],,$E$2),xmen[issue],Matrix!$B65,xmen[x],Matrix!F$10,xmen[costume],F$9)</f>
        <v>0</v>
      </c>
      <c r="G65">
        <f>SUMIFS(INDEX(xmen[[speech]:[depicted]],,$E$2),xmen[issue],Matrix!$B65,xmen[x],Matrix!G$10,xmen[costume],G$9)</f>
        <v>0</v>
      </c>
      <c r="H65">
        <f>SUMIFS(INDEX(xmen[[speech]:[depicted]],,$E$2),xmen[issue],Matrix!$B65,xmen[x],Matrix!H$10,xmen[costume],H$9)</f>
        <v>0</v>
      </c>
      <c r="I65">
        <f>SUMIFS(INDEX(xmen[[speech]:[depicted]],,$E$2),xmen[issue],Matrix!$B65,xmen[x],Matrix!I$10,xmen[costume],I$9)</f>
        <v>0</v>
      </c>
      <c r="J65">
        <f>SUMIFS(INDEX(xmen[[speech]:[depicted]],,$E$2),xmen[issue],Matrix!$B65,xmen[x],Matrix!J$10,xmen[costume],J$9)</f>
        <v>0</v>
      </c>
      <c r="K65">
        <f>SUMIFS(INDEX(xmen[[speech]:[depicted]],,$E$2),xmen[issue],Matrix!$B65,xmen[x],Matrix!K$10,xmen[costume],K$9)</f>
        <v>0</v>
      </c>
      <c r="L65">
        <f>SUMIFS(INDEX(xmen[[speech]:[depicted]],,$E$2),xmen[issue],Matrix!$B65,xmen[x],Matrix!L$10,xmen[costume],L$9)</f>
        <v>0</v>
      </c>
      <c r="M65">
        <f t="shared" ca="1" si="1"/>
        <v>155</v>
      </c>
      <c r="O65">
        <f t="shared" ca="1" si="10"/>
        <v>163.25</v>
      </c>
      <c r="P65">
        <f t="shared" ca="1" si="12"/>
        <v>0</v>
      </c>
      <c r="Q65">
        <f t="shared" ca="1" si="12"/>
        <v>0</v>
      </c>
      <c r="R65">
        <f t="shared" ca="1" si="12"/>
        <v>0</v>
      </c>
      <c r="S65">
        <f t="shared" ca="1" si="12"/>
        <v>0</v>
      </c>
      <c r="T65">
        <f t="shared" ca="1" si="12"/>
        <v>0</v>
      </c>
      <c r="U65">
        <f t="shared" ca="1" si="12"/>
        <v>0</v>
      </c>
      <c r="V65">
        <f t="shared" ca="1" si="12"/>
        <v>0</v>
      </c>
      <c r="W65">
        <f t="shared" ca="1" si="12"/>
        <v>0</v>
      </c>
      <c r="X65">
        <f t="shared" ca="1" si="12"/>
        <v>0</v>
      </c>
      <c r="Y65">
        <f t="shared" ca="1" si="12"/>
        <v>0</v>
      </c>
      <c r="Z65">
        <f t="shared" ca="1" si="4"/>
        <v>163.25</v>
      </c>
      <c r="AA65" t="e">
        <f t="shared" si="5"/>
        <v>#N/A</v>
      </c>
      <c r="AB65" t="str">
        <f t="shared" si="6"/>
        <v/>
      </c>
      <c r="AC65">
        <f t="shared" si="7"/>
        <v>0</v>
      </c>
    </row>
    <row r="66" spans="2:29" x14ac:dyDescent="0.3">
      <c r="B66">
        <v>145</v>
      </c>
      <c r="C66">
        <f>SUMIFS(INDEX(xmen[[speech]:[depicted]],,$E$2),xmen[issue],Matrix!$B66,xmen[x],Matrix!C$10,xmen[costume],C$9)</f>
        <v>0</v>
      </c>
      <c r="D66">
        <f>SUMIFS(INDEX(xmen[[speech]:[depicted]],,$E$2),xmen[issue],Matrix!$B66,xmen[x],Matrix!D$10,xmen[costume],D$9)</f>
        <v>0</v>
      </c>
      <c r="E66">
        <f>SUMIFS(INDEX(xmen[[speech]:[depicted]],,$E$2),xmen[issue],Matrix!$B66,xmen[x],Matrix!E$10,xmen[costume],E$9)</f>
        <v>0</v>
      </c>
      <c r="F66">
        <f>SUMIFS(INDEX(xmen[[speech]:[depicted]],,$E$2),xmen[issue],Matrix!$B66,xmen[x],Matrix!F$10,xmen[costume],F$9)</f>
        <v>0</v>
      </c>
      <c r="G66">
        <f>SUMIFS(INDEX(xmen[[speech]:[depicted]],,$E$2),xmen[issue],Matrix!$B66,xmen[x],Matrix!G$10,xmen[costume],G$9)</f>
        <v>0</v>
      </c>
      <c r="H66">
        <f>SUMIFS(INDEX(xmen[[speech]:[depicted]],,$E$2),xmen[issue],Matrix!$B66,xmen[x],Matrix!H$10,xmen[costume],H$9)</f>
        <v>0</v>
      </c>
      <c r="I66">
        <f>SUMIFS(INDEX(xmen[[speech]:[depicted]],,$E$2),xmen[issue],Matrix!$B66,xmen[x],Matrix!I$10,xmen[costume],I$9)</f>
        <v>0</v>
      </c>
      <c r="J66">
        <f>SUMIFS(INDEX(xmen[[speech]:[depicted]],,$E$2),xmen[issue],Matrix!$B66,xmen[x],Matrix!J$10,xmen[costume],J$9)</f>
        <v>0</v>
      </c>
      <c r="K66">
        <f>SUMIFS(INDEX(xmen[[speech]:[depicted]],,$E$2),xmen[issue],Matrix!$B66,xmen[x],Matrix!K$10,xmen[costume],K$9)</f>
        <v>0</v>
      </c>
      <c r="L66">
        <f>SUMIFS(INDEX(xmen[[speech]:[depicted]],,$E$2),xmen[issue],Matrix!$B66,xmen[x],Matrix!L$10,xmen[costume],L$9)</f>
        <v>0</v>
      </c>
      <c r="M66">
        <f t="shared" ca="1" si="1"/>
        <v>174</v>
      </c>
      <c r="O66">
        <f t="shared" ca="1" si="10"/>
        <v>161.875</v>
      </c>
      <c r="P66">
        <f t="shared" ca="1" si="12"/>
        <v>0</v>
      </c>
      <c r="Q66">
        <f t="shared" ca="1" si="12"/>
        <v>0</v>
      </c>
      <c r="R66">
        <f t="shared" ca="1" si="12"/>
        <v>0</v>
      </c>
      <c r="S66">
        <f t="shared" ca="1" si="12"/>
        <v>0</v>
      </c>
      <c r="T66">
        <f t="shared" ca="1" si="12"/>
        <v>0</v>
      </c>
      <c r="U66">
        <f t="shared" ca="1" si="12"/>
        <v>0</v>
      </c>
      <c r="V66">
        <f t="shared" ca="1" si="12"/>
        <v>0</v>
      </c>
      <c r="W66">
        <f t="shared" ca="1" si="12"/>
        <v>0</v>
      </c>
      <c r="X66">
        <f t="shared" ca="1" si="12"/>
        <v>0</v>
      </c>
      <c r="Y66">
        <f t="shared" ca="1" si="12"/>
        <v>0</v>
      </c>
      <c r="Z66">
        <f t="shared" ca="1" si="4"/>
        <v>161.875</v>
      </c>
      <c r="AA66" t="e">
        <f t="shared" si="5"/>
        <v>#N/A</v>
      </c>
      <c r="AB66" t="str">
        <f t="shared" si="6"/>
        <v/>
      </c>
      <c r="AC66">
        <f t="shared" si="7"/>
        <v>0</v>
      </c>
    </row>
    <row r="67" spans="2:29" x14ac:dyDescent="0.3">
      <c r="B67">
        <v>146</v>
      </c>
      <c r="C67">
        <f>SUMIFS(INDEX(xmen[[speech]:[depicted]],,$E$2),xmen[issue],Matrix!$B67,xmen[x],Matrix!C$10,xmen[costume],C$9)</f>
        <v>0</v>
      </c>
      <c r="D67">
        <f>SUMIFS(INDEX(xmen[[speech]:[depicted]],,$E$2),xmen[issue],Matrix!$B67,xmen[x],Matrix!D$10,xmen[costume],D$9)</f>
        <v>0</v>
      </c>
      <c r="E67">
        <f>SUMIFS(INDEX(xmen[[speech]:[depicted]],,$E$2),xmen[issue],Matrix!$B67,xmen[x],Matrix!E$10,xmen[costume],E$9)</f>
        <v>0</v>
      </c>
      <c r="F67">
        <f>SUMIFS(INDEX(xmen[[speech]:[depicted]],,$E$2),xmen[issue],Matrix!$B67,xmen[x],Matrix!F$10,xmen[costume],F$9)</f>
        <v>0</v>
      </c>
      <c r="G67">
        <f>SUMIFS(INDEX(xmen[[speech]:[depicted]],,$E$2),xmen[issue],Matrix!$B67,xmen[x],Matrix!G$10,xmen[costume],G$9)</f>
        <v>0</v>
      </c>
      <c r="H67">
        <f>SUMIFS(INDEX(xmen[[speech]:[depicted]],,$E$2),xmen[issue],Matrix!$B67,xmen[x],Matrix!H$10,xmen[costume],H$9)</f>
        <v>0</v>
      </c>
      <c r="I67">
        <f>SUMIFS(INDEX(xmen[[speech]:[depicted]],,$E$2),xmen[issue],Matrix!$B67,xmen[x],Matrix!I$10,xmen[costume],I$9)</f>
        <v>0</v>
      </c>
      <c r="J67">
        <f>SUMIFS(INDEX(xmen[[speech]:[depicted]],,$E$2),xmen[issue],Matrix!$B67,xmen[x],Matrix!J$10,xmen[costume],J$9)</f>
        <v>0</v>
      </c>
      <c r="K67">
        <f>SUMIFS(INDEX(xmen[[speech]:[depicted]],,$E$2),xmen[issue],Matrix!$B67,xmen[x],Matrix!K$10,xmen[costume],K$9)</f>
        <v>0</v>
      </c>
      <c r="L67">
        <f>SUMIFS(INDEX(xmen[[speech]:[depicted]],,$E$2),xmen[issue],Matrix!$B67,xmen[x],Matrix!L$10,xmen[costume],L$9)</f>
        <v>0</v>
      </c>
      <c r="M67">
        <f t="shared" ca="1" si="1"/>
        <v>175</v>
      </c>
      <c r="O67">
        <f t="shared" ca="1" si="10"/>
        <v>162.625</v>
      </c>
      <c r="P67">
        <f t="shared" ca="1" si="12"/>
        <v>0.25</v>
      </c>
      <c r="Q67">
        <f t="shared" ca="1" si="12"/>
        <v>0</v>
      </c>
      <c r="R67">
        <f t="shared" ca="1" si="12"/>
        <v>0</v>
      </c>
      <c r="S67">
        <f t="shared" ca="1" si="12"/>
        <v>0</v>
      </c>
      <c r="T67">
        <f t="shared" ca="1" si="12"/>
        <v>0</v>
      </c>
      <c r="U67">
        <f t="shared" ca="1" si="12"/>
        <v>0</v>
      </c>
      <c r="V67">
        <f t="shared" ca="1" si="12"/>
        <v>0</v>
      </c>
      <c r="W67">
        <f t="shared" ca="1" si="12"/>
        <v>0</v>
      </c>
      <c r="X67">
        <f t="shared" ca="1" si="12"/>
        <v>0</v>
      </c>
      <c r="Y67">
        <f t="shared" ca="1" si="12"/>
        <v>0</v>
      </c>
      <c r="Z67">
        <f t="shared" ca="1" si="4"/>
        <v>162.875</v>
      </c>
      <c r="AA67" t="e">
        <f t="shared" si="5"/>
        <v>#N/A</v>
      </c>
      <c r="AB67" t="str">
        <f t="shared" si="6"/>
        <v/>
      </c>
      <c r="AC67">
        <f t="shared" si="7"/>
        <v>0</v>
      </c>
    </row>
    <row r="68" spans="2:29" x14ac:dyDescent="0.3">
      <c r="B68">
        <v>147</v>
      </c>
      <c r="C68">
        <f>SUMIFS(INDEX(xmen[[speech]:[depicted]],,$E$2),xmen[issue],Matrix!$B68,xmen[x],Matrix!C$10,xmen[costume],C$9)</f>
        <v>0</v>
      </c>
      <c r="D68">
        <f>SUMIFS(INDEX(xmen[[speech]:[depicted]],,$E$2),xmen[issue],Matrix!$B68,xmen[x],Matrix!D$10,xmen[costume],D$9)</f>
        <v>0</v>
      </c>
      <c r="E68">
        <f>SUMIFS(INDEX(xmen[[speech]:[depicted]],,$E$2),xmen[issue],Matrix!$B68,xmen[x],Matrix!E$10,xmen[costume],E$9)</f>
        <v>0</v>
      </c>
      <c r="F68">
        <f>SUMIFS(INDEX(xmen[[speech]:[depicted]],,$E$2),xmen[issue],Matrix!$B68,xmen[x],Matrix!F$10,xmen[costume],F$9)</f>
        <v>0</v>
      </c>
      <c r="G68">
        <f>SUMIFS(INDEX(xmen[[speech]:[depicted]],,$E$2),xmen[issue],Matrix!$B68,xmen[x],Matrix!G$10,xmen[costume],G$9)</f>
        <v>0</v>
      </c>
      <c r="H68">
        <f>SUMIFS(INDEX(xmen[[speech]:[depicted]],,$E$2),xmen[issue],Matrix!$B68,xmen[x],Matrix!H$10,xmen[costume],H$9)</f>
        <v>0</v>
      </c>
      <c r="I68">
        <f>SUMIFS(INDEX(xmen[[speech]:[depicted]],,$E$2),xmen[issue],Matrix!$B68,xmen[x],Matrix!I$10,xmen[costume],I$9)</f>
        <v>0</v>
      </c>
      <c r="J68">
        <f>SUMIFS(INDEX(xmen[[speech]:[depicted]],,$E$2),xmen[issue],Matrix!$B68,xmen[x],Matrix!J$10,xmen[costume],J$9)</f>
        <v>0</v>
      </c>
      <c r="K68">
        <f>SUMIFS(INDEX(xmen[[speech]:[depicted]],,$E$2),xmen[issue],Matrix!$B68,xmen[x],Matrix!K$10,xmen[costume],K$9)</f>
        <v>0</v>
      </c>
      <c r="L68">
        <f>SUMIFS(INDEX(xmen[[speech]:[depicted]],,$E$2),xmen[issue],Matrix!$B68,xmen[x],Matrix!L$10,xmen[costume],L$9)</f>
        <v>0</v>
      </c>
      <c r="M68">
        <f t="shared" ca="1" si="1"/>
        <v>161</v>
      </c>
      <c r="O68">
        <f t="shared" ca="1" si="10"/>
        <v>162.875</v>
      </c>
      <c r="P68">
        <f t="shared" ca="1" si="12"/>
        <v>0.25</v>
      </c>
      <c r="Q68">
        <f t="shared" ca="1" si="12"/>
        <v>0</v>
      </c>
      <c r="R68">
        <f t="shared" ca="1" si="12"/>
        <v>0</v>
      </c>
      <c r="S68">
        <f t="shared" ca="1" si="12"/>
        <v>0</v>
      </c>
      <c r="T68">
        <f t="shared" ca="1" si="12"/>
        <v>0</v>
      </c>
      <c r="U68">
        <f t="shared" ca="1" si="12"/>
        <v>0</v>
      </c>
      <c r="V68">
        <f t="shared" ca="1" si="12"/>
        <v>0.25</v>
      </c>
      <c r="W68">
        <f t="shared" ca="1" si="12"/>
        <v>0</v>
      </c>
      <c r="X68">
        <f t="shared" ca="1" si="12"/>
        <v>0</v>
      </c>
      <c r="Y68">
        <f t="shared" ca="1" si="12"/>
        <v>0</v>
      </c>
      <c r="Z68">
        <f t="shared" ca="1" si="4"/>
        <v>163.375</v>
      </c>
      <c r="AA68" t="e">
        <f t="shared" si="5"/>
        <v>#N/A</v>
      </c>
      <c r="AB68" t="str">
        <f t="shared" si="6"/>
        <v/>
      </c>
      <c r="AC68">
        <f t="shared" si="7"/>
        <v>0</v>
      </c>
    </row>
    <row r="69" spans="2:29" x14ac:dyDescent="0.3">
      <c r="B69">
        <v>148</v>
      </c>
      <c r="C69">
        <f>SUMIFS(INDEX(xmen[[speech]:[depicted]],,$E$2),xmen[issue],Matrix!$B69,xmen[x],Matrix!C$10,xmen[costume],C$9)</f>
        <v>0</v>
      </c>
      <c r="D69">
        <f>SUMIFS(INDEX(xmen[[speech]:[depicted]],,$E$2),xmen[issue],Matrix!$B69,xmen[x],Matrix!D$10,xmen[costume],D$9)</f>
        <v>0</v>
      </c>
      <c r="E69">
        <f>SUMIFS(INDEX(xmen[[speech]:[depicted]],,$E$2),xmen[issue],Matrix!$B69,xmen[x],Matrix!E$10,xmen[costume],E$9)</f>
        <v>0</v>
      </c>
      <c r="F69">
        <f>SUMIFS(INDEX(xmen[[speech]:[depicted]],,$E$2),xmen[issue],Matrix!$B69,xmen[x],Matrix!F$10,xmen[costume],F$9)</f>
        <v>0</v>
      </c>
      <c r="G69">
        <f>SUMIFS(INDEX(xmen[[speech]:[depicted]],,$E$2),xmen[issue],Matrix!$B69,xmen[x],Matrix!G$10,xmen[costume],G$9)</f>
        <v>0</v>
      </c>
      <c r="H69">
        <f>SUMIFS(INDEX(xmen[[speech]:[depicted]],,$E$2),xmen[issue],Matrix!$B69,xmen[x],Matrix!H$10,xmen[costume],H$9)</f>
        <v>0</v>
      </c>
      <c r="I69">
        <f>SUMIFS(INDEX(xmen[[speech]:[depicted]],,$E$2),xmen[issue],Matrix!$B69,xmen[x],Matrix!I$10,xmen[costume],I$9)</f>
        <v>0</v>
      </c>
      <c r="J69">
        <f>SUMIFS(INDEX(xmen[[speech]:[depicted]],,$E$2),xmen[issue],Matrix!$B69,xmen[x],Matrix!J$10,xmen[costume],J$9)</f>
        <v>0</v>
      </c>
      <c r="K69">
        <f>SUMIFS(INDEX(xmen[[speech]:[depicted]],,$E$2),xmen[issue],Matrix!$B69,xmen[x],Matrix!K$10,xmen[costume],K$9)</f>
        <v>0</v>
      </c>
      <c r="L69">
        <f>SUMIFS(INDEX(xmen[[speech]:[depicted]],,$E$2),xmen[issue],Matrix!$B69,xmen[x],Matrix!L$10,xmen[costume],L$9)</f>
        <v>0</v>
      </c>
      <c r="M69">
        <f t="shared" ca="1" si="1"/>
        <v>161</v>
      </c>
      <c r="O69">
        <f t="shared" ca="1" si="10"/>
        <v>166.1875</v>
      </c>
      <c r="P69">
        <f t="shared" ca="1" si="12"/>
        <v>0.25</v>
      </c>
      <c r="Q69">
        <f t="shared" ca="1" si="12"/>
        <v>0.125</v>
      </c>
      <c r="R69">
        <f t="shared" ca="1" si="12"/>
        <v>0</v>
      </c>
      <c r="S69">
        <f t="shared" ca="1" si="12"/>
        <v>0</v>
      </c>
      <c r="T69">
        <f t="shared" ca="1" si="12"/>
        <v>0</v>
      </c>
      <c r="U69">
        <f t="shared" ca="1" si="12"/>
        <v>0</v>
      </c>
      <c r="V69">
        <f t="shared" ca="1" si="12"/>
        <v>0.25</v>
      </c>
      <c r="W69">
        <f t="shared" ca="1" si="12"/>
        <v>0</v>
      </c>
      <c r="X69">
        <f t="shared" ca="1" si="12"/>
        <v>0</v>
      </c>
      <c r="Y69">
        <f t="shared" ca="1" si="12"/>
        <v>0</v>
      </c>
      <c r="Z69">
        <f t="shared" ca="1" si="4"/>
        <v>166.8125</v>
      </c>
      <c r="AA69" t="e">
        <f t="shared" si="5"/>
        <v>#N/A</v>
      </c>
      <c r="AB69" t="str">
        <f t="shared" si="6"/>
        <v/>
      </c>
      <c r="AC69">
        <f t="shared" si="7"/>
        <v>0</v>
      </c>
    </row>
    <row r="70" spans="2:29" x14ac:dyDescent="0.3">
      <c r="B70">
        <v>149</v>
      </c>
      <c r="C70">
        <f>SUMIFS(INDEX(xmen[[speech]:[depicted]],,$E$2),xmen[issue],Matrix!$B70,xmen[x],Matrix!C$10,xmen[costume],C$9)</f>
        <v>0</v>
      </c>
      <c r="D70">
        <f>SUMIFS(INDEX(xmen[[speech]:[depicted]],,$E$2),xmen[issue],Matrix!$B70,xmen[x],Matrix!D$10,xmen[costume],D$9)</f>
        <v>0</v>
      </c>
      <c r="E70">
        <f>SUMIFS(INDEX(xmen[[speech]:[depicted]],,$E$2),xmen[issue],Matrix!$B70,xmen[x],Matrix!E$10,xmen[costume],E$9)</f>
        <v>0</v>
      </c>
      <c r="F70">
        <f>SUMIFS(INDEX(xmen[[speech]:[depicted]],,$E$2),xmen[issue],Matrix!$B70,xmen[x],Matrix!F$10,xmen[costume],F$9)</f>
        <v>0</v>
      </c>
      <c r="G70">
        <f>SUMIFS(INDEX(xmen[[speech]:[depicted]],,$E$2),xmen[issue],Matrix!$B70,xmen[x],Matrix!G$10,xmen[costume],G$9)</f>
        <v>0</v>
      </c>
      <c r="H70">
        <f>SUMIFS(INDEX(xmen[[speech]:[depicted]],,$E$2),xmen[issue],Matrix!$B70,xmen[x],Matrix!H$10,xmen[costume],H$9)</f>
        <v>0</v>
      </c>
      <c r="I70">
        <f>SUMIFS(INDEX(xmen[[speech]:[depicted]],,$E$2),xmen[issue],Matrix!$B70,xmen[x],Matrix!I$10,xmen[costume],I$9)</f>
        <v>2</v>
      </c>
      <c r="J70">
        <f>SUMIFS(INDEX(xmen[[speech]:[depicted]],,$E$2),xmen[issue],Matrix!$B70,xmen[x],Matrix!J$10,xmen[costume],J$9)</f>
        <v>0</v>
      </c>
      <c r="K70">
        <f>SUMIFS(INDEX(xmen[[speech]:[depicted]],,$E$2),xmen[issue],Matrix!$B70,xmen[x],Matrix!K$10,xmen[costume],K$9)</f>
        <v>0</v>
      </c>
      <c r="L70">
        <f>SUMIFS(INDEX(xmen[[speech]:[depicted]],,$E$2),xmen[issue],Matrix!$B70,xmen[x],Matrix!L$10,xmen[costume],L$9)</f>
        <v>0</v>
      </c>
      <c r="M70">
        <f t="shared" ca="1" si="1"/>
        <v>174</v>
      </c>
      <c r="O70">
        <f t="shared" ca="1" si="10"/>
        <v>165.5625</v>
      </c>
      <c r="P70">
        <f t="shared" ca="1" si="12"/>
        <v>0.25</v>
      </c>
      <c r="Q70">
        <f t="shared" ca="1" si="12"/>
        <v>0.125</v>
      </c>
      <c r="R70">
        <f t="shared" ca="1" si="12"/>
        <v>0</v>
      </c>
      <c r="S70">
        <f t="shared" ca="1" si="12"/>
        <v>0</v>
      </c>
      <c r="T70">
        <f t="shared" ca="1" si="12"/>
        <v>0</v>
      </c>
      <c r="U70">
        <f t="shared" ca="1" si="12"/>
        <v>0</v>
      </c>
      <c r="V70">
        <f t="shared" ca="1" si="12"/>
        <v>0.25</v>
      </c>
      <c r="W70">
        <f t="shared" ca="1" si="12"/>
        <v>0</v>
      </c>
      <c r="X70">
        <f t="shared" ca="1" si="12"/>
        <v>0</v>
      </c>
      <c r="Y70">
        <f t="shared" ca="1" si="12"/>
        <v>0</v>
      </c>
      <c r="Z70">
        <f t="shared" ca="1" si="4"/>
        <v>166.1875</v>
      </c>
      <c r="AA70" t="e">
        <f t="shared" si="5"/>
        <v>#N/A</v>
      </c>
      <c r="AB70" t="str">
        <f t="shared" si="6"/>
        <v/>
      </c>
      <c r="AC70">
        <f t="shared" si="7"/>
        <v>0</v>
      </c>
    </row>
    <row r="71" spans="2:29" x14ac:dyDescent="0.3">
      <c r="B71">
        <v>150</v>
      </c>
      <c r="C71">
        <f>SUMIFS(INDEX(xmen[[speech]:[depicted]],,$E$2),xmen[issue],Matrix!$B71,xmen[x],Matrix!C$10,xmen[costume],C$9)</f>
        <v>0</v>
      </c>
      <c r="D71">
        <f>SUMIFS(INDEX(xmen[[speech]:[depicted]],,$E$2),xmen[issue],Matrix!$B71,xmen[x],Matrix!D$10,xmen[costume],D$9)</f>
        <v>0</v>
      </c>
      <c r="E71">
        <f>SUMIFS(INDEX(xmen[[speech]:[depicted]],,$E$2),xmen[issue],Matrix!$B71,xmen[x],Matrix!E$10,xmen[costume],E$9)</f>
        <v>2</v>
      </c>
      <c r="F71">
        <f>SUMIFS(INDEX(xmen[[speech]:[depicted]],,$E$2),xmen[issue],Matrix!$B71,xmen[x],Matrix!F$10,xmen[costume],F$9)</f>
        <v>0</v>
      </c>
      <c r="G71">
        <f>SUMIFS(INDEX(xmen[[speech]:[depicted]],,$E$2),xmen[issue],Matrix!$B71,xmen[x],Matrix!G$10,xmen[costume],G$9)</f>
        <v>0</v>
      </c>
      <c r="H71">
        <f>SUMIFS(INDEX(xmen[[speech]:[depicted]],,$E$2),xmen[issue],Matrix!$B71,xmen[x],Matrix!H$10,xmen[costume],H$9)</f>
        <v>0</v>
      </c>
      <c r="I71">
        <f>SUMIFS(INDEX(xmen[[speech]:[depicted]],,$E$2),xmen[issue],Matrix!$B71,xmen[x],Matrix!I$10,xmen[costume],I$9)</f>
        <v>0</v>
      </c>
      <c r="J71">
        <f>SUMIFS(INDEX(xmen[[speech]:[depicted]],,$E$2),xmen[issue],Matrix!$B71,xmen[x],Matrix!J$10,xmen[costume],J$9)</f>
        <v>0</v>
      </c>
      <c r="K71">
        <f>SUMIFS(INDEX(xmen[[speech]:[depicted]],,$E$2),xmen[issue],Matrix!$B71,xmen[x],Matrix!K$10,xmen[costume],K$9)</f>
        <v>0</v>
      </c>
      <c r="L71">
        <f>SUMIFS(INDEX(xmen[[speech]:[depicted]],,$E$2),xmen[issue],Matrix!$B71,xmen[x],Matrix!L$10,xmen[costume],L$9)</f>
        <v>0</v>
      </c>
      <c r="M71">
        <f t="shared" ca="1" si="1"/>
        <v>156</v>
      </c>
      <c r="O71">
        <f t="shared" ca="1" si="10"/>
        <v>163.5625</v>
      </c>
      <c r="P71">
        <f t="shared" ca="1" si="12"/>
        <v>0.25</v>
      </c>
      <c r="Q71">
        <f t="shared" ca="1" si="12"/>
        <v>0.125</v>
      </c>
      <c r="R71">
        <f t="shared" ca="1" si="12"/>
        <v>0</v>
      </c>
      <c r="S71">
        <f t="shared" ca="1" si="12"/>
        <v>0</v>
      </c>
      <c r="T71">
        <f t="shared" ca="1" si="12"/>
        <v>0</v>
      </c>
      <c r="U71">
        <f t="shared" ca="1" si="12"/>
        <v>0</v>
      </c>
      <c r="V71">
        <f t="shared" ca="1" si="12"/>
        <v>0.25</v>
      </c>
      <c r="W71">
        <f t="shared" ca="1" si="12"/>
        <v>0</v>
      </c>
      <c r="X71">
        <f t="shared" ca="1" si="12"/>
        <v>0</v>
      </c>
      <c r="Y71">
        <f t="shared" ca="1" si="12"/>
        <v>0</v>
      </c>
      <c r="Z71">
        <f t="shared" ca="1" si="4"/>
        <v>164.1875</v>
      </c>
      <c r="AA71">
        <f t="shared" ca="1" si="5"/>
        <v>205</v>
      </c>
      <c r="AB71" t="str">
        <f t="shared" ca="1" si="6"/>
        <v>Issue
#150</v>
      </c>
      <c r="AC71">
        <f t="shared" ca="1" si="7"/>
        <v>0.625</v>
      </c>
    </row>
    <row r="72" spans="2:29" x14ac:dyDescent="0.3">
      <c r="B72">
        <v>151</v>
      </c>
      <c r="C72">
        <f>SUMIFS(INDEX(xmen[[speech]:[depicted]],,$E$2),xmen[issue],Matrix!$B72,xmen[x],Matrix!C$10,xmen[costume],C$9)</f>
        <v>0</v>
      </c>
      <c r="D72">
        <f>SUMIFS(INDEX(xmen[[speech]:[depicted]],,$E$2),xmen[issue],Matrix!$B72,xmen[x],Matrix!D$10,xmen[costume],D$9)</f>
        <v>0</v>
      </c>
      <c r="E72">
        <f>SUMIFS(INDEX(xmen[[speech]:[depicted]],,$E$2),xmen[issue],Matrix!$B72,xmen[x],Matrix!E$10,xmen[costume],E$9)</f>
        <v>0</v>
      </c>
      <c r="F72">
        <f>SUMIFS(INDEX(xmen[[speech]:[depicted]],,$E$2),xmen[issue],Matrix!$B72,xmen[x],Matrix!F$10,xmen[costume],F$9)</f>
        <v>0</v>
      </c>
      <c r="G72">
        <f>SUMIFS(INDEX(xmen[[speech]:[depicted]],,$E$2),xmen[issue],Matrix!$B72,xmen[x],Matrix!G$10,xmen[costume],G$9)</f>
        <v>0</v>
      </c>
      <c r="H72">
        <f>SUMIFS(INDEX(xmen[[speech]:[depicted]],,$E$2),xmen[issue],Matrix!$B72,xmen[x],Matrix!H$10,xmen[costume],H$9)</f>
        <v>0</v>
      </c>
      <c r="I72">
        <f>SUMIFS(INDEX(xmen[[speech]:[depicted]],,$E$2),xmen[issue],Matrix!$B72,xmen[x],Matrix!I$10,xmen[costume],I$9)</f>
        <v>0</v>
      </c>
      <c r="J72">
        <f>SUMIFS(INDEX(xmen[[speech]:[depicted]],,$E$2),xmen[issue],Matrix!$B72,xmen[x],Matrix!J$10,xmen[costume],J$9)</f>
        <v>1</v>
      </c>
      <c r="K72">
        <f>SUMIFS(INDEX(xmen[[speech]:[depicted]],,$E$2),xmen[issue],Matrix!$B72,xmen[x],Matrix!K$10,xmen[costume],K$9)</f>
        <v>0</v>
      </c>
      <c r="L72">
        <f>SUMIFS(INDEX(xmen[[speech]:[depicted]],,$E$2),xmen[issue],Matrix!$B72,xmen[x],Matrix!L$10,xmen[costume],L$9)</f>
        <v>0</v>
      </c>
      <c r="M72">
        <f t="shared" ca="1" si="1"/>
        <v>173.5</v>
      </c>
      <c r="O72">
        <f t="shared" ca="1" si="10"/>
        <v>162.6875</v>
      </c>
      <c r="P72">
        <f t="shared" ca="1" si="12"/>
        <v>0.25</v>
      </c>
      <c r="Q72">
        <f t="shared" ca="1" si="12"/>
        <v>0.125</v>
      </c>
      <c r="R72">
        <f t="shared" ca="1" si="12"/>
        <v>0</v>
      </c>
      <c r="S72">
        <f t="shared" ca="1" si="12"/>
        <v>0</v>
      </c>
      <c r="T72">
        <f t="shared" ca="1" si="12"/>
        <v>0</v>
      </c>
      <c r="U72">
        <f t="shared" ca="1" si="12"/>
        <v>0</v>
      </c>
      <c r="V72">
        <f t="shared" ca="1" si="12"/>
        <v>0.25</v>
      </c>
      <c r="W72">
        <f t="shared" ca="1" si="12"/>
        <v>0</v>
      </c>
      <c r="X72">
        <f t="shared" ca="1" si="12"/>
        <v>0</v>
      </c>
      <c r="Y72">
        <f t="shared" ca="1" si="12"/>
        <v>0</v>
      </c>
      <c r="Z72">
        <f t="shared" ca="1" si="4"/>
        <v>163.3125</v>
      </c>
      <c r="AA72" t="e">
        <f t="shared" si="5"/>
        <v>#N/A</v>
      </c>
      <c r="AB72" t="str">
        <f t="shared" si="6"/>
        <v/>
      </c>
      <c r="AC72">
        <f t="shared" si="7"/>
        <v>0</v>
      </c>
    </row>
    <row r="73" spans="2:29" x14ac:dyDescent="0.3">
      <c r="B73">
        <v>152</v>
      </c>
      <c r="C73">
        <f>SUMIFS(INDEX(xmen[[speech]:[depicted]],,$E$2),xmen[issue],Matrix!$B73,xmen[x],Matrix!C$10,xmen[costume],C$9)</f>
        <v>0</v>
      </c>
      <c r="D73">
        <f>SUMIFS(INDEX(xmen[[speech]:[depicted]],,$E$2),xmen[issue],Matrix!$B73,xmen[x],Matrix!D$10,xmen[costume],D$9)</f>
        <v>0</v>
      </c>
      <c r="E73">
        <f>SUMIFS(INDEX(xmen[[speech]:[depicted]],,$E$2),xmen[issue],Matrix!$B73,xmen[x],Matrix!E$10,xmen[costume],E$9)</f>
        <v>0</v>
      </c>
      <c r="F73">
        <f>SUMIFS(INDEX(xmen[[speech]:[depicted]],,$E$2),xmen[issue],Matrix!$B73,xmen[x],Matrix!F$10,xmen[costume],F$9)</f>
        <v>0</v>
      </c>
      <c r="G73">
        <f>SUMIFS(INDEX(xmen[[speech]:[depicted]],,$E$2),xmen[issue],Matrix!$B73,xmen[x],Matrix!G$10,xmen[costume],G$9)</f>
        <v>0</v>
      </c>
      <c r="H73">
        <f>SUMIFS(INDEX(xmen[[speech]:[depicted]],,$E$2),xmen[issue],Matrix!$B73,xmen[x],Matrix!H$10,xmen[costume],H$9)</f>
        <v>0</v>
      </c>
      <c r="I73">
        <f>SUMIFS(INDEX(xmen[[speech]:[depicted]],,$E$2),xmen[issue],Matrix!$B73,xmen[x],Matrix!I$10,xmen[costume],I$9)</f>
        <v>0</v>
      </c>
      <c r="J73">
        <f>SUMIFS(INDEX(xmen[[speech]:[depicted]],,$E$2),xmen[issue],Matrix!$B73,xmen[x],Matrix!J$10,xmen[costume],J$9)</f>
        <v>0</v>
      </c>
      <c r="K73">
        <f>SUMIFS(INDEX(xmen[[speech]:[depicted]],,$E$2),xmen[issue],Matrix!$B73,xmen[x],Matrix!K$10,xmen[costume],K$9)</f>
        <v>0</v>
      </c>
      <c r="L73">
        <f>SUMIFS(INDEX(xmen[[speech]:[depicted]],,$E$2),xmen[issue],Matrix!$B73,xmen[x],Matrix!L$10,xmen[costume],L$9)</f>
        <v>0</v>
      </c>
      <c r="M73">
        <f t="shared" ca="1" si="1"/>
        <v>150</v>
      </c>
      <c r="O73">
        <f t="shared" ca="1" si="10"/>
        <v>161</v>
      </c>
      <c r="P73">
        <f t="shared" ca="1" si="12"/>
        <v>0.25</v>
      </c>
      <c r="Q73">
        <f t="shared" ca="1" si="12"/>
        <v>0.125</v>
      </c>
      <c r="R73">
        <f t="shared" ca="1" si="12"/>
        <v>0</v>
      </c>
      <c r="S73">
        <f t="shared" ca="1" si="12"/>
        <v>0</v>
      </c>
      <c r="T73">
        <f t="shared" ca="1" si="12"/>
        <v>0</v>
      </c>
      <c r="U73">
        <f t="shared" ca="1" si="12"/>
        <v>0</v>
      </c>
      <c r="V73">
        <f t="shared" ca="1" si="12"/>
        <v>0.25</v>
      </c>
      <c r="W73">
        <f t="shared" ca="1" si="12"/>
        <v>0</v>
      </c>
      <c r="X73">
        <f t="shared" ca="1" si="12"/>
        <v>0.125</v>
      </c>
      <c r="Y73">
        <f t="shared" ca="1" si="12"/>
        <v>0</v>
      </c>
      <c r="Z73">
        <f t="shared" ca="1" si="4"/>
        <v>161.75</v>
      </c>
      <c r="AA73" t="e">
        <f t="shared" si="5"/>
        <v>#N/A</v>
      </c>
      <c r="AB73" t="str">
        <f t="shared" si="6"/>
        <v/>
      </c>
      <c r="AC73">
        <f t="shared" si="7"/>
        <v>0</v>
      </c>
    </row>
    <row r="74" spans="2:29" x14ac:dyDescent="0.3">
      <c r="B74">
        <v>153</v>
      </c>
      <c r="C74">
        <f>SUMIFS(INDEX(xmen[[speech]:[depicted]],,$E$2),xmen[issue],Matrix!$B74,xmen[x],Matrix!C$10,xmen[costume],C$9)</f>
        <v>0</v>
      </c>
      <c r="D74">
        <f>SUMIFS(INDEX(xmen[[speech]:[depicted]],,$E$2),xmen[issue],Matrix!$B74,xmen[x],Matrix!D$10,xmen[costume],D$9)</f>
        <v>0</v>
      </c>
      <c r="E74">
        <f>SUMIFS(INDEX(xmen[[speech]:[depicted]],,$E$2),xmen[issue],Matrix!$B74,xmen[x],Matrix!E$10,xmen[costume],E$9)</f>
        <v>0</v>
      </c>
      <c r="F74">
        <f>SUMIFS(INDEX(xmen[[speech]:[depicted]],,$E$2),xmen[issue],Matrix!$B74,xmen[x],Matrix!F$10,xmen[costume],F$9)</f>
        <v>0</v>
      </c>
      <c r="G74">
        <f>SUMIFS(INDEX(xmen[[speech]:[depicted]],,$E$2),xmen[issue],Matrix!$B74,xmen[x],Matrix!G$10,xmen[costume],G$9)</f>
        <v>0</v>
      </c>
      <c r="H74">
        <f>SUMIFS(INDEX(xmen[[speech]:[depicted]],,$E$2),xmen[issue],Matrix!$B74,xmen[x],Matrix!H$10,xmen[costume],H$9)</f>
        <v>0</v>
      </c>
      <c r="I74">
        <f>SUMIFS(INDEX(xmen[[speech]:[depicted]],,$E$2),xmen[issue],Matrix!$B74,xmen[x],Matrix!I$10,xmen[costume],I$9)</f>
        <v>0</v>
      </c>
      <c r="J74">
        <f>SUMIFS(INDEX(xmen[[speech]:[depicted]],,$E$2),xmen[issue],Matrix!$B74,xmen[x],Matrix!J$10,xmen[costume],J$9)</f>
        <v>0</v>
      </c>
      <c r="K74">
        <f>SUMIFS(INDEX(xmen[[speech]:[depicted]],,$E$2),xmen[issue],Matrix!$B74,xmen[x],Matrix!K$10,xmen[costume],K$9)</f>
        <v>0</v>
      </c>
      <c r="L74">
        <f>SUMIFS(INDEX(xmen[[speech]:[depicted]],,$E$2),xmen[issue],Matrix!$B74,xmen[x],Matrix!L$10,xmen[costume],L$9)</f>
        <v>0</v>
      </c>
      <c r="M74">
        <f t="shared" ca="1" si="1"/>
        <v>158</v>
      </c>
      <c r="O74">
        <f t="shared" ca="1" si="10"/>
        <v>160.625</v>
      </c>
      <c r="P74">
        <f t="shared" ca="1" si="12"/>
        <v>0.25</v>
      </c>
      <c r="Q74">
        <f t="shared" ca="1" si="12"/>
        <v>0.125</v>
      </c>
      <c r="R74">
        <f t="shared" ca="1" si="12"/>
        <v>0</v>
      </c>
      <c r="S74">
        <f t="shared" ca="1" si="12"/>
        <v>0</v>
      </c>
      <c r="T74">
        <f t="shared" ca="1" si="12"/>
        <v>0</v>
      </c>
      <c r="U74">
        <f t="shared" ca="1" si="12"/>
        <v>0</v>
      </c>
      <c r="V74">
        <f t="shared" ca="1" si="12"/>
        <v>0.25</v>
      </c>
      <c r="W74">
        <f t="shared" ca="1" si="12"/>
        <v>0</v>
      </c>
      <c r="X74">
        <f t="shared" ca="1" si="12"/>
        <v>0.125</v>
      </c>
      <c r="Y74">
        <f t="shared" ca="1" si="12"/>
        <v>0</v>
      </c>
      <c r="Z74">
        <f t="shared" ca="1" si="4"/>
        <v>161.375</v>
      </c>
      <c r="AA74" t="e">
        <f t="shared" si="5"/>
        <v>#N/A</v>
      </c>
      <c r="AB74" t="str">
        <f t="shared" si="6"/>
        <v/>
      </c>
      <c r="AC74">
        <f t="shared" si="7"/>
        <v>0</v>
      </c>
    </row>
    <row r="75" spans="2:29" x14ac:dyDescent="0.3">
      <c r="B75">
        <v>154</v>
      </c>
      <c r="C75">
        <f>SUMIFS(INDEX(xmen[[speech]:[depicted]],,$E$2),xmen[issue],Matrix!$B75,xmen[x],Matrix!C$10,xmen[costume],C$9)</f>
        <v>0</v>
      </c>
      <c r="D75">
        <f>SUMIFS(INDEX(xmen[[speech]:[depicted]],,$E$2),xmen[issue],Matrix!$B75,xmen[x],Matrix!D$10,xmen[costume],D$9)</f>
        <v>0</v>
      </c>
      <c r="E75">
        <f>SUMIFS(INDEX(xmen[[speech]:[depicted]],,$E$2),xmen[issue],Matrix!$B75,xmen[x],Matrix!E$10,xmen[costume],E$9)</f>
        <v>0</v>
      </c>
      <c r="F75">
        <f>SUMIFS(INDEX(xmen[[speech]:[depicted]],,$E$2),xmen[issue],Matrix!$B75,xmen[x],Matrix!F$10,xmen[costume],F$9)</f>
        <v>0</v>
      </c>
      <c r="G75">
        <f>SUMIFS(INDEX(xmen[[speech]:[depicted]],,$E$2),xmen[issue],Matrix!$B75,xmen[x],Matrix!G$10,xmen[costume],G$9)</f>
        <v>0</v>
      </c>
      <c r="H75">
        <f>SUMIFS(INDEX(xmen[[speech]:[depicted]],,$E$2),xmen[issue],Matrix!$B75,xmen[x],Matrix!H$10,xmen[costume],H$9)</f>
        <v>0</v>
      </c>
      <c r="I75">
        <f>SUMIFS(INDEX(xmen[[speech]:[depicted]],,$E$2),xmen[issue],Matrix!$B75,xmen[x],Matrix!I$10,xmen[costume],I$9)</f>
        <v>0</v>
      </c>
      <c r="J75">
        <f>SUMIFS(INDEX(xmen[[speech]:[depicted]],,$E$2),xmen[issue],Matrix!$B75,xmen[x],Matrix!J$10,xmen[costume],J$9)</f>
        <v>0</v>
      </c>
      <c r="K75">
        <f>SUMIFS(INDEX(xmen[[speech]:[depicted]],,$E$2),xmen[issue],Matrix!$B75,xmen[x],Matrix!K$10,xmen[costume],K$9)</f>
        <v>0</v>
      </c>
      <c r="L75">
        <f>SUMIFS(INDEX(xmen[[speech]:[depicted]],,$E$2),xmen[issue],Matrix!$B75,xmen[x],Matrix!L$10,xmen[costume],L$9)</f>
        <v>0</v>
      </c>
      <c r="M75">
        <f t="shared" ca="1" si="1"/>
        <v>168</v>
      </c>
      <c r="O75">
        <f t="shared" ref="O75:O106" ca="1" si="13">AVERAGE(OFFSET(INDEX($C75:$M75,O$9),-$P$3,,$P$2,1))</f>
        <v>158.25</v>
      </c>
      <c r="P75">
        <f t="shared" ca="1" si="12"/>
        <v>0.25</v>
      </c>
      <c r="Q75">
        <f t="shared" ca="1" si="12"/>
        <v>0.125</v>
      </c>
      <c r="R75">
        <f t="shared" ca="1" si="12"/>
        <v>0</v>
      </c>
      <c r="S75">
        <f t="shared" ca="1" si="12"/>
        <v>0</v>
      </c>
      <c r="T75">
        <f t="shared" ca="1" si="12"/>
        <v>0</v>
      </c>
      <c r="U75">
        <f t="shared" ca="1" si="12"/>
        <v>0</v>
      </c>
      <c r="V75">
        <f t="shared" ca="1" si="12"/>
        <v>0.25</v>
      </c>
      <c r="W75">
        <f t="shared" ca="1" si="12"/>
        <v>0</v>
      </c>
      <c r="X75">
        <f t="shared" ca="1" si="12"/>
        <v>0.125</v>
      </c>
      <c r="Y75">
        <f t="shared" ca="1" si="12"/>
        <v>0</v>
      </c>
      <c r="Z75">
        <f t="shared" ca="1" si="4"/>
        <v>159</v>
      </c>
      <c r="AA75" t="e">
        <f t="shared" si="5"/>
        <v>#N/A</v>
      </c>
      <c r="AB75" t="str">
        <f t="shared" si="6"/>
        <v/>
      </c>
      <c r="AC75">
        <f t="shared" si="7"/>
        <v>0</v>
      </c>
    </row>
    <row r="76" spans="2:29" x14ac:dyDescent="0.3">
      <c r="B76">
        <v>155</v>
      </c>
      <c r="C76">
        <f>SUMIFS(INDEX(xmen[[speech]:[depicted]],,$E$2),xmen[issue],Matrix!$B76,xmen[x],Matrix!C$10,xmen[costume],C$9)</f>
        <v>0</v>
      </c>
      <c r="D76">
        <f>SUMIFS(INDEX(xmen[[speech]:[depicted]],,$E$2),xmen[issue],Matrix!$B76,xmen[x],Matrix!D$10,xmen[costume],D$9)</f>
        <v>0</v>
      </c>
      <c r="E76">
        <f>SUMIFS(INDEX(xmen[[speech]:[depicted]],,$E$2),xmen[issue],Matrix!$B76,xmen[x],Matrix!E$10,xmen[costume],E$9)</f>
        <v>0</v>
      </c>
      <c r="F76">
        <f>SUMIFS(INDEX(xmen[[speech]:[depicted]],,$E$2),xmen[issue],Matrix!$B76,xmen[x],Matrix!F$10,xmen[costume],F$9)</f>
        <v>0</v>
      </c>
      <c r="G76">
        <f>SUMIFS(INDEX(xmen[[speech]:[depicted]],,$E$2),xmen[issue],Matrix!$B76,xmen[x],Matrix!G$10,xmen[costume],G$9)</f>
        <v>0</v>
      </c>
      <c r="H76">
        <f>SUMIFS(INDEX(xmen[[speech]:[depicted]],,$E$2),xmen[issue],Matrix!$B76,xmen[x],Matrix!H$10,xmen[costume],H$9)</f>
        <v>0</v>
      </c>
      <c r="I76">
        <f>SUMIFS(INDEX(xmen[[speech]:[depicted]],,$E$2),xmen[issue],Matrix!$B76,xmen[x],Matrix!I$10,xmen[costume],I$9)</f>
        <v>0</v>
      </c>
      <c r="J76">
        <f>SUMIFS(INDEX(xmen[[speech]:[depicted]],,$E$2),xmen[issue],Matrix!$B76,xmen[x],Matrix!J$10,xmen[costume],J$9)</f>
        <v>0</v>
      </c>
      <c r="K76">
        <f>SUMIFS(INDEX(xmen[[speech]:[depicted]],,$E$2),xmen[issue],Matrix!$B76,xmen[x],Matrix!K$10,xmen[costume],K$9)</f>
        <v>1</v>
      </c>
      <c r="L76">
        <f>SUMIFS(INDEX(xmen[[speech]:[depicted]],,$E$2),xmen[issue],Matrix!$B76,xmen[x],Matrix!L$10,xmen[costume],L$9)</f>
        <v>0</v>
      </c>
      <c r="M76">
        <f t="shared" ref="M76:M139" ca="1" si="14">$M$2-SUM(C76:L76)/2+RANDBETWEEN($M$3,$M$4)</f>
        <v>147.5</v>
      </c>
      <c r="O76">
        <f t="shared" ca="1" si="13"/>
        <v>159.5</v>
      </c>
      <c r="P76">
        <f t="shared" ref="P76:Y85" ca="1" si="15">AVERAGE(OFFSET(INDEX($C76:$M76,P$9),-$P$3,,$P$2,1))</f>
        <v>0.25</v>
      </c>
      <c r="Q76">
        <f t="shared" ca="1" si="15"/>
        <v>0.125</v>
      </c>
      <c r="R76">
        <f t="shared" ca="1" si="15"/>
        <v>0</v>
      </c>
      <c r="S76">
        <f t="shared" ca="1" si="15"/>
        <v>0</v>
      </c>
      <c r="T76">
        <f t="shared" ca="1" si="15"/>
        <v>0</v>
      </c>
      <c r="U76">
        <f t="shared" ca="1" si="15"/>
        <v>0</v>
      </c>
      <c r="V76">
        <f t="shared" ca="1" si="15"/>
        <v>0</v>
      </c>
      <c r="W76">
        <f t="shared" ca="1" si="15"/>
        <v>0</v>
      </c>
      <c r="X76">
        <f t="shared" ca="1" si="15"/>
        <v>0.125</v>
      </c>
      <c r="Y76">
        <f t="shared" ca="1" si="15"/>
        <v>0</v>
      </c>
      <c r="Z76">
        <f t="shared" ref="Z76:Z139" ca="1" si="16">SUM(O76:Y76)</f>
        <v>160</v>
      </c>
      <c r="AA76" t="e">
        <f t="shared" ref="AA76:AA139" si="17">IF(COUNTIFS($AE$11:$AE$18,B76),$AA$6,NA())</f>
        <v>#N/A</v>
      </c>
      <c r="AB76" t="str">
        <f t="shared" ref="AB76:AB139" si="18">IF(ISNA(AA76),"","Issue"&amp;CHAR(10)&amp;"#"&amp;B76)</f>
        <v/>
      </c>
      <c r="AC76">
        <f t="shared" ref="AC76:AC139" si="19">IF(ISNA(AA76),0,Z76-O76)</f>
        <v>0</v>
      </c>
    </row>
    <row r="77" spans="2:29" x14ac:dyDescent="0.3">
      <c r="B77">
        <v>156</v>
      </c>
      <c r="C77">
        <f>SUMIFS(INDEX(xmen[[speech]:[depicted]],,$E$2),xmen[issue],Matrix!$B77,xmen[x],Matrix!C$10,xmen[costume],C$9)</f>
        <v>0</v>
      </c>
      <c r="D77">
        <f>SUMIFS(INDEX(xmen[[speech]:[depicted]],,$E$2),xmen[issue],Matrix!$B77,xmen[x],Matrix!D$10,xmen[costume],D$9)</f>
        <v>0</v>
      </c>
      <c r="E77">
        <f>SUMIFS(INDEX(xmen[[speech]:[depicted]],,$E$2),xmen[issue],Matrix!$B77,xmen[x],Matrix!E$10,xmen[costume],E$9)</f>
        <v>0</v>
      </c>
      <c r="F77">
        <f>SUMIFS(INDEX(xmen[[speech]:[depicted]],,$E$2),xmen[issue],Matrix!$B77,xmen[x],Matrix!F$10,xmen[costume],F$9)</f>
        <v>0</v>
      </c>
      <c r="G77">
        <f>SUMIFS(INDEX(xmen[[speech]:[depicted]],,$E$2),xmen[issue],Matrix!$B77,xmen[x],Matrix!G$10,xmen[costume],G$9)</f>
        <v>0</v>
      </c>
      <c r="H77">
        <f>SUMIFS(INDEX(xmen[[speech]:[depicted]],,$E$2),xmen[issue],Matrix!$B77,xmen[x],Matrix!H$10,xmen[costume],H$9)</f>
        <v>0</v>
      </c>
      <c r="I77">
        <f>SUMIFS(INDEX(xmen[[speech]:[depicted]],,$E$2),xmen[issue],Matrix!$B77,xmen[x],Matrix!I$10,xmen[costume],I$9)</f>
        <v>0</v>
      </c>
      <c r="J77">
        <f>SUMIFS(INDEX(xmen[[speech]:[depicted]],,$E$2),xmen[issue],Matrix!$B77,xmen[x],Matrix!J$10,xmen[costume],J$9)</f>
        <v>0</v>
      </c>
      <c r="K77">
        <f>SUMIFS(INDEX(xmen[[speech]:[depicted]],,$E$2),xmen[issue],Matrix!$B77,xmen[x],Matrix!K$10,xmen[costume],K$9)</f>
        <v>0</v>
      </c>
      <c r="L77">
        <f>SUMIFS(INDEX(xmen[[speech]:[depicted]],,$E$2),xmen[issue],Matrix!$B77,xmen[x],Matrix!L$10,xmen[costume],L$9)</f>
        <v>0</v>
      </c>
      <c r="M77">
        <f t="shared" ca="1" si="14"/>
        <v>158</v>
      </c>
      <c r="O77">
        <f t="shared" ca="1" si="13"/>
        <v>156.0625</v>
      </c>
      <c r="P77">
        <f t="shared" ca="1" si="15"/>
        <v>0.25</v>
      </c>
      <c r="Q77">
        <f t="shared" ca="1" si="15"/>
        <v>0</v>
      </c>
      <c r="R77">
        <f t="shared" ca="1" si="15"/>
        <v>0</v>
      </c>
      <c r="S77">
        <f t="shared" ca="1" si="15"/>
        <v>0</v>
      </c>
      <c r="T77">
        <f t="shared" ca="1" si="15"/>
        <v>0</v>
      </c>
      <c r="U77">
        <f t="shared" ca="1" si="15"/>
        <v>0</v>
      </c>
      <c r="V77">
        <f t="shared" ca="1" si="15"/>
        <v>0</v>
      </c>
      <c r="W77">
        <f t="shared" ca="1" si="15"/>
        <v>0</v>
      </c>
      <c r="X77">
        <f t="shared" ca="1" si="15"/>
        <v>0.125</v>
      </c>
      <c r="Y77">
        <f t="shared" ca="1" si="15"/>
        <v>0</v>
      </c>
      <c r="Z77">
        <f t="shared" ca="1" si="16"/>
        <v>156.4375</v>
      </c>
      <c r="AA77" t="e">
        <f t="shared" si="17"/>
        <v>#N/A</v>
      </c>
      <c r="AB77" t="str">
        <f t="shared" si="18"/>
        <v/>
      </c>
      <c r="AC77">
        <f t="shared" si="19"/>
        <v>0</v>
      </c>
    </row>
    <row r="78" spans="2:29" x14ac:dyDescent="0.3">
      <c r="B78">
        <v>157</v>
      </c>
      <c r="C78">
        <f>SUMIFS(INDEX(xmen[[speech]:[depicted]],,$E$2),xmen[issue],Matrix!$B78,xmen[x],Matrix!C$10,xmen[costume],C$9)</f>
        <v>0</v>
      </c>
      <c r="D78">
        <f>SUMIFS(INDEX(xmen[[speech]:[depicted]],,$E$2),xmen[issue],Matrix!$B78,xmen[x],Matrix!D$10,xmen[costume],D$9)</f>
        <v>0</v>
      </c>
      <c r="E78">
        <f>SUMIFS(INDEX(xmen[[speech]:[depicted]],,$E$2),xmen[issue],Matrix!$B78,xmen[x],Matrix!E$10,xmen[costume],E$9)</f>
        <v>0</v>
      </c>
      <c r="F78">
        <f>SUMIFS(INDEX(xmen[[speech]:[depicted]],,$E$2),xmen[issue],Matrix!$B78,xmen[x],Matrix!F$10,xmen[costume],F$9)</f>
        <v>0</v>
      </c>
      <c r="G78">
        <f>SUMIFS(INDEX(xmen[[speech]:[depicted]],,$E$2),xmen[issue],Matrix!$B78,xmen[x],Matrix!G$10,xmen[costume],G$9)</f>
        <v>0</v>
      </c>
      <c r="H78">
        <f>SUMIFS(INDEX(xmen[[speech]:[depicted]],,$E$2),xmen[issue],Matrix!$B78,xmen[x],Matrix!H$10,xmen[costume],H$9)</f>
        <v>0</v>
      </c>
      <c r="I78">
        <f>SUMIFS(INDEX(xmen[[speech]:[depicted]],,$E$2),xmen[issue],Matrix!$B78,xmen[x],Matrix!I$10,xmen[costume],I$9)</f>
        <v>2</v>
      </c>
      <c r="J78">
        <f>SUMIFS(INDEX(xmen[[speech]:[depicted]],,$E$2),xmen[issue],Matrix!$B78,xmen[x],Matrix!J$10,xmen[costume],J$9)</f>
        <v>0</v>
      </c>
      <c r="K78">
        <f>SUMIFS(INDEX(xmen[[speech]:[depicted]],,$E$2),xmen[issue],Matrix!$B78,xmen[x],Matrix!K$10,xmen[costume],K$9)</f>
        <v>0</v>
      </c>
      <c r="L78">
        <f>SUMIFS(INDEX(xmen[[speech]:[depicted]],,$E$2),xmen[issue],Matrix!$B78,xmen[x],Matrix!L$10,xmen[costume],L$9)</f>
        <v>0</v>
      </c>
      <c r="M78">
        <f t="shared" ca="1" si="14"/>
        <v>155</v>
      </c>
      <c r="O78">
        <f t="shared" ca="1" si="13"/>
        <v>156.4375</v>
      </c>
      <c r="P78">
        <f t="shared" ca="1" si="15"/>
        <v>0.25</v>
      </c>
      <c r="Q78">
        <f t="shared" ca="1" si="15"/>
        <v>0</v>
      </c>
      <c r="R78">
        <f t="shared" ca="1" si="15"/>
        <v>0</v>
      </c>
      <c r="S78">
        <f t="shared" ca="1" si="15"/>
        <v>0</v>
      </c>
      <c r="T78">
        <f t="shared" ca="1" si="15"/>
        <v>0</v>
      </c>
      <c r="U78">
        <f t="shared" ca="1" si="15"/>
        <v>0</v>
      </c>
      <c r="V78">
        <f t="shared" ca="1" si="15"/>
        <v>0</v>
      </c>
      <c r="W78">
        <f t="shared" ca="1" si="15"/>
        <v>0</v>
      </c>
      <c r="X78">
        <f t="shared" ca="1" si="15"/>
        <v>0.125</v>
      </c>
      <c r="Y78">
        <f t="shared" ca="1" si="15"/>
        <v>0</v>
      </c>
      <c r="Z78">
        <f t="shared" ca="1" si="16"/>
        <v>156.8125</v>
      </c>
      <c r="AA78" t="e">
        <f t="shared" si="17"/>
        <v>#N/A</v>
      </c>
      <c r="AB78" t="str">
        <f t="shared" si="18"/>
        <v/>
      </c>
      <c r="AC78">
        <f t="shared" si="19"/>
        <v>0</v>
      </c>
    </row>
    <row r="79" spans="2:29" x14ac:dyDescent="0.3">
      <c r="B79">
        <v>158</v>
      </c>
      <c r="C79">
        <f>SUMIFS(INDEX(xmen[[speech]:[depicted]],,$E$2),xmen[issue],Matrix!$B79,xmen[x],Matrix!C$10,xmen[costume],C$9)</f>
        <v>0</v>
      </c>
      <c r="D79">
        <f>SUMIFS(INDEX(xmen[[speech]:[depicted]],,$E$2),xmen[issue],Matrix!$B79,xmen[x],Matrix!D$10,xmen[costume],D$9)</f>
        <v>0</v>
      </c>
      <c r="E79">
        <f>SUMIFS(INDEX(xmen[[speech]:[depicted]],,$E$2),xmen[issue],Matrix!$B79,xmen[x],Matrix!E$10,xmen[costume],E$9)</f>
        <v>0</v>
      </c>
      <c r="F79">
        <f>SUMIFS(INDEX(xmen[[speech]:[depicted]],,$E$2),xmen[issue],Matrix!$B79,xmen[x],Matrix!F$10,xmen[costume],F$9)</f>
        <v>0</v>
      </c>
      <c r="G79">
        <f>SUMIFS(INDEX(xmen[[speech]:[depicted]],,$E$2),xmen[issue],Matrix!$B79,xmen[x],Matrix!G$10,xmen[costume],G$9)</f>
        <v>0</v>
      </c>
      <c r="H79">
        <f>SUMIFS(INDEX(xmen[[speech]:[depicted]],,$E$2),xmen[issue],Matrix!$B79,xmen[x],Matrix!H$10,xmen[costume],H$9)</f>
        <v>0</v>
      </c>
      <c r="I79">
        <f>SUMIFS(INDEX(xmen[[speech]:[depicted]],,$E$2),xmen[issue],Matrix!$B79,xmen[x],Matrix!I$10,xmen[costume],I$9)</f>
        <v>0</v>
      </c>
      <c r="J79">
        <f>SUMIFS(INDEX(xmen[[speech]:[depicted]],,$E$2),xmen[issue],Matrix!$B79,xmen[x],Matrix!J$10,xmen[costume],J$9)</f>
        <v>0</v>
      </c>
      <c r="K79">
        <f>SUMIFS(INDEX(xmen[[speech]:[depicted]],,$E$2),xmen[issue],Matrix!$B79,xmen[x],Matrix!K$10,xmen[costume],K$9)</f>
        <v>0</v>
      </c>
      <c r="L79">
        <f>SUMIFS(INDEX(xmen[[speech]:[depicted]],,$E$2),xmen[issue],Matrix!$B79,xmen[x],Matrix!L$10,xmen[costume],L$9)</f>
        <v>0</v>
      </c>
      <c r="M79">
        <f t="shared" ca="1" si="14"/>
        <v>166</v>
      </c>
      <c r="O79">
        <f t="shared" ca="1" si="13"/>
        <v>155.4375</v>
      </c>
      <c r="P79">
        <f t="shared" ca="1" si="15"/>
        <v>0.25</v>
      </c>
      <c r="Q79">
        <f t="shared" ca="1" si="15"/>
        <v>0</v>
      </c>
      <c r="R79">
        <f t="shared" ca="1" si="15"/>
        <v>0</v>
      </c>
      <c r="S79">
        <f t="shared" ca="1" si="15"/>
        <v>0</v>
      </c>
      <c r="T79">
        <f t="shared" ca="1" si="15"/>
        <v>0</v>
      </c>
      <c r="U79">
        <f t="shared" ca="1" si="15"/>
        <v>0</v>
      </c>
      <c r="V79">
        <f t="shared" ca="1" si="15"/>
        <v>0</v>
      </c>
      <c r="W79">
        <f t="shared" ca="1" si="15"/>
        <v>0</v>
      </c>
      <c r="X79">
        <f t="shared" ca="1" si="15"/>
        <v>0.125</v>
      </c>
      <c r="Y79">
        <f t="shared" ca="1" si="15"/>
        <v>0</v>
      </c>
      <c r="Z79">
        <f t="shared" ca="1" si="16"/>
        <v>155.8125</v>
      </c>
      <c r="AA79" t="e">
        <f t="shared" si="17"/>
        <v>#N/A</v>
      </c>
      <c r="AB79" t="str">
        <f t="shared" si="18"/>
        <v/>
      </c>
      <c r="AC79">
        <f t="shared" si="19"/>
        <v>0</v>
      </c>
    </row>
    <row r="80" spans="2:29" x14ac:dyDescent="0.3">
      <c r="B80">
        <v>159</v>
      </c>
      <c r="C80">
        <f>SUMIFS(INDEX(xmen[[speech]:[depicted]],,$E$2),xmen[issue],Matrix!$B80,xmen[x],Matrix!C$10,xmen[costume],C$9)</f>
        <v>0</v>
      </c>
      <c r="D80">
        <f>SUMIFS(INDEX(xmen[[speech]:[depicted]],,$E$2),xmen[issue],Matrix!$B80,xmen[x],Matrix!D$10,xmen[costume],D$9)</f>
        <v>0</v>
      </c>
      <c r="E80">
        <f>SUMIFS(INDEX(xmen[[speech]:[depicted]],,$E$2),xmen[issue],Matrix!$B80,xmen[x],Matrix!E$10,xmen[costume],E$9)</f>
        <v>0</v>
      </c>
      <c r="F80">
        <f>SUMIFS(INDEX(xmen[[speech]:[depicted]],,$E$2),xmen[issue],Matrix!$B80,xmen[x],Matrix!F$10,xmen[costume],F$9)</f>
        <v>0</v>
      </c>
      <c r="G80">
        <f>SUMIFS(INDEX(xmen[[speech]:[depicted]],,$E$2),xmen[issue],Matrix!$B80,xmen[x],Matrix!G$10,xmen[costume],G$9)</f>
        <v>0</v>
      </c>
      <c r="H80">
        <f>SUMIFS(INDEX(xmen[[speech]:[depicted]],,$E$2),xmen[issue],Matrix!$B80,xmen[x],Matrix!H$10,xmen[costume],H$9)</f>
        <v>0</v>
      </c>
      <c r="I80">
        <f>SUMIFS(INDEX(xmen[[speech]:[depicted]],,$E$2),xmen[issue],Matrix!$B80,xmen[x],Matrix!I$10,xmen[costume],I$9)</f>
        <v>0</v>
      </c>
      <c r="J80">
        <f>SUMIFS(INDEX(xmen[[speech]:[depicted]],,$E$2),xmen[issue],Matrix!$B80,xmen[x],Matrix!J$10,xmen[costume],J$9)</f>
        <v>0</v>
      </c>
      <c r="K80">
        <f>SUMIFS(INDEX(xmen[[speech]:[depicted]],,$E$2),xmen[issue],Matrix!$B80,xmen[x],Matrix!K$10,xmen[costume],K$9)</f>
        <v>0</v>
      </c>
      <c r="L80">
        <f>SUMIFS(INDEX(xmen[[speech]:[depicted]],,$E$2),xmen[issue],Matrix!$B80,xmen[x],Matrix!L$10,xmen[costume],L$9)</f>
        <v>0</v>
      </c>
      <c r="M80">
        <f t="shared" ca="1" si="14"/>
        <v>146</v>
      </c>
      <c r="O80">
        <f t="shared" ca="1" si="13"/>
        <v>143.625</v>
      </c>
      <c r="P80">
        <f t="shared" ca="1" si="15"/>
        <v>0.25</v>
      </c>
      <c r="Q80">
        <f t="shared" ca="1" si="15"/>
        <v>0</v>
      </c>
      <c r="R80">
        <f t="shared" ca="1" si="15"/>
        <v>0</v>
      </c>
      <c r="S80">
        <f t="shared" ca="1" si="15"/>
        <v>0</v>
      </c>
      <c r="T80">
        <f t="shared" ca="1" si="15"/>
        <v>0</v>
      </c>
      <c r="U80">
        <f t="shared" ca="1" si="15"/>
        <v>0</v>
      </c>
      <c r="V80">
        <f t="shared" ca="1" si="15"/>
        <v>0</v>
      </c>
      <c r="W80">
        <f t="shared" ca="1" si="15"/>
        <v>0</v>
      </c>
      <c r="X80">
        <f t="shared" ca="1" si="15"/>
        <v>0.125</v>
      </c>
      <c r="Y80">
        <f t="shared" ca="1" si="15"/>
        <v>19.125</v>
      </c>
      <c r="Z80">
        <f t="shared" ca="1" si="16"/>
        <v>163.125</v>
      </c>
      <c r="AA80" t="e">
        <f t="shared" si="17"/>
        <v>#N/A</v>
      </c>
      <c r="AB80" t="str">
        <f t="shared" si="18"/>
        <v/>
      </c>
      <c r="AC80">
        <f t="shared" si="19"/>
        <v>0</v>
      </c>
    </row>
    <row r="81" spans="2:29" x14ac:dyDescent="0.3">
      <c r="B81">
        <v>160</v>
      </c>
      <c r="C81">
        <f>SUMIFS(INDEX(xmen[[speech]:[depicted]],,$E$2),xmen[issue],Matrix!$B81,xmen[x],Matrix!C$10,xmen[costume],C$9)</f>
        <v>0</v>
      </c>
      <c r="D81">
        <f>SUMIFS(INDEX(xmen[[speech]:[depicted]],,$E$2),xmen[issue],Matrix!$B81,xmen[x],Matrix!D$10,xmen[costume],D$9)</f>
        <v>0</v>
      </c>
      <c r="E81">
        <f>SUMIFS(INDEX(xmen[[speech]:[depicted]],,$E$2),xmen[issue],Matrix!$B81,xmen[x],Matrix!E$10,xmen[costume],E$9)</f>
        <v>0</v>
      </c>
      <c r="F81">
        <f>SUMIFS(INDEX(xmen[[speech]:[depicted]],,$E$2),xmen[issue],Matrix!$B81,xmen[x],Matrix!F$10,xmen[costume],F$9)</f>
        <v>0</v>
      </c>
      <c r="G81">
        <f>SUMIFS(INDEX(xmen[[speech]:[depicted]],,$E$2),xmen[issue],Matrix!$B81,xmen[x],Matrix!G$10,xmen[costume],G$9)</f>
        <v>0</v>
      </c>
      <c r="H81">
        <f>SUMIFS(INDEX(xmen[[speech]:[depicted]],,$E$2),xmen[issue],Matrix!$B81,xmen[x],Matrix!H$10,xmen[costume],H$9)</f>
        <v>0</v>
      </c>
      <c r="I81">
        <f>SUMIFS(INDEX(xmen[[speech]:[depicted]],,$E$2),xmen[issue],Matrix!$B81,xmen[x],Matrix!I$10,xmen[costume],I$9)</f>
        <v>0</v>
      </c>
      <c r="J81">
        <f>SUMIFS(INDEX(xmen[[speech]:[depicted]],,$E$2),xmen[issue],Matrix!$B81,xmen[x],Matrix!J$10,xmen[costume],J$9)</f>
        <v>0</v>
      </c>
      <c r="K81">
        <f>SUMIFS(INDEX(xmen[[speech]:[depicted]],,$E$2),xmen[issue],Matrix!$B81,xmen[x],Matrix!K$10,xmen[costume],K$9)</f>
        <v>0</v>
      </c>
      <c r="L81">
        <f>SUMIFS(INDEX(xmen[[speech]:[depicted]],,$E$2),xmen[issue],Matrix!$B81,xmen[x],Matrix!L$10,xmen[costume],L$9)</f>
        <v>0</v>
      </c>
      <c r="M81">
        <f t="shared" ca="1" si="14"/>
        <v>153</v>
      </c>
      <c r="O81">
        <f t="shared" ca="1" si="13"/>
        <v>143</v>
      </c>
      <c r="P81">
        <f t="shared" ca="1" si="15"/>
        <v>0.25</v>
      </c>
      <c r="Q81">
        <f t="shared" ca="1" si="15"/>
        <v>0</v>
      </c>
      <c r="R81">
        <f t="shared" ca="1" si="15"/>
        <v>0</v>
      </c>
      <c r="S81">
        <f t="shared" ca="1" si="15"/>
        <v>0</v>
      </c>
      <c r="T81">
        <f t="shared" ca="1" si="15"/>
        <v>0</v>
      </c>
      <c r="U81">
        <f t="shared" ca="1" si="15"/>
        <v>0</v>
      </c>
      <c r="V81">
        <f t="shared" ca="1" si="15"/>
        <v>0</v>
      </c>
      <c r="W81">
        <f t="shared" ca="1" si="15"/>
        <v>0</v>
      </c>
      <c r="X81">
        <f t="shared" ca="1" si="15"/>
        <v>0</v>
      </c>
      <c r="Y81">
        <f t="shared" ca="1" si="15"/>
        <v>23.75</v>
      </c>
      <c r="Z81">
        <f t="shared" ca="1" si="16"/>
        <v>167</v>
      </c>
      <c r="AA81" t="e">
        <f t="shared" si="17"/>
        <v>#N/A</v>
      </c>
      <c r="AB81" t="str">
        <f t="shared" si="18"/>
        <v/>
      </c>
      <c r="AC81">
        <f t="shared" si="19"/>
        <v>0</v>
      </c>
    </row>
    <row r="82" spans="2:29" x14ac:dyDescent="0.3">
      <c r="B82">
        <v>161</v>
      </c>
      <c r="C82">
        <f>SUMIFS(INDEX(xmen[[speech]:[depicted]],,$E$2),xmen[issue],Matrix!$B82,xmen[x],Matrix!C$10,xmen[costume],C$9)</f>
        <v>0</v>
      </c>
      <c r="D82">
        <f>SUMIFS(INDEX(xmen[[speech]:[depicted]],,$E$2),xmen[issue],Matrix!$B82,xmen[x],Matrix!D$10,xmen[costume],D$9)</f>
        <v>0</v>
      </c>
      <c r="E82">
        <f>SUMIFS(INDEX(xmen[[speech]:[depicted]],,$E$2),xmen[issue],Matrix!$B82,xmen[x],Matrix!E$10,xmen[costume],E$9)</f>
        <v>0</v>
      </c>
      <c r="F82">
        <f>SUMIFS(INDEX(xmen[[speech]:[depicted]],,$E$2),xmen[issue],Matrix!$B82,xmen[x],Matrix!F$10,xmen[costume],F$9)</f>
        <v>0</v>
      </c>
      <c r="G82">
        <f>SUMIFS(INDEX(xmen[[speech]:[depicted]],,$E$2),xmen[issue],Matrix!$B82,xmen[x],Matrix!G$10,xmen[costume],G$9)</f>
        <v>0</v>
      </c>
      <c r="H82">
        <f>SUMIFS(INDEX(xmen[[speech]:[depicted]],,$E$2),xmen[issue],Matrix!$B82,xmen[x],Matrix!H$10,xmen[costume],H$9)</f>
        <v>0</v>
      </c>
      <c r="I82">
        <f>SUMIFS(INDEX(xmen[[speech]:[depicted]],,$E$2),xmen[issue],Matrix!$B82,xmen[x],Matrix!I$10,xmen[costume],I$9)</f>
        <v>0</v>
      </c>
      <c r="J82">
        <f>SUMIFS(INDEX(xmen[[speech]:[depicted]],,$E$2),xmen[issue],Matrix!$B82,xmen[x],Matrix!J$10,xmen[costume],J$9)</f>
        <v>0</v>
      </c>
      <c r="K82">
        <f>SUMIFS(INDEX(xmen[[speech]:[depicted]],,$E$2),xmen[issue],Matrix!$B82,xmen[x],Matrix!K$10,xmen[costume],K$9)</f>
        <v>0</v>
      </c>
      <c r="L82">
        <f>SUMIFS(INDEX(xmen[[speech]:[depicted]],,$E$2),xmen[issue],Matrix!$B82,xmen[x],Matrix!L$10,xmen[costume],L$9)</f>
        <v>0</v>
      </c>
      <c r="M82">
        <f t="shared" ca="1" si="14"/>
        <v>150</v>
      </c>
      <c r="O82">
        <f t="shared" ca="1" si="13"/>
        <v>143.375</v>
      </c>
      <c r="P82">
        <f t="shared" ca="1" si="15"/>
        <v>0.25</v>
      </c>
      <c r="Q82">
        <f t="shared" ca="1" si="15"/>
        <v>0</v>
      </c>
      <c r="R82">
        <f t="shared" ca="1" si="15"/>
        <v>0</v>
      </c>
      <c r="S82">
        <f t="shared" ca="1" si="15"/>
        <v>0</v>
      </c>
      <c r="T82">
        <f t="shared" ca="1" si="15"/>
        <v>0</v>
      </c>
      <c r="U82">
        <f t="shared" ca="1" si="15"/>
        <v>0</v>
      </c>
      <c r="V82">
        <f t="shared" ca="1" si="15"/>
        <v>0</v>
      </c>
      <c r="W82">
        <f t="shared" ca="1" si="15"/>
        <v>0</v>
      </c>
      <c r="X82">
        <f t="shared" ca="1" si="15"/>
        <v>0</v>
      </c>
      <c r="Y82">
        <f t="shared" ca="1" si="15"/>
        <v>23.75</v>
      </c>
      <c r="Z82">
        <f t="shared" ca="1" si="16"/>
        <v>167.375</v>
      </c>
      <c r="AA82" t="e">
        <f t="shared" si="17"/>
        <v>#N/A</v>
      </c>
      <c r="AB82" t="str">
        <f t="shared" si="18"/>
        <v/>
      </c>
      <c r="AC82">
        <f t="shared" si="19"/>
        <v>0</v>
      </c>
    </row>
    <row r="83" spans="2:29" x14ac:dyDescent="0.3">
      <c r="B83">
        <v>162</v>
      </c>
      <c r="C83">
        <f>SUMIFS(INDEX(xmen[[speech]:[depicted]],,$E$2),xmen[issue],Matrix!$B83,xmen[x],Matrix!C$10,xmen[costume],C$9)</f>
        <v>0</v>
      </c>
      <c r="D83">
        <f>SUMIFS(INDEX(xmen[[speech]:[depicted]],,$E$2),xmen[issue],Matrix!$B83,xmen[x],Matrix!D$10,xmen[costume],D$9)</f>
        <v>0</v>
      </c>
      <c r="E83">
        <f>SUMIFS(INDEX(xmen[[speech]:[depicted]],,$E$2),xmen[issue],Matrix!$B83,xmen[x],Matrix!E$10,xmen[costume],E$9)</f>
        <v>0</v>
      </c>
      <c r="F83">
        <f>SUMIFS(INDEX(xmen[[speech]:[depicted]],,$E$2),xmen[issue],Matrix!$B83,xmen[x],Matrix!F$10,xmen[costume],F$9)</f>
        <v>0</v>
      </c>
      <c r="G83">
        <f>SUMIFS(INDEX(xmen[[speech]:[depicted]],,$E$2),xmen[issue],Matrix!$B83,xmen[x],Matrix!G$10,xmen[costume],G$9)</f>
        <v>0</v>
      </c>
      <c r="H83">
        <f>SUMIFS(INDEX(xmen[[speech]:[depicted]],,$E$2),xmen[issue],Matrix!$B83,xmen[x],Matrix!H$10,xmen[costume],H$9)</f>
        <v>0</v>
      </c>
      <c r="I83">
        <f>SUMIFS(INDEX(xmen[[speech]:[depicted]],,$E$2),xmen[issue],Matrix!$B83,xmen[x],Matrix!I$10,xmen[costume],I$9)</f>
        <v>0</v>
      </c>
      <c r="J83">
        <f>SUMIFS(INDEX(xmen[[speech]:[depicted]],,$E$2),xmen[issue],Matrix!$B83,xmen[x],Matrix!J$10,xmen[costume],J$9)</f>
        <v>0</v>
      </c>
      <c r="K83">
        <f>SUMIFS(INDEX(xmen[[speech]:[depicted]],,$E$2),xmen[issue],Matrix!$B83,xmen[x],Matrix!K$10,xmen[costume],K$9)</f>
        <v>0</v>
      </c>
      <c r="L83">
        <f>SUMIFS(INDEX(xmen[[speech]:[depicted]],,$E$2),xmen[issue],Matrix!$B83,xmen[x],Matrix!L$10,xmen[costume],L$9)</f>
        <v>153</v>
      </c>
      <c r="M83">
        <f t="shared" ca="1" si="14"/>
        <v>73.5</v>
      </c>
      <c r="O83">
        <f t="shared" ca="1" si="13"/>
        <v>145.125</v>
      </c>
      <c r="P83">
        <f t="shared" ca="1" si="15"/>
        <v>0</v>
      </c>
      <c r="Q83">
        <f t="shared" ca="1" si="15"/>
        <v>0</v>
      </c>
      <c r="R83">
        <f t="shared" ca="1" si="15"/>
        <v>0</v>
      </c>
      <c r="S83">
        <f t="shared" ca="1" si="15"/>
        <v>0</v>
      </c>
      <c r="T83">
        <f t="shared" ca="1" si="15"/>
        <v>0</v>
      </c>
      <c r="U83">
        <f t="shared" ca="1" si="15"/>
        <v>0</v>
      </c>
      <c r="V83">
        <f t="shared" ca="1" si="15"/>
        <v>0</v>
      </c>
      <c r="W83">
        <f t="shared" ca="1" si="15"/>
        <v>0</v>
      </c>
      <c r="X83">
        <f t="shared" ca="1" si="15"/>
        <v>0</v>
      </c>
      <c r="Y83">
        <f t="shared" ca="1" si="15"/>
        <v>23.75</v>
      </c>
      <c r="Z83">
        <f t="shared" ca="1" si="16"/>
        <v>168.875</v>
      </c>
      <c r="AA83" t="e">
        <f t="shared" si="17"/>
        <v>#N/A</v>
      </c>
      <c r="AB83" t="str">
        <f t="shared" si="18"/>
        <v/>
      </c>
      <c r="AC83">
        <f t="shared" si="19"/>
        <v>0</v>
      </c>
    </row>
    <row r="84" spans="2:29" x14ac:dyDescent="0.3">
      <c r="B84">
        <v>163</v>
      </c>
      <c r="C84">
        <f>SUMIFS(INDEX(xmen[[speech]:[depicted]],,$E$2),xmen[issue],Matrix!$B84,xmen[x],Matrix!C$10,xmen[costume],C$9)</f>
        <v>0</v>
      </c>
      <c r="D84">
        <f>SUMIFS(INDEX(xmen[[speech]:[depicted]],,$E$2),xmen[issue],Matrix!$B84,xmen[x],Matrix!D$10,xmen[costume],D$9)</f>
        <v>0</v>
      </c>
      <c r="E84">
        <f>SUMIFS(INDEX(xmen[[speech]:[depicted]],,$E$2),xmen[issue],Matrix!$B84,xmen[x],Matrix!E$10,xmen[costume],E$9)</f>
        <v>0</v>
      </c>
      <c r="F84">
        <f>SUMIFS(INDEX(xmen[[speech]:[depicted]],,$E$2),xmen[issue],Matrix!$B84,xmen[x],Matrix!F$10,xmen[costume],F$9)</f>
        <v>0</v>
      </c>
      <c r="G84">
        <f>SUMIFS(INDEX(xmen[[speech]:[depicted]],,$E$2),xmen[issue],Matrix!$B84,xmen[x],Matrix!G$10,xmen[costume],G$9)</f>
        <v>0</v>
      </c>
      <c r="H84">
        <f>SUMIFS(INDEX(xmen[[speech]:[depicted]],,$E$2),xmen[issue],Matrix!$B84,xmen[x],Matrix!H$10,xmen[costume],H$9)</f>
        <v>0</v>
      </c>
      <c r="I84">
        <f>SUMIFS(INDEX(xmen[[speech]:[depicted]],,$E$2),xmen[issue],Matrix!$B84,xmen[x],Matrix!I$10,xmen[costume],I$9)</f>
        <v>0</v>
      </c>
      <c r="J84">
        <f>SUMIFS(INDEX(xmen[[speech]:[depicted]],,$E$2),xmen[issue],Matrix!$B84,xmen[x],Matrix!J$10,xmen[costume],J$9)</f>
        <v>0</v>
      </c>
      <c r="K84">
        <f>SUMIFS(INDEX(xmen[[speech]:[depicted]],,$E$2),xmen[issue],Matrix!$B84,xmen[x],Matrix!K$10,xmen[costume],K$9)</f>
        <v>0</v>
      </c>
      <c r="L84">
        <f>SUMIFS(INDEX(xmen[[speech]:[depicted]],,$E$2),xmen[issue],Matrix!$B84,xmen[x],Matrix!L$10,xmen[costume],L$9)</f>
        <v>37</v>
      </c>
      <c r="M84">
        <f t="shared" ca="1" si="14"/>
        <v>142.5</v>
      </c>
      <c r="O84">
        <f t="shared" ca="1" si="13"/>
        <v>142.3125</v>
      </c>
      <c r="P84">
        <f t="shared" ca="1" si="15"/>
        <v>2.125</v>
      </c>
      <c r="Q84">
        <f t="shared" ca="1" si="15"/>
        <v>0</v>
      </c>
      <c r="R84">
        <f t="shared" ca="1" si="15"/>
        <v>0</v>
      </c>
      <c r="S84">
        <f t="shared" ca="1" si="15"/>
        <v>0</v>
      </c>
      <c r="T84">
        <f t="shared" ca="1" si="15"/>
        <v>0</v>
      </c>
      <c r="U84">
        <f t="shared" ca="1" si="15"/>
        <v>0</v>
      </c>
      <c r="V84">
        <f t="shared" ca="1" si="15"/>
        <v>0</v>
      </c>
      <c r="W84">
        <f t="shared" ca="1" si="15"/>
        <v>0</v>
      </c>
      <c r="X84">
        <f t="shared" ca="1" si="15"/>
        <v>0.25</v>
      </c>
      <c r="Y84">
        <f t="shared" ca="1" si="15"/>
        <v>23.75</v>
      </c>
      <c r="Z84">
        <f t="shared" ca="1" si="16"/>
        <v>168.4375</v>
      </c>
      <c r="AA84" t="e">
        <f t="shared" si="17"/>
        <v>#N/A</v>
      </c>
      <c r="AB84" t="str">
        <f t="shared" si="18"/>
        <v/>
      </c>
      <c r="AC84">
        <f t="shared" si="19"/>
        <v>0</v>
      </c>
    </row>
    <row r="85" spans="2:29" x14ac:dyDescent="0.3">
      <c r="B85">
        <v>164</v>
      </c>
      <c r="C85">
        <f>SUMIFS(INDEX(xmen[[speech]:[depicted]],,$E$2),xmen[issue],Matrix!$B85,xmen[x],Matrix!C$10,xmen[costume],C$9)</f>
        <v>0</v>
      </c>
      <c r="D85">
        <f>SUMIFS(INDEX(xmen[[speech]:[depicted]],,$E$2),xmen[issue],Matrix!$B85,xmen[x],Matrix!D$10,xmen[costume],D$9)</f>
        <v>0</v>
      </c>
      <c r="E85">
        <f>SUMIFS(INDEX(xmen[[speech]:[depicted]],,$E$2),xmen[issue],Matrix!$B85,xmen[x],Matrix!E$10,xmen[costume],E$9)</f>
        <v>0</v>
      </c>
      <c r="F85">
        <f>SUMIFS(INDEX(xmen[[speech]:[depicted]],,$E$2),xmen[issue],Matrix!$B85,xmen[x],Matrix!F$10,xmen[costume],F$9)</f>
        <v>0</v>
      </c>
      <c r="G85">
        <f>SUMIFS(INDEX(xmen[[speech]:[depicted]],,$E$2),xmen[issue],Matrix!$B85,xmen[x],Matrix!G$10,xmen[costume],G$9)</f>
        <v>0</v>
      </c>
      <c r="H85">
        <f>SUMIFS(INDEX(xmen[[speech]:[depicted]],,$E$2),xmen[issue],Matrix!$B85,xmen[x],Matrix!H$10,xmen[costume],H$9)</f>
        <v>0</v>
      </c>
      <c r="I85">
        <f>SUMIFS(INDEX(xmen[[speech]:[depicted]],,$E$2),xmen[issue],Matrix!$B85,xmen[x],Matrix!I$10,xmen[costume],I$9)</f>
        <v>0</v>
      </c>
      <c r="J85">
        <f>SUMIFS(INDEX(xmen[[speech]:[depicted]],,$E$2),xmen[issue],Matrix!$B85,xmen[x],Matrix!J$10,xmen[costume],J$9)</f>
        <v>0</v>
      </c>
      <c r="K85">
        <f>SUMIFS(INDEX(xmen[[speech]:[depicted]],,$E$2),xmen[issue],Matrix!$B85,xmen[x],Matrix!K$10,xmen[costume],K$9)</f>
        <v>0</v>
      </c>
      <c r="L85">
        <f>SUMIFS(INDEX(xmen[[speech]:[depicted]],,$E$2),xmen[issue],Matrix!$B85,xmen[x],Matrix!L$10,xmen[costume],L$9)</f>
        <v>0</v>
      </c>
      <c r="M85">
        <f t="shared" ca="1" si="14"/>
        <v>161</v>
      </c>
      <c r="O85">
        <f t="shared" ca="1" si="13"/>
        <v>144.5625</v>
      </c>
      <c r="P85">
        <f t="shared" ca="1" si="15"/>
        <v>2.125</v>
      </c>
      <c r="Q85">
        <f t="shared" ca="1" si="15"/>
        <v>0</v>
      </c>
      <c r="R85">
        <f t="shared" ca="1" si="15"/>
        <v>0</v>
      </c>
      <c r="S85">
        <f t="shared" ca="1" si="15"/>
        <v>0</v>
      </c>
      <c r="T85">
        <f t="shared" ca="1" si="15"/>
        <v>0</v>
      </c>
      <c r="U85">
        <f t="shared" ca="1" si="15"/>
        <v>0</v>
      </c>
      <c r="V85">
        <f t="shared" ca="1" si="15"/>
        <v>0</v>
      </c>
      <c r="W85">
        <f t="shared" ca="1" si="15"/>
        <v>0</v>
      </c>
      <c r="X85">
        <f t="shared" ca="1" si="15"/>
        <v>0.25</v>
      </c>
      <c r="Y85">
        <f t="shared" ca="1" si="15"/>
        <v>23.75</v>
      </c>
      <c r="Z85">
        <f t="shared" ca="1" si="16"/>
        <v>170.6875</v>
      </c>
      <c r="AA85" t="e">
        <f t="shared" si="17"/>
        <v>#N/A</v>
      </c>
      <c r="AB85" t="str">
        <f t="shared" si="18"/>
        <v/>
      </c>
      <c r="AC85">
        <f t="shared" si="19"/>
        <v>0</v>
      </c>
    </row>
    <row r="86" spans="2:29" x14ac:dyDescent="0.3">
      <c r="B86">
        <v>165</v>
      </c>
      <c r="C86">
        <f>SUMIFS(INDEX(xmen[[speech]:[depicted]],,$E$2),xmen[issue],Matrix!$B86,xmen[x],Matrix!C$10,xmen[costume],C$9)</f>
        <v>0</v>
      </c>
      <c r="D86">
        <f>SUMIFS(INDEX(xmen[[speech]:[depicted]],,$E$2),xmen[issue],Matrix!$B86,xmen[x],Matrix!D$10,xmen[costume],D$9)</f>
        <v>0</v>
      </c>
      <c r="E86">
        <f>SUMIFS(INDEX(xmen[[speech]:[depicted]],,$E$2),xmen[issue],Matrix!$B86,xmen[x],Matrix!E$10,xmen[costume],E$9)</f>
        <v>0</v>
      </c>
      <c r="F86">
        <f>SUMIFS(INDEX(xmen[[speech]:[depicted]],,$E$2),xmen[issue],Matrix!$B86,xmen[x],Matrix!F$10,xmen[costume],F$9)</f>
        <v>0</v>
      </c>
      <c r="G86">
        <f>SUMIFS(INDEX(xmen[[speech]:[depicted]],,$E$2),xmen[issue],Matrix!$B86,xmen[x],Matrix!G$10,xmen[costume],G$9)</f>
        <v>0</v>
      </c>
      <c r="H86">
        <f>SUMIFS(INDEX(xmen[[speech]:[depicted]],,$E$2),xmen[issue],Matrix!$B86,xmen[x],Matrix!H$10,xmen[costume],H$9)</f>
        <v>0</v>
      </c>
      <c r="I86">
        <f>SUMIFS(INDEX(xmen[[speech]:[depicted]],,$E$2),xmen[issue],Matrix!$B86,xmen[x],Matrix!I$10,xmen[costume],I$9)</f>
        <v>0</v>
      </c>
      <c r="J86">
        <f>SUMIFS(INDEX(xmen[[speech]:[depicted]],,$E$2),xmen[issue],Matrix!$B86,xmen[x],Matrix!J$10,xmen[costume],J$9)</f>
        <v>0</v>
      </c>
      <c r="K86">
        <f>SUMIFS(INDEX(xmen[[speech]:[depicted]],,$E$2),xmen[issue],Matrix!$B86,xmen[x],Matrix!K$10,xmen[costume],K$9)</f>
        <v>0</v>
      </c>
      <c r="L86">
        <f>SUMIFS(INDEX(xmen[[speech]:[depicted]],,$E$2),xmen[issue],Matrix!$B86,xmen[x],Matrix!L$10,xmen[costume],L$9)</f>
        <v>0</v>
      </c>
      <c r="M86">
        <f t="shared" ca="1" si="14"/>
        <v>169</v>
      </c>
      <c r="O86">
        <f t="shared" ca="1" si="13"/>
        <v>146.4375</v>
      </c>
      <c r="P86">
        <f t="shared" ref="P86:Y94" ca="1" si="20">AVERAGE(OFFSET(INDEX($C86:$M86,P$9),-$P$3,,$P$2,1))</f>
        <v>2.125</v>
      </c>
      <c r="Q86">
        <f t="shared" ca="1" si="20"/>
        <v>0</v>
      </c>
      <c r="R86">
        <f t="shared" ca="1" si="20"/>
        <v>0</v>
      </c>
      <c r="S86">
        <f t="shared" ca="1" si="20"/>
        <v>0</v>
      </c>
      <c r="T86">
        <f t="shared" ca="1" si="20"/>
        <v>0</v>
      </c>
      <c r="U86">
        <f t="shared" ca="1" si="20"/>
        <v>0</v>
      </c>
      <c r="V86">
        <f t="shared" ca="1" si="20"/>
        <v>0</v>
      </c>
      <c r="W86">
        <f t="shared" ca="1" si="20"/>
        <v>0</v>
      </c>
      <c r="X86">
        <f t="shared" ca="1" si="20"/>
        <v>0.25</v>
      </c>
      <c r="Y86">
        <f t="shared" ca="1" si="20"/>
        <v>23.75</v>
      </c>
      <c r="Z86">
        <f t="shared" ca="1" si="16"/>
        <v>172.5625</v>
      </c>
      <c r="AA86" t="e">
        <f t="shared" si="17"/>
        <v>#N/A</v>
      </c>
      <c r="AB86" t="str">
        <f t="shared" si="18"/>
        <v/>
      </c>
      <c r="AC86">
        <f t="shared" si="19"/>
        <v>0</v>
      </c>
    </row>
    <row r="87" spans="2:29" x14ac:dyDescent="0.3">
      <c r="B87">
        <v>166</v>
      </c>
      <c r="C87">
        <f>SUMIFS(INDEX(xmen[[speech]:[depicted]],,$E$2),xmen[issue],Matrix!$B87,xmen[x],Matrix!C$10,xmen[costume],C$9)</f>
        <v>0</v>
      </c>
      <c r="D87">
        <f>SUMIFS(INDEX(xmen[[speech]:[depicted]],,$E$2),xmen[issue],Matrix!$B87,xmen[x],Matrix!D$10,xmen[costume],D$9)</f>
        <v>0</v>
      </c>
      <c r="E87">
        <f>SUMIFS(INDEX(xmen[[speech]:[depicted]],,$E$2),xmen[issue],Matrix!$B87,xmen[x],Matrix!E$10,xmen[costume],E$9)</f>
        <v>0</v>
      </c>
      <c r="F87">
        <f>SUMIFS(INDEX(xmen[[speech]:[depicted]],,$E$2),xmen[issue],Matrix!$B87,xmen[x],Matrix!F$10,xmen[costume],F$9)</f>
        <v>0</v>
      </c>
      <c r="G87">
        <f>SUMIFS(INDEX(xmen[[speech]:[depicted]],,$E$2),xmen[issue],Matrix!$B87,xmen[x],Matrix!G$10,xmen[costume],G$9)</f>
        <v>0</v>
      </c>
      <c r="H87">
        <f>SUMIFS(INDEX(xmen[[speech]:[depicted]],,$E$2),xmen[issue],Matrix!$B87,xmen[x],Matrix!H$10,xmen[costume],H$9)</f>
        <v>0</v>
      </c>
      <c r="I87">
        <f>SUMIFS(INDEX(xmen[[speech]:[depicted]],,$E$2),xmen[issue],Matrix!$B87,xmen[x],Matrix!I$10,xmen[costume],I$9)</f>
        <v>17</v>
      </c>
      <c r="J87">
        <f>SUMIFS(INDEX(xmen[[speech]:[depicted]],,$E$2),xmen[issue],Matrix!$B87,xmen[x],Matrix!J$10,xmen[costume],J$9)</f>
        <v>0</v>
      </c>
      <c r="K87">
        <f>SUMIFS(INDEX(xmen[[speech]:[depicted]],,$E$2),xmen[issue],Matrix!$B87,xmen[x],Matrix!K$10,xmen[costume],K$9)</f>
        <v>2</v>
      </c>
      <c r="L87">
        <f>SUMIFS(INDEX(xmen[[speech]:[depicted]],,$E$2),xmen[issue],Matrix!$B87,xmen[x],Matrix!L$10,xmen[costume],L$9)</f>
        <v>0</v>
      </c>
      <c r="M87">
        <f t="shared" ca="1" si="14"/>
        <v>143.5</v>
      </c>
      <c r="O87">
        <f t="shared" ca="1" si="13"/>
        <v>149.1875</v>
      </c>
      <c r="P87">
        <f t="shared" ca="1" si="20"/>
        <v>2.125</v>
      </c>
      <c r="Q87">
        <f t="shared" ca="1" si="20"/>
        <v>0</v>
      </c>
      <c r="R87">
        <f t="shared" ca="1" si="20"/>
        <v>0</v>
      </c>
      <c r="S87">
        <f t="shared" ca="1" si="20"/>
        <v>0</v>
      </c>
      <c r="T87">
        <f t="shared" ca="1" si="20"/>
        <v>0</v>
      </c>
      <c r="U87">
        <f t="shared" ca="1" si="20"/>
        <v>0</v>
      </c>
      <c r="V87">
        <f t="shared" ca="1" si="20"/>
        <v>0</v>
      </c>
      <c r="W87">
        <f t="shared" ca="1" si="20"/>
        <v>0</v>
      </c>
      <c r="X87">
        <f t="shared" ca="1" si="20"/>
        <v>0.25</v>
      </c>
      <c r="Y87">
        <f t="shared" ca="1" si="20"/>
        <v>23.75</v>
      </c>
      <c r="Z87">
        <f t="shared" ca="1" si="16"/>
        <v>175.3125</v>
      </c>
      <c r="AA87" t="e">
        <f t="shared" si="17"/>
        <v>#N/A</v>
      </c>
      <c r="AB87" t="str">
        <f t="shared" si="18"/>
        <v/>
      </c>
      <c r="AC87">
        <f t="shared" si="19"/>
        <v>0</v>
      </c>
    </row>
    <row r="88" spans="2:29" x14ac:dyDescent="0.3">
      <c r="B88">
        <v>167</v>
      </c>
      <c r="C88">
        <f>SUMIFS(INDEX(xmen[[speech]:[depicted]],,$E$2),xmen[issue],Matrix!$B88,xmen[x],Matrix!C$10,xmen[costume],C$9)</f>
        <v>0</v>
      </c>
      <c r="D88">
        <f>SUMIFS(INDEX(xmen[[speech]:[depicted]],,$E$2),xmen[issue],Matrix!$B88,xmen[x],Matrix!D$10,xmen[costume],D$9)</f>
        <v>0</v>
      </c>
      <c r="E88">
        <f>SUMIFS(INDEX(xmen[[speech]:[depicted]],,$E$2),xmen[issue],Matrix!$B88,xmen[x],Matrix!E$10,xmen[costume],E$9)</f>
        <v>0</v>
      </c>
      <c r="F88">
        <f>SUMIFS(INDEX(xmen[[speech]:[depicted]],,$E$2),xmen[issue],Matrix!$B88,xmen[x],Matrix!F$10,xmen[costume],F$9)</f>
        <v>0</v>
      </c>
      <c r="G88">
        <f>SUMIFS(INDEX(xmen[[speech]:[depicted]],,$E$2),xmen[issue],Matrix!$B88,xmen[x],Matrix!G$10,xmen[costume],G$9)</f>
        <v>0</v>
      </c>
      <c r="H88">
        <f>SUMIFS(INDEX(xmen[[speech]:[depicted]],,$E$2),xmen[issue],Matrix!$B88,xmen[x],Matrix!H$10,xmen[costume],H$9)</f>
        <v>0</v>
      </c>
      <c r="I88">
        <f>SUMIFS(INDEX(xmen[[speech]:[depicted]],,$E$2),xmen[issue],Matrix!$B88,xmen[x],Matrix!I$10,xmen[costume],I$9)</f>
        <v>0</v>
      </c>
      <c r="J88">
        <f>SUMIFS(INDEX(xmen[[speech]:[depicted]],,$E$2),xmen[issue],Matrix!$B88,xmen[x],Matrix!J$10,xmen[costume],J$9)</f>
        <v>0</v>
      </c>
      <c r="K88">
        <f>SUMIFS(INDEX(xmen[[speech]:[depicted]],,$E$2),xmen[issue],Matrix!$B88,xmen[x],Matrix!K$10,xmen[costume],K$9)</f>
        <v>0</v>
      </c>
      <c r="L88">
        <f>SUMIFS(INDEX(xmen[[speech]:[depicted]],,$E$2),xmen[issue],Matrix!$B88,xmen[x],Matrix!L$10,xmen[costume],L$9)</f>
        <v>0</v>
      </c>
      <c r="M88">
        <f t="shared" ca="1" si="14"/>
        <v>164</v>
      </c>
      <c r="O88">
        <f t="shared" ca="1" si="13"/>
        <v>161.625</v>
      </c>
      <c r="P88">
        <f t="shared" ca="1" si="20"/>
        <v>2.125</v>
      </c>
      <c r="Q88">
        <f t="shared" ca="1" si="20"/>
        <v>0</v>
      </c>
      <c r="R88">
        <f t="shared" ca="1" si="20"/>
        <v>0</v>
      </c>
      <c r="S88">
        <f t="shared" ca="1" si="20"/>
        <v>0</v>
      </c>
      <c r="T88">
        <f t="shared" ca="1" si="20"/>
        <v>0</v>
      </c>
      <c r="U88">
        <f t="shared" ca="1" si="20"/>
        <v>0</v>
      </c>
      <c r="V88">
        <f t="shared" ca="1" si="20"/>
        <v>0</v>
      </c>
      <c r="W88">
        <f t="shared" ca="1" si="20"/>
        <v>0</v>
      </c>
      <c r="X88">
        <f t="shared" ca="1" si="20"/>
        <v>0.25</v>
      </c>
      <c r="Y88">
        <f t="shared" ca="1" si="20"/>
        <v>4.625</v>
      </c>
      <c r="Z88">
        <f t="shared" ca="1" si="16"/>
        <v>168.625</v>
      </c>
      <c r="AA88" t="e">
        <f t="shared" si="17"/>
        <v>#N/A</v>
      </c>
      <c r="AB88" t="str">
        <f t="shared" si="18"/>
        <v/>
      </c>
      <c r="AC88">
        <f t="shared" si="19"/>
        <v>0</v>
      </c>
    </row>
    <row r="89" spans="2:29" x14ac:dyDescent="0.3">
      <c r="B89">
        <v>168</v>
      </c>
      <c r="C89">
        <f>SUMIFS(INDEX(xmen[[speech]:[depicted]],,$E$2),xmen[issue],Matrix!$B89,xmen[x],Matrix!C$10,xmen[costume],C$9)</f>
        <v>0</v>
      </c>
      <c r="D89">
        <f>SUMIFS(INDEX(xmen[[speech]:[depicted]],,$E$2),xmen[issue],Matrix!$B89,xmen[x],Matrix!D$10,xmen[costume],D$9)</f>
        <v>0</v>
      </c>
      <c r="E89">
        <f>SUMIFS(INDEX(xmen[[speech]:[depicted]],,$E$2),xmen[issue],Matrix!$B89,xmen[x],Matrix!E$10,xmen[costume],E$9)</f>
        <v>0</v>
      </c>
      <c r="F89">
        <f>SUMIFS(INDEX(xmen[[speech]:[depicted]],,$E$2),xmen[issue],Matrix!$B89,xmen[x],Matrix!F$10,xmen[costume],F$9)</f>
        <v>0</v>
      </c>
      <c r="G89">
        <f>SUMIFS(INDEX(xmen[[speech]:[depicted]],,$E$2),xmen[issue],Matrix!$B89,xmen[x],Matrix!G$10,xmen[costume],G$9)</f>
        <v>0</v>
      </c>
      <c r="H89">
        <f>SUMIFS(INDEX(xmen[[speech]:[depicted]],,$E$2),xmen[issue],Matrix!$B89,xmen[x],Matrix!H$10,xmen[costume],H$9)</f>
        <v>0</v>
      </c>
      <c r="I89">
        <f>SUMIFS(INDEX(xmen[[speech]:[depicted]],,$E$2),xmen[issue],Matrix!$B89,xmen[x],Matrix!I$10,xmen[costume],I$9)</f>
        <v>0</v>
      </c>
      <c r="J89">
        <f>SUMIFS(INDEX(xmen[[speech]:[depicted]],,$E$2),xmen[issue],Matrix!$B89,xmen[x],Matrix!J$10,xmen[costume],J$9)</f>
        <v>0</v>
      </c>
      <c r="K89">
        <f>SUMIFS(INDEX(xmen[[speech]:[depicted]],,$E$2),xmen[issue],Matrix!$B89,xmen[x],Matrix!K$10,xmen[costume],K$9)</f>
        <v>0</v>
      </c>
      <c r="L89">
        <f>SUMIFS(INDEX(xmen[[speech]:[depicted]],,$E$2),xmen[issue],Matrix!$B89,xmen[x],Matrix!L$10,xmen[costume],L$9)</f>
        <v>0</v>
      </c>
      <c r="M89">
        <f t="shared" ca="1" si="14"/>
        <v>168</v>
      </c>
      <c r="O89">
        <f t="shared" ca="1" si="13"/>
        <v>163.5625</v>
      </c>
      <c r="P89">
        <f t="shared" ca="1" si="20"/>
        <v>2.125</v>
      </c>
      <c r="Q89">
        <f t="shared" ca="1" si="20"/>
        <v>0</v>
      </c>
      <c r="R89">
        <f t="shared" ca="1" si="20"/>
        <v>0</v>
      </c>
      <c r="S89">
        <f t="shared" ca="1" si="20"/>
        <v>0</v>
      </c>
      <c r="T89">
        <f t="shared" ca="1" si="20"/>
        <v>0</v>
      </c>
      <c r="U89">
        <f t="shared" ca="1" si="20"/>
        <v>0</v>
      </c>
      <c r="V89">
        <f t="shared" ca="1" si="20"/>
        <v>0</v>
      </c>
      <c r="W89">
        <f t="shared" ca="1" si="20"/>
        <v>0</v>
      </c>
      <c r="X89">
        <f t="shared" ca="1" si="20"/>
        <v>0.25</v>
      </c>
      <c r="Y89">
        <f t="shared" ca="1" si="20"/>
        <v>0</v>
      </c>
      <c r="Z89">
        <f t="shared" ca="1" si="16"/>
        <v>165.9375</v>
      </c>
      <c r="AA89" t="e">
        <f t="shared" si="17"/>
        <v>#N/A</v>
      </c>
      <c r="AB89" t="str">
        <f t="shared" si="18"/>
        <v/>
      </c>
      <c r="AC89">
        <f t="shared" si="19"/>
        <v>0</v>
      </c>
    </row>
    <row r="90" spans="2:29" x14ac:dyDescent="0.3">
      <c r="B90">
        <v>169</v>
      </c>
      <c r="C90">
        <f>SUMIFS(INDEX(xmen[[speech]:[depicted]],,$E$2),xmen[issue],Matrix!$B90,xmen[x],Matrix!C$10,xmen[costume],C$9)</f>
        <v>0</v>
      </c>
      <c r="D90">
        <f>SUMIFS(INDEX(xmen[[speech]:[depicted]],,$E$2),xmen[issue],Matrix!$B90,xmen[x],Matrix!D$10,xmen[costume],D$9)</f>
        <v>0</v>
      </c>
      <c r="E90">
        <f>SUMIFS(INDEX(xmen[[speech]:[depicted]],,$E$2),xmen[issue],Matrix!$B90,xmen[x],Matrix!E$10,xmen[costume],E$9)</f>
        <v>0</v>
      </c>
      <c r="F90">
        <f>SUMIFS(INDEX(xmen[[speech]:[depicted]],,$E$2),xmen[issue],Matrix!$B90,xmen[x],Matrix!F$10,xmen[costume],F$9)</f>
        <v>0</v>
      </c>
      <c r="G90">
        <f>SUMIFS(INDEX(xmen[[speech]:[depicted]],,$E$2),xmen[issue],Matrix!$B90,xmen[x],Matrix!G$10,xmen[costume],G$9)</f>
        <v>0</v>
      </c>
      <c r="H90">
        <f>SUMIFS(INDEX(xmen[[speech]:[depicted]],,$E$2),xmen[issue],Matrix!$B90,xmen[x],Matrix!H$10,xmen[costume],H$9)</f>
        <v>0</v>
      </c>
      <c r="I90">
        <f>SUMIFS(INDEX(xmen[[speech]:[depicted]],,$E$2),xmen[issue],Matrix!$B90,xmen[x],Matrix!I$10,xmen[costume],I$9)</f>
        <v>0</v>
      </c>
      <c r="J90">
        <f>SUMIFS(INDEX(xmen[[speech]:[depicted]],,$E$2),xmen[issue],Matrix!$B90,xmen[x],Matrix!J$10,xmen[costume],J$9)</f>
        <v>0</v>
      </c>
      <c r="K90">
        <f>SUMIFS(INDEX(xmen[[speech]:[depicted]],,$E$2),xmen[issue],Matrix!$B90,xmen[x],Matrix!K$10,xmen[costume],K$9)</f>
        <v>0</v>
      </c>
      <c r="L90">
        <f>SUMIFS(INDEX(xmen[[speech]:[depicted]],,$E$2),xmen[issue],Matrix!$B90,xmen[x],Matrix!L$10,xmen[costume],L$9)</f>
        <v>0</v>
      </c>
      <c r="M90">
        <f t="shared" ca="1" si="14"/>
        <v>172</v>
      </c>
      <c r="O90">
        <f t="shared" ca="1" si="13"/>
        <v>161.375</v>
      </c>
      <c r="P90">
        <f t="shared" ca="1" si="20"/>
        <v>2.125</v>
      </c>
      <c r="Q90">
        <f t="shared" ca="1" si="20"/>
        <v>0</v>
      </c>
      <c r="R90">
        <f t="shared" ca="1" si="20"/>
        <v>0</v>
      </c>
      <c r="S90">
        <f t="shared" ca="1" si="20"/>
        <v>0</v>
      </c>
      <c r="T90">
        <f t="shared" ca="1" si="20"/>
        <v>0</v>
      </c>
      <c r="U90">
        <f t="shared" ca="1" si="20"/>
        <v>0</v>
      </c>
      <c r="V90">
        <f t="shared" ca="1" si="20"/>
        <v>0</v>
      </c>
      <c r="W90">
        <f t="shared" ca="1" si="20"/>
        <v>0</v>
      </c>
      <c r="X90">
        <f t="shared" ca="1" si="20"/>
        <v>0.25</v>
      </c>
      <c r="Y90">
        <f t="shared" ca="1" si="20"/>
        <v>3.125</v>
      </c>
      <c r="Z90">
        <f t="shared" ca="1" si="16"/>
        <v>166.875</v>
      </c>
      <c r="AA90" t="e">
        <f t="shared" si="17"/>
        <v>#N/A</v>
      </c>
      <c r="AB90" t="str">
        <f t="shared" si="18"/>
        <v/>
      </c>
      <c r="AC90">
        <f t="shared" si="19"/>
        <v>0</v>
      </c>
    </row>
    <row r="91" spans="2:29" x14ac:dyDescent="0.3">
      <c r="B91">
        <v>170</v>
      </c>
      <c r="C91">
        <f>SUMIFS(INDEX(xmen[[speech]:[depicted]],,$E$2),xmen[issue],Matrix!$B91,xmen[x],Matrix!C$10,xmen[costume],C$9)</f>
        <v>0</v>
      </c>
      <c r="D91">
        <f>SUMIFS(INDEX(xmen[[speech]:[depicted]],,$E$2),xmen[issue],Matrix!$B91,xmen[x],Matrix!D$10,xmen[costume],D$9)</f>
        <v>0</v>
      </c>
      <c r="E91">
        <f>SUMIFS(INDEX(xmen[[speech]:[depicted]],,$E$2),xmen[issue],Matrix!$B91,xmen[x],Matrix!E$10,xmen[costume],E$9)</f>
        <v>0</v>
      </c>
      <c r="F91">
        <f>SUMIFS(INDEX(xmen[[speech]:[depicted]],,$E$2),xmen[issue],Matrix!$B91,xmen[x],Matrix!F$10,xmen[costume],F$9)</f>
        <v>0</v>
      </c>
      <c r="G91">
        <f>SUMIFS(INDEX(xmen[[speech]:[depicted]],,$E$2),xmen[issue],Matrix!$B91,xmen[x],Matrix!G$10,xmen[costume],G$9)</f>
        <v>0</v>
      </c>
      <c r="H91">
        <f>SUMIFS(INDEX(xmen[[speech]:[depicted]],,$E$2),xmen[issue],Matrix!$B91,xmen[x],Matrix!H$10,xmen[costume],H$9)</f>
        <v>0</v>
      </c>
      <c r="I91">
        <f>SUMIFS(INDEX(xmen[[speech]:[depicted]],,$E$2),xmen[issue],Matrix!$B91,xmen[x],Matrix!I$10,xmen[costume],I$9)</f>
        <v>0</v>
      </c>
      <c r="J91">
        <f>SUMIFS(INDEX(xmen[[speech]:[depicted]],,$E$2),xmen[issue],Matrix!$B91,xmen[x],Matrix!J$10,xmen[costume],J$9)</f>
        <v>0</v>
      </c>
      <c r="K91">
        <f>SUMIFS(INDEX(xmen[[speech]:[depicted]],,$E$2),xmen[issue],Matrix!$B91,xmen[x],Matrix!K$10,xmen[costume],K$9)</f>
        <v>0</v>
      </c>
      <c r="L91">
        <f>SUMIFS(INDEX(xmen[[speech]:[depicted]],,$E$2),xmen[issue],Matrix!$B91,xmen[x],Matrix!L$10,xmen[costume],L$9)</f>
        <v>0</v>
      </c>
      <c r="M91">
        <f t="shared" ca="1" si="14"/>
        <v>173</v>
      </c>
      <c r="O91">
        <f t="shared" ca="1" si="13"/>
        <v>158.6875</v>
      </c>
      <c r="P91">
        <f t="shared" ca="1" si="20"/>
        <v>2.125</v>
      </c>
      <c r="Q91">
        <f t="shared" ca="1" si="20"/>
        <v>0</v>
      </c>
      <c r="R91">
        <f t="shared" ca="1" si="20"/>
        <v>0</v>
      </c>
      <c r="S91">
        <f t="shared" ca="1" si="20"/>
        <v>0</v>
      </c>
      <c r="T91">
        <f t="shared" ca="1" si="20"/>
        <v>0</v>
      </c>
      <c r="U91">
        <f t="shared" ca="1" si="20"/>
        <v>0</v>
      </c>
      <c r="V91">
        <f t="shared" ca="1" si="20"/>
        <v>0</v>
      </c>
      <c r="W91">
        <f t="shared" ca="1" si="20"/>
        <v>0</v>
      </c>
      <c r="X91">
        <f t="shared" ca="1" si="20"/>
        <v>0.25</v>
      </c>
      <c r="Y91">
        <f t="shared" ca="1" si="20"/>
        <v>10</v>
      </c>
      <c r="Z91">
        <f t="shared" ca="1" si="16"/>
        <v>171.0625</v>
      </c>
      <c r="AA91" t="e">
        <f t="shared" si="17"/>
        <v>#N/A</v>
      </c>
      <c r="AB91" t="str">
        <f t="shared" si="18"/>
        <v/>
      </c>
      <c r="AC91">
        <f t="shared" si="19"/>
        <v>0</v>
      </c>
    </row>
    <row r="92" spans="2:29" x14ac:dyDescent="0.3">
      <c r="B92">
        <v>171</v>
      </c>
      <c r="C92">
        <f>SUMIFS(INDEX(xmen[[speech]:[depicted]],,$E$2),xmen[issue],Matrix!$B92,xmen[x],Matrix!C$10,xmen[costume],C$9)</f>
        <v>0</v>
      </c>
      <c r="D92">
        <f>SUMIFS(INDEX(xmen[[speech]:[depicted]],,$E$2),xmen[issue],Matrix!$B92,xmen[x],Matrix!D$10,xmen[costume],D$9)</f>
        <v>0</v>
      </c>
      <c r="E92">
        <f>SUMIFS(INDEX(xmen[[speech]:[depicted]],,$E$2),xmen[issue],Matrix!$B92,xmen[x],Matrix!E$10,xmen[costume],E$9)</f>
        <v>0</v>
      </c>
      <c r="F92">
        <f>SUMIFS(INDEX(xmen[[speech]:[depicted]],,$E$2),xmen[issue],Matrix!$B92,xmen[x],Matrix!F$10,xmen[costume],F$9)</f>
        <v>0</v>
      </c>
      <c r="G92">
        <f>SUMIFS(INDEX(xmen[[speech]:[depicted]],,$E$2),xmen[issue],Matrix!$B92,xmen[x],Matrix!G$10,xmen[costume],G$9)</f>
        <v>0</v>
      </c>
      <c r="H92">
        <f>SUMIFS(INDEX(xmen[[speech]:[depicted]],,$E$2),xmen[issue],Matrix!$B92,xmen[x],Matrix!H$10,xmen[costume],H$9)</f>
        <v>0</v>
      </c>
      <c r="I92">
        <f>SUMIFS(INDEX(xmen[[speech]:[depicted]],,$E$2),xmen[issue],Matrix!$B92,xmen[x],Matrix!I$10,xmen[costume],I$9)</f>
        <v>0</v>
      </c>
      <c r="J92">
        <f>SUMIFS(INDEX(xmen[[speech]:[depicted]],,$E$2),xmen[issue],Matrix!$B92,xmen[x],Matrix!J$10,xmen[costume],J$9)</f>
        <v>0</v>
      </c>
      <c r="K92">
        <f>SUMIFS(INDEX(xmen[[speech]:[depicted]],,$E$2),xmen[issue],Matrix!$B92,xmen[x],Matrix!K$10,xmen[costume],K$9)</f>
        <v>0</v>
      </c>
      <c r="L92">
        <f>SUMIFS(INDEX(xmen[[speech]:[depicted]],,$E$2),xmen[issue],Matrix!$B92,xmen[x],Matrix!L$10,xmen[costume],L$9)</f>
        <v>0</v>
      </c>
      <c r="M92">
        <f t="shared" ca="1" si="14"/>
        <v>158</v>
      </c>
      <c r="O92">
        <f t="shared" ca="1" si="13"/>
        <v>161.6875</v>
      </c>
      <c r="P92">
        <f t="shared" ca="1" si="20"/>
        <v>0</v>
      </c>
      <c r="Q92">
        <f t="shared" ca="1" si="20"/>
        <v>0</v>
      </c>
      <c r="R92">
        <f t="shared" ca="1" si="20"/>
        <v>0</v>
      </c>
      <c r="S92">
        <f t="shared" ca="1" si="20"/>
        <v>0.375</v>
      </c>
      <c r="T92">
        <f t="shared" ca="1" si="20"/>
        <v>0</v>
      </c>
      <c r="U92">
        <f t="shared" ca="1" si="20"/>
        <v>0</v>
      </c>
      <c r="V92">
        <f t="shared" ca="1" si="20"/>
        <v>0</v>
      </c>
      <c r="W92">
        <f t="shared" ca="1" si="20"/>
        <v>0</v>
      </c>
      <c r="X92">
        <f t="shared" ca="1" si="20"/>
        <v>0</v>
      </c>
      <c r="Y92">
        <f t="shared" ca="1" si="20"/>
        <v>10</v>
      </c>
      <c r="Z92">
        <f t="shared" ca="1" si="16"/>
        <v>172.0625</v>
      </c>
      <c r="AA92" t="e">
        <f t="shared" si="17"/>
        <v>#N/A</v>
      </c>
      <c r="AB92" t="str">
        <f t="shared" si="18"/>
        <v/>
      </c>
      <c r="AC92">
        <f t="shared" si="19"/>
        <v>0</v>
      </c>
    </row>
    <row r="93" spans="2:29" x14ac:dyDescent="0.3">
      <c r="B93">
        <v>172</v>
      </c>
      <c r="C93">
        <f>SUMIFS(INDEX(xmen[[speech]:[depicted]],,$E$2),xmen[issue],Matrix!$B93,xmen[x],Matrix!C$10,xmen[costume],C$9)</f>
        <v>0</v>
      </c>
      <c r="D93">
        <f>SUMIFS(INDEX(xmen[[speech]:[depicted]],,$E$2),xmen[issue],Matrix!$B93,xmen[x],Matrix!D$10,xmen[costume],D$9)</f>
        <v>0</v>
      </c>
      <c r="E93">
        <f>SUMIFS(INDEX(xmen[[speech]:[depicted]],,$E$2),xmen[issue],Matrix!$B93,xmen[x],Matrix!E$10,xmen[costume],E$9)</f>
        <v>0</v>
      </c>
      <c r="F93">
        <f>SUMIFS(INDEX(xmen[[speech]:[depicted]],,$E$2),xmen[issue],Matrix!$B93,xmen[x],Matrix!F$10,xmen[costume],F$9)</f>
        <v>0</v>
      </c>
      <c r="G93">
        <f>SUMIFS(INDEX(xmen[[speech]:[depicted]],,$E$2),xmen[issue],Matrix!$B93,xmen[x],Matrix!G$10,xmen[costume],G$9)</f>
        <v>0</v>
      </c>
      <c r="H93">
        <f>SUMIFS(INDEX(xmen[[speech]:[depicted]],,$E$2),xmen[issue],Matrix!$B93,xmen[x],Matrix!H$10,xmen[costume],H$9)</f>
        <v>0</v>
      </c>
      <c r="I93">
        <f>SUMIFS(INDEX(xmen[[speech]:[depicted]],,$E$2),xmen[issue],Matrix!$B93,xmen[x],Matrix!I$10,xmen[costume],I$9)</f>
        <v>0</v>
      </c>
      <c r="J93">
        <f>SUMIFS(INDEX(xmen[[speech]:[depicted]],,$E$2),xmen[issue],Matrix!$B93,xmen[x],Matrix!J$10,xmen[costume],J$9)</f>
        <v>0</v>
      </c>
      <c r="K93">
        <f>SUMIFS(INDEX(xmen[[speech]:[depicted]],,$E$2),xmen[issue],Matrix!$B93,xmen[x],Matrix!K$10,xmen[costume],K$9)</f>
        <v>0</v>
      </c>
      <c r="L93">
        <f>SUMIFS(INDEX(xmen[[speech]:[depicted]],,$E$2),xmen[issue],Matrix!$B93,xmen[x],Matrix!L$10,xmen[costume],L$9)</f>
        <v>25</v>
      </c>
      <c r="M93">
        <f t="shared" ca="1" si="14"/>
        <v>143.5</v>
      </c>
      <c r="O93">
        <f t="shared" ca="1" si="13"/>
        <v>160.5625</v>
      </c>
      <c r="P93">
        <f t="shared" ca="1" si="20"/>
        <v>0</v>
      </c>
      <c r="Q93">
        <f t="shared" ca="1" si="20"/>
        <v>0</v>
      </c>
      <c r="R93">
        <f t="shared" ca="1" si="20"/>
        <v>0</v>
      </c>
      <c r="S93">
        <f t="shared" ca="1" si="20"/>
        <v>0.375</v>
      </c>
      <c r="T93">
        <f t="shared" ca="1" si="20"/>
        <v>0</v>
      </c>
      <c r="U93">
        <f t="shared" ca="1" si="20"/>
        <v>0</v>
      </c>
      <c r="V93">
        <f t="shared" ca="1" si="20"/>
        <v>0</v>
      </c>
      <c r="W93">
        <f t="shared" ca="1" si="20"/>
        <v>0</v>
      </c>
      <c r="X93">
        <f t="shared" ca="1" si="20"/>
        <v>0</v>
      </c>
      <c r="Y93">
        <f t="shared" ca="1" si="20"/>
        <v>10</v>
      </c>
      <c r="Z93">
        <f t="shared" ca="1" si="16"/>
        <v>170.9375</v>
      </c>
      <c r="AA93" t="e">
        <f t="shared" si="17"/>
        <v>#N/A</v>
      </c>
      <c r="AB93" t="str">
        <f t="shared" si="18"/>
        <v/>
      </c>
      <c r="AC93">
        <f t="shared" si="19"/>
        <v>0</v>
      </c>
    </row>
    <row r="94" spans="2:29" x14ac:dyDescent="0.3">
      <c r="B94">
        <v>173</v>
      </c>
      <c r="C94">
        <f>SUMIFS(INDEX(xmen[[speech]:[depicted]],,$E$2),xmen[issue],Matrix!$B94,xmen[x],Matrix!C$10,xmen[costume],C$9)</f>
        <v>0</v>
      </c>
      <c r="D94">
        <f>SUMIFS(INDEX(xmen[[speech]:[depicted]],,$E$2),xmen[issue],Matrix!$B94,xmen[x],Matrix!D$10,xmen[costume],D$9)</f>
        <v>0</v>
      </c>
      <c r="E94">
        <f>SUMIFS(INDEX(xmen[[speech]:[depicted]],,$E$2),xmen[issue],Matrix!$B94,xmen[x],Matrix!E$10,xmen[costume],E$9)</f>
        <v>0</v>
      </c>
      <c r="F94">
        <f>SUMIFS(INDEX(xmen[[speech]:[depicted]],,$E$2),xmen[issue],Matrix!$B94,xmen[x],Matrix!F$10,xmen[costume],F$9)</f>
        <v>0</v>
      </c>
      <c r="G94">
        <f>SUMIFS(INDEX(xmen[[speech]:[depicted]],,$E$2),xmen[issue],Matrix!$B94,xmen[x],Matrix!G$10,xmen[costume],G$9)</f>
        <v>0</v>
      </c>
      <c r="H94">
        <f>SUMIFS(INDEX(xmen[[speech]:[depicted]],,$E$2),xmen[issue],Matrix!$B94,xmen[x],Matrix!H$10,xmen[costume],H$9)</f>
        <v>0</v>
      </c>
      <c r="I94">
        <f>SUMIFS(INDEX(xmen[[speech]:[depicted]],,$E$2),xmen[issue],Matrix!$B94,xmen[x],Matrix!I$10,xmen[costume],I$9)</f>
        <v>0</v>
      </c>
      <c r="J94">
        <f>SUMIFS(INDEX(xmen[[speech]:[depicted]],,$E$2),xmen[issue],Matrix!$B94,xmen[x],Matrix!J$10,xmen[costume],J$9)</f>
        <v>0</v>
      </c>
      <c r="K94">
        <f>SUMIFS(INDEX(xmen[[speech]:[depicted]],,$E$2),xmen[issue],Matrix!$B94,xmen[x],Matrix!K$10,xmen[costume],K$9)</f>
        <v>0</v>
      </c>
      <c r="L94">
        <f>SUMIFS(INDEX(xmen[[speech]:[depicted]],,$E$2),xmen[issue],Matrix!$B94,xmen[x],Matrix!L$10,xmen[costume],L$9)</f>
        <v>55</v>
      </c>
      <c r="M94">
        <f t="shared" ca="1" si="14"/>
        <v>147.5</v>
      </c>
      <c r="O94">
        <f t="shared" ca="1" si="13"/>
        <v>160.5625</v>
      </c>
      <c r="P94">
        <f t="shared" ca="1" si="20"/>
        <v>0</v>
      </c>
      <c r="Q94">
        <f t="shared" ca="1" si="20"/>
        <v>0</v>
      </c>
      <c r="R94">
        <f t="shared" ca="1" si="20"/>
        <v>0</v>
      </c>
      <c r="S94">
        <f t="shared" ca="1" si="20"/>
        <v>0.375</v>
      </c>
      <c r="T94">
        <f t="shared" ca="1" si="20"/>
        <v>0</v>
      </c>
      <c r="U94">
        <f t="shared" ca="1" si="20"/>
        <v>0</v>
      </c>
      <c r="V94">
        <f t="shared" ca="1" si="20"/>
        <v>0</v>
      </c>
      <c r="W94">
        <f t="shared" ca="1" si="20"/>
        <v>0</v>
      </c>
      <c r="X94">
        <f t="shared" ca="1" si="20"/>
        <v>0</v>
      </c>
      <c r="Y94">
        <f t="shared" ca="1" si="20"/>
        <v>10</v>
      </c>
      <c r="Z94">
        <f t="shared" ca="1" si="16"/>
        <v>170.9375</v>
      </c>
      <c r="AA94" t="e">
        <f t="shared" si="17"/>
        <v>#N/A</v>
      </c>
      <c r="AB94" t="str">
        <f t="shared" si="18"/>
        <v/>
      </c>
      <c r="AC94">
        <f t="shared" si="19"/>
        <v>0</v>
      </c>
    </row>
    <row r="95" spans="2:29" x14ac:dyDescent="0.3">
      <c r="B95">
        <v>174</v>
      </c>
      <c r="C95">
        <f>SUMIFS(INDEX(xmen[[speech]:[depicted]],,$E$2),xmen[issue],Matrix!$B95,xmen[x],Matrix!C$10,xmen[costume],C$9)</f>
        <v>0</v>
      </c>
      <c r="D95">
        <f>SUMIFS(INDEX(xmen[[speech]:[depicted]],,$E$2),xmen[issue],Matrix!$B95,xmen[x],Matrix!D$10,xmen[costume],D$9)</f>
        <v>0</v>
      </c>
      <c r="E95">
        <f>SUMIFS(INDEX(xmen[[speech]:[depicted]],,$E$2),xmen[issue],Matrix!$B95,xmen[x],Matrix!E$10,xmen[costume],E$9)</f>
        <v>0</v>
      </c>
      <c r="F95">
        <f>SUMIFS(INDEX(xmen[[speech]:[depicted]],,$E$2),xmen[issue],Matrix!$B95,xmen[x],Matrix!F$10,xmen[costume],F$9)</f>
        <v>0</v>
      </c>
      <c r="G95">
        <f>SUMIFS(INDEX(xmen[[speech]:[depicted]],,$E$2),xmen[issue],Matrix!$B95,xmen[x],Matrix!G$10,xmen[costume],G$9)</f>
        <v>0</v>
      </c>
      <c r="H95">
        <f>SUMIFS(INDEX(xmen[[speech]:[depicted]],,$E$2),xmen[issue],Matrix!$B95,xmen[x],Matrix!H$10,xmen[costume],H$9)</f>
        <v>3</v>
      </c>
      <c r="I95">
        <f>SUMIFS(INDEX(xmen[[speech]:[depicted]],,$E$2),xmen[issue],Matrix!$B95,xmen[x],Matrix!I$10,xmen[costume],I$9)</f>
        <v>0</v>
      </c>
      <c r="J95">
        <f>SUMIFS(INDEX(xmen[[speech]:[depicted]],,$E$2),xmen[issue],Matrix!$B95,xmen[x],Matrix!J$10,xmen[costume],J$9)</f>
        <v>0</v>
      </c>
      <c r="K95">
        <f>SUMIFS(INDEX(xmen[[speech]:[depicted]],,$E$2),xmen[issue],Matrix!$B95,xmen[x],Matrix!K$10,xmen[costume],K$9)</f>
        <v>0</v>
      </c>
      <c r="L95">
        <f>SUMIFS(INDEX(xmen[[speech]:[depicted]],,$E$2),xmen[issue],Matrix!$B95,xmen[x],Matrix!L$10,xmen[costume],L$9)</f>
        <v>0</v>
      </c>
      <c r="M95">
        <f t="shared" ca="1" si="14"/>
        <v>167.5</v>
      </c>
      <c r="O95">
        <f t="shared" ca="1" si="13"/>
        <v>159.0625</v>
      </c>
      <c r="P95">
        <f ca="1">AVERAGE(OFFSET(INDEX($C95:$M95,P$9),-$P$3,,$P$2,1))</f>
        <v>0</v>
      </c>
      <c r="Q95">
        <f t="shared" ref="P95:Y110" ca="1" si="21">AVERAGE(OFFSET(INDEX($C95:$M95,Q$9),-$P$3,,$P$2,1))</f>
        <v>0</v>
      </c>
      <c r="R95">
        <f t="shared" ca="1" si="21"/>
        <v>0</v>
      </c>
      <c r="S95">
        <f t="shared" ca="1" si="21"/>
        <v>0.375</v>
      </c>
      <c r="T95">
        <f t="shared" ca="1" si="21"/>
        <v>0</v>
      </c>
      <c r="U95">
        <f t="shared" ca="1" si="21"/>
        <v>0</v>
      </c>
      <c r="V95">
        <f t="shared" ca="1" si="21"/>
        <v>0</v>
      </c>
      <c r="W95">
        <f t="shared" ca="1" si="21"/>
        <v>0</v>
      </c>
      <c r="X95">
        <f t="shared" ca="1" si="21"/>
        <v>0</v>
      </c>
      <c r="Y95">
        <f t="shared" ca="1" si="21"/>
        <v>10</v>
      </c>
      <c r="Z95">
        <f t="shared" ca="1" si="16"/>
        <v>169.4375</v>
      </c>
      <c r="AA95" t="e">
        <f t="shared" si="17"/>
        <v>#N/A</v>
      </c>
      <c r="AB95" t="str">
        <f t="shared" si="18"/>
        <v/>
      </c>
      <c r="AC95">
        <f t="shared" si="19"/>
        <v>0</v>
      </c>
    </row>
    <row r="96" spans="2:29" x14ac:dyDescent="0.3">
      <c r="B96">
        <v>175</v>
      </c>
      <c r="C96">
        <f>SUMIFS(INDEX(xmen[[speech]:[depicted]],,$E$2),xmen[issue],Matrix!$B96,xmen[x],Matrix!C$10,xmen[costume],C$9)</f>
        <v>0</v>
      </c>
      <c r="D96">
        <f>SUMIFS(INDEX(xmen[[speech]:[depicted]],,$E$2),xmen[issue],Matrix!$B96,xmen[x],Matrix!D$10,xmen[costume],D$9)</f>
        <v>0</v>
      </c>
      <c r="E96">
        <f>SUMIFS(INDEX(xmen[[speech]:[depicted]],,$E$2),xmen[issue],Matrix!$B96,xmen[x],Matrix!E$10,xmen[costume],E$9)</f>
        <v>0</v>
      </c>
      <c r="F96">
        <f>SUMIFS(INDEX(xmen[[speech]:[depicted]],,$E$2),xmen[issue],Matrix!$B96,xmen[x],Matrix!F$10,xmen[costume],F$9)</f>
        <v>0</v>
      </c>
      <c r="G96">
        <f>SUMIFS(INDEX(xmen[[speech]:[depicted]],,$E$2),xmen[issue],Matrix!$B96,xmen[x],Matrix!G$10,xmen[costume],G$9)</f>
        <v>0</v>
      </c>
      <c r="H96">
        <f>SUMIFS(INDEX(xmen[[speech]:[depicted]],,$E$2),xmen[issue],Matrix!$B96,xmen[x],Matrix!H$10,xmen[costume],H$9)</f>
        <v>0</v>
      </c>
      <c r="I96">
        <f>SUMIFS(INDEX(xmen[[speech]:[depicted]],,$E$2),xmen[issue],Matrix!$B96,xmen[x],Matrix!I$10,xmen[costume],I$9)</f>
        <v>0</v>
      </c>
      <c r="J96">
        <f>SUMIFS(INDEX(xmen[[speech]:[depicted]],,$E$2),xmen[issue],Matrix!$B96,xmen[x],Matrix!J$10,xmen[costume],J$9)</f>
        <v>0</v>
      </c>
      <c r="K96">
        <f>SUMIFS(INDEX(xmen[[speech]:[depicted]],,$E$2),xmen[issue],Matrix!$B96,xmen[x],Matrix!K$10,xmen[costume],K$9)</f>
        <v>0</v>
      </c>
      <c r="L96">
        <f>SUMIFS(INDEX(xmen[[speech]:[depicted]],,$E$2),xmen[issue],Matrix!$B96,xmen[x],Matrix!L$10,xmen[costume],L$9)</f>
        <v>0</v>
      </c>
      <c r="M96">
        <f t="shared" ca="1" si="14"/>
        <v>155</v>
      </c>
      <c r="O96">
        <f t="shared" ca="1" si="13"/>
        <v>159.1875</v>
      </c>
      <c r="P96">
        <f t="shared" ca="1" si="21"/>
        <v>0</v>
      </c>
      <c r="Q96">
        <f t="shared" ca="1" si="21"/>
        <v>0</v>
      </c>
      <c r="R96">
        <f t="shared" ca="1" si="21"/>
        <v>0</v>
      </c>
      <c r="S96">
        <f t="shared" ca="1" si="21"/>
        <v>0.375</v>
      </c>
      <c r="T96">
        <f t="shared" ca="1" si="21"/>
        <v>0</v>
      </c>
      <c r="U96">
        <f t="shared" ca="1" si="21"/>
        <v>0</v>
      </c>
      <c r="V96">
        <f t="shared" ca="1" si="21"/>
        <v>0</v>
      </c>
      <c r="W96">
        <f t="shared" ca="1" si="21"/>
        <v>0</v>
      </c>
      <c r="X96">
        <f t="shared" ca="1" si="21"/>
        <v>0</v>
      </c>
      <c r="Y96">
        <f t="shared" ca="1" si="21"/>
        <v>10</v>
      </c>
      <c r="Z96">
        <f t="shared" ca="1" si="16"/>
        <v>169.5625</v>
      </c>
      <c r="AA96">
        <f t="shared" ca="1" si="17"/>
        <v>205</v>
      </c>
      <c r="AB96" t="str">
        <f t="shared" ca="1" si="18"/>
        <v>Issue
#175</v>
      </c>
      <c r="AC96">
        <f t="shared" ca="1" si="19"/>
        <v>10.375</v>
      </c>
    </row>
    <row r="97" spans="2:29" x14ac:dyDescent="0.3">
      <c r="B97">
        <v>176</v>
      </c>
      <c r="C97">
        <f>SUMIFS(INDEX(xmen[[speech]:[depicted]],,$E$2),xmen[issue],Matrix!$B97,xmen[x],Matrix!C$10,xmen[costume],C$9)</f>
        <v>0</v>
      </c>
      <c r="D97">
        <f>SUMIFS(INDEX(xmen[[speech]:[depicted]],,$E$2),xmen[issue],Matrix!$B97,xmen[x],Matrix!D$10,xmen[costume],D$9)</f>
        <v>0</v>
      </c>
      <c r="E97">
        <f>SUMIFS(INDEX(xmen[[speech]:[depicted]],,$E$2),xmen[issue],Matrix!$B97,xmen[x],Matrix!E$10,xmen[costume],E$9)</f>
        <v>0</v>
      </c>
      <c r="F97">
        <f>SUMIFS(INDEX(xmen[[speech]:[depicted]],,$E$2),xmen[issue],Matrix!$B97,xmen[x],Matrix!F$10,xmen[costume],F$9)</f>
        <v>0</v>
      </c>
      <c r="G97">
        <f>SUMIFS(INDEX(xmen[[speech]:[depicted]],,$E$2),xmen[issue],Matrix!$B97,xmen[x],Matrix!G$10,xmen[costume],G$9)</f>
        <v>0</v>
      </c>
      <c r="H97">
        <f>SUMIFS(INDEX(xmen[[speech]:[depicted]],,$E$2),xmen[issue],Matrix!$B97,xmen[x],Matrix!H$10,xmen[costume],H$9)</f>
        <v>0</v>
      </c>
      <c r="I97">
        <f>SUMIFS(INDEX(xmen[[speech]:[depicted]],,$E$2),xmen[issue],Matrix!$B97,xmen[x],Matrix!I$10,xmen[costume],I$9)</f>
        <v>0</v>
      </c>
      <c r="J97">
        <f>SUMIFS(INDEX(xmen[[speech]:[depicted]],,$E$2),xmen[issue],Matrix!$B97,xmen[x],Matrix!J$10,xmen[costume],J$9)</f>
        <v>0</v>
      </c>
      <c r="K97">
        <f>SUMIFS(INDEX(xmen[[speech]:[depicted]],,$E$2),xmen[issue],Matrix!$B97,xmen[x],Matrix!K$10,xmen[costume],K$9)</f>
        <v>0</v>
      </c>
      <c r="L97">
        <f>SUMIFS(INDEX(xmen[[speech]:[depicted]],,$E$2),xmen[issue],Matrix!$B97,xmen[x],Matrix!L$10,xmen[costume],L$9)</f>
        <v>0</v>
      </c>
      <c r="M97">
        <f t="shared" ca="1" si="14"/>
        <v>168</v>
      </c>
      <c r="O97">
        <f t="shared" ca="1" si="13"/>
        <v>158.9375</v>
      </c>
      <c r="P97">
        <f t="shared" ca="1" si="21"/>
        <v>0</v>
      </c>
      <c r="Q97">
        <f t="shared" ca="1" si="21"/>
        <v>0</v>
      </c>
      <c r="R97">
        <f t="shared" ca="1" si="21"/>
        <v>0</v>
      </c>
      <c r="S97">
        <f t="shared" ca="1" si="21"/>
        <v>0.375</v>
      </c>
      <c r="T97">
        <f t="shared" ca="1" si="21"/>
        <v>0</v>
      </c>
      <c r="U97">
        <f t="shared" ca="1" si="21"/>
        <v>0</v>
      </c>
      <c r="V97">
        <f t="shared" ca="1" si="21"/>
        <v>0</v>
      </c>
      <c r="W97">
        <f t="shared" ca="1" si="21"/>
        <v>0</v>
      </c>
      <c r="X97">
        <f t="shared" ca="1" si="21"/>
        <v>0</v>
      </c>
      <c r="Y97">
        <f t="shared" ca="1" si="21"/>
        <v>10</v>
      </c>
      <c r="Z97">
        <f t="shared" ca="1" si="16"/>
        <v>169.3125</v>
      </c>
      <c r="AA97" t="e">
        <f t="shared" si="17"/>
        <v>#N/A</v>
      </c>
      <c r="AB97" t="str">
        <f t="shared" si="18"/>
        <v/>
      </c>
      <c r="AC97">
        <f t="shared" si="19"/>
        <v>0</v>
      </c>
    </row>
    <row r="98" spans="2:29" x14ac:dyDescent="0.3">
      <c r="B98">
        <v>177</v>
      </c>
      <c r="C98">
        <f>SUMIFS(INDEX(xmen[[speech]:[depicted]],,$E$2),xmen[issue],Matrix!$B98,xmen[x],Matrix!C$10,xmen[costume],C$9)</f>
        <v>0</v>
      </c>
      <c r="D98">
        <f>SUMIFS(INDEX(xmen[[speech]:[depicted]],,$E$2),xmen[issue],Matrix!$B98,xmen[x],Matrix!D$10,xmen[costume],D$9)</f>
        <v>0</v>
      </c>
      <c r="E98">
        <f>SUMIFS(INDEX(xmen[[speech]:[depicted]],,$E$2),xmen[issue],Matrix!$B98,xmen[x],Matrix!E$10,xmen[costume],E$9)</f>
        <v>0</v>
      </c>
      <c r="F98">
        <f>SUMIFS(INDEX(xmen[[speech]:[depicted]],,$E$2),xmen[issue],Matrix!$B98,xmen[x],Matrix!F$10,xmen[costume],F$9)</f>
        <v>0</v>
      </c>
      <c r="G98">
        <f>SUMIFS(INDEX(xmen[[speech]:[depicted]],,$E$2),xmen[issue],Matrix!$B98,xmen[x],Matrix!G$10,xmen[costume],G$9)</f>
        <v>0</v>
      </c>
      <c r="H98">
        <f>SUMIFS(INDEX(xmen[[speech]:[depicted]],,$E$2),xmen[issue],Matrix!$B98,xmen[x],Matrix!H$10,xmen[costume],H$9)</f>
        <v>0</v>
      </c>
      <c r="I98">
        <f>SUMIFS(INDEX(xmen[[speech]:[depicted]],,$E$2),xmen[issue],Matrix!$B98,xmen[x],Matrix!I$10,xmen[costume],I$9)</f>
        <v>0</v>
      </c>
      <c r="J98">
        <f>SUMIFS(INDEX(xmen[[speech]:[depicted]],,$E$2),xmen[issue],Matrix!$B98,xmen[x],Matrix!J$10,xmen[costume],J$9)</f>
        <v>0</v>
      </c>
      <c r="K98">
        <f>SUMIFS(INDEX(xmen[[speech]:[depicted]],,$E$2),xmen[issue],Matrix!$B98,xmen[x],Matrix!K$10,xmen[costume],K$9)</f>
        <v>0</v>
      </c>
      <c r="L98">
        <f>SUMIFS(INDEX(xmen[[speech]:[depicted]],,$E$2),xmen[issue],Matrix!$B98,xmen[x],Matrix!L$10,xmen[costume],L$9)</f>
        <v>0</v>
      </c>
      <c r="M98">
        <f t="shared" ca="1" si="14"/>
        <v>160</v>
      </c>
      <c r="O98">
        <f t="shared" ca="1" si="13"/>
        <v>160.9375</v>
      </c>
      <c r="P98">
        <f t="shared" ca="1" si="21"/>
        <v>0</v>
      </c>
      <c r="Q98">
        <f t="shared" ca="1" si="21"/>
        <v>0.625</v>
      </c>
      <c r="R98">
        <f t="shared" ca="1" si="21"/>
        <v>0</v>
      </c>
      <c r="S98">
        <f t="shared" ca="1" si="21"/>
        <v>0.375</v>
      </c>
      <c r="T98">
        <f t="shared" ca="1" si="21"/>
        <v>0</v>
      </c>
      <c r="U98">
        <f t="shared" ca="1" si="21"/>
        <v>0</v>
      </c>
      <c r="V98">
        <f t="shared" ca="1" si="21"/>
        <v>0</v>
      </c>
      <c r="W98">
        <f t="shared" ca="1" si="21"/>
        <v>0</v>
      </c>
      <c r="X98">
        <f t="shared" ca="1" si="21"/>
        <v>0</v>
      </c>
      <c r="Y98">
        <f t="shared" ca="1" si="21"/>
        <v>6.875</v>
      </c>
      <c r="Z98">
        <f t="shared" ca="1" si="16"/>
        <v>168.8125</v>
      </c>
      <c r="AA98" t="e">
        <f t="shared" si="17"/>
        <v>#N/A</v>
      </c>
      <c r="AB98" t="str">
        <f t="shared" si="18"/>
        <v/>
      </c>
      <c r="AC98">
        <f t="shared" si="19"/>
        <v>0</v>
      </c>
    </row>
    <row r="99" spans="2:29" x14ac:dyDescent="0.3">
      <c r="B99">
        <v>178</v>
      </c>
      <c r="C99">
        <f>SUMIFS(INDEX(xmen[[speech]:[depicted]],,$E$2),xmen[issue],Matrix!$B99,xmen[x],Matrix!C$10,xmen[costume],C$9)</f>
        <v>0</v>
      </c>
      <c r="D99">
        <f>SUMIFS(INDEX(xmen[[speech]:[depicted]],,$E$2),xmen[issue],Matrix!$B99,xmen[x],Matrix!D$10,xmen[costume],D$9)</f>
        <v>0</v>
      </c>
      <c r="E99">
        <f>SUMIFS(INDEX(xmen[[speech]:[depicted]],,$E$2),xmen[issue],Matrix!$B99,xmen[x],Matrix!E$10,xmen[costume],E$9)</f>
        <v>0</v>
      </c>
      <c r="F99">
        <f>SUMIFS(INDEX(xmen[[speech]:[depicted]],,$E$2),xmen[issue],Matrix!$B99,xmen[x],Matrix!F$10,xmen[costume],F$9)</f>
        <v>0</v>
      </c>
      <c r="G99">
        <f>SUMIFS(INDEX(xmen[[speech]:[depicted]],,$E$2),xmen[issue],Matrix!$B99,xmen[x],Matrix!G$10,xmen[costume],G$9)</f>
        <v>0</v>
      </c>
      <c r="H99">
        <f>SUMIFS(INDEX(xmen[[speech]:[depicted]],,$E$2),xmen[issue],Matrix!$B99,xmen[x],Matrix!H$10,xmen[costume],H$9)</f>
        <v>0</v>
      </c>
      <c r="I99">
        <f>SUMIFS(INDEX(xmen[[speech]:[depicted]],,$E$2),xmen[issue],Matrix!$B99,xmen[x],Matrix!I$10,xmen[costume],I$9)</f>
        <v>0</v>
      </c>
      <c r="J99">
        <f>SUMIFS(INDEX(xmen[[speech]:[depicted]],,$E$2),xmen[issue],Matrix!$B99,xmen[x],Matrix!J$10,xmen[costume],J$9)</f>
        <v>0</v>
      </c>
      <c r="K99">
        <f>SUMIFS(INDEX(xmen[[speech]:[depicted]],,$E$2),xmen[issue],Matrix!$B99,xmen[x],Matrix!K$10,xmen[costume],K$9)</f>
        <v>0</v>
      </c>
      <c r="L99">
        <f>SUMIFS(INDEX(xmen[[speech]:[depicted]],,$E$2),xmen[issue],Matrix!$B99,xmen[x],Matrix!L$10,xmen[costume],L$9)</f>
        <v>0</v>
      </c>
      <c r="M99">
        <f t="shared" ca="1" si="14"/>
        <v>174</v>
      </c>
      <c r="O99">
        <f t="shared" ca="1" si="13"/>
        <v>164.125</v>
      </c>
      <c r="P99">
        <f t="shared" ca="1" si="21"/>
        <v>0</v>
      </c>
      <c r="Q99">
        <f t="shared" ca="1" si="21"/>
        <v>0.625</v>
      </c>
      <c r="R99">
        <f t="shared" ca="1" si="21"/>
        <v>0</v>
      </c>
      <c r="S99">
        <f t="shared" ca="1" si="21"/>
        <v>0.375</v>
      </c>
      <c r="T99">
        <f t="shared" ca="1" si="21"/>
        <v>0</v>
      </c>
      <c r="U99">
        <f t="shared" ca="1" si="21"/>
        <v>0</v>
      </c>
      <c r="V99">
        <f t="shared" ca="1" si="21"/>
        <v>0</v>
      </c>
      <c r="W99">
        <f t="shared" ca="1" si="21"/>
        <v>0</v>
      </c>
      <c r="X99">
        <f t="shared" ca="1" si="21"/>
        <v>0</v>
      </c>
      <c r="Y99">
        <f t="shared" ca="1" si="21"/>
        <v>0</v>
      </c>
      <c r="Z99">
        <f t="shared" ca="1" si="16"/>
        <v>165.125</v>
      </c>
      <c r="AA99" t="e">
        <f t="shared" si="17"/>
        <v>#N/A</v>
      </c>
      <c r="AB99" t="str">
        <f t="shared" si="18"/>
        <v/>
      </c>
      <c r="AC99">
        <f t="shared" si="19"/>
        <v>0</v>
      </c>
    </row>
    <row r="100" spans="2:29" x14ac:dyDescent="0.3">
      <c r="B100">
        <v>179</v>
      </c>
      <c r="C100">
        <f>SUMIFS(INDEX(xmen[[speech]:[depicted]],,$E$2),xmen[issue],Matrix!$B100,xmen[x],Matrix!C$10,xmen[costume],C$9)</f>
        <v>0</v>
      </c>
      <c r="D100">
        <f>SUMIFS(INDEX(xmen[[speech]:[depicted]],,$E$2),xmen[issue],Matrix!$B100,xmen[x],Matrix!D$10,xmen[costume],D$9)</f>
        <v>0</v>
      </c>
      <c r="E100">
        <f>SUMIFS(INDEX(xmen[[speech]:[depicted]],,$E$2),xmen[issue],Matrix!$B100,xmen[x],Matrix!E$10,xmen[costume],E$9)</f>
        <v>0</v>
      </c>
      <c r="F100">
        <f>SUMIFS(INDEX(xmen[[speech]:[depicted]],,$E$2),xmen[issue],Matrix!$B100,xmen[x],Matrix!F$10,xmen[costume],F$9)</f>
        <v>0</v>
      </c>
      <c r="G100">
        <f>SUMIFS(INDEX(xmen[[speech]:[depicted]],,$E$2),xmen[issue],Matrix!$B100,xmen[x],Matrix!G$10,xmen[costume],G$9)</f>
        <v>0</v>
      </c>
      <c r="H100">
        <f>SUMIFS(INDEX(xmen[[speech]:[depicted]],,$E$2),xmen[issue],Matrix!$B100,xmen[x],Matrix!H$10,xmen[costume],H$9)</f>
        <v>0</v>
      </c>
      <c r="I100">
        <f>SUMIFS(INDEX(xmen[[speech]:[depicted]],,$E$2),xmen[issue],Matrix!$B100,xmen[x],Matrix!I$10,xmen[costume],I$9)</f>
        <v>0</v>
      </c>
      <c r="J100">
        <f>SUMIFS(INDEX(xmen[[speech]:[depicted]],,$E$2),xmen[issue],Matrix!$B100,xmen[x],Matrix!J$10,xmen[costume],J$9)</f>
        <v>0</v>
      </c>
      <c r="K100">
        <f>SUMIFS(INDEX(xmen[[speech]:[depicted]],,$E$2),xmen[issue],Matrix!$B100,xmen[x],Matrix!K$10,xmen[costume],K$9)</f>
        <v>0</v>
      </c>
      <c r="L100">
        <f>SUMIFS(INDEX(xmen[[speech]:[depicted]],,$E$2),xmen[issue],Matrix!$B100,xmen[x],Matrix!L$10,xmen[costume],L$9)</f>
        <v>0</v>
      </c>
      <c r="M100">
        <f t="shared" ca="1" si="14"/>
        <v>156</v>
      </c>
      <c r="O100">
        <f t="shared" ca="1" si="13"/>
        <v>162.5625</v>
      </c>
      <c r="P100">
        <f t="shared" ca="1" si="21"/>
        <v>0</v>
      </c>
      <c r="Q100">
        <f t="shared" ca="1" si="21"/>
        <v>0.625</v>
      </c>
      <c r="R100">
        <f t="shared" ca="1" si="21"/>
        <v>0</v>
      </c>
      <c r="S100">
        <f t="shared" ca="1" si="21"/>
        <v>0</v>
      </c>
      <c r="T100">
        <f t="shared" ca="1" si="21"/>
        <v>0</v>
      </c>
      <c r="U100">
        <f t="shared" ca="1" si="21"/>
        <v>0</v>
      </c>
      <c r="V100">
        <f t="shared" ca="1" si="21"/>
        <v>0</v>
      </c>
      <c r="W100">
        <f t="shared" ca="1" si="21"/>
        <v>0</v>
      </c>
      <c r="X100">
        <f t="shared" ca="1" si="21"/>
        <v>0</v>
      </c>
      <c r="Y100">
        <f t="shared" ca="1" si="21"/>
        <v>0</v>
      </c>
      <c r="Z100">
        <f t="shared" ca="1" si="16"/>
        <v>163.1875</v>
      </c>
      <c r="AA100" t="e">
        <f t="shared" si="17"/>
        <v>#N/A</v>
      </c>
      <c r="AB100" t="str">
        <f t="shared" si="18"/>
        <v/>
      </c>
      <c r="AC100">
        <f t="shared" si="19"/>
        <v>0</v>
      </c>
    </row>
    <row r="101" spans="2:29" x14ac:dyDescent="0.3">
      <c r="B101">
        <v>180</v>
      </c>
      <c r="C101">
        <f>SUMIFS(INDEX(xmen[[speech]:[depicted]],,$E$2),xmen[issue],Matrix!$B101,xmen[x],Matrix!C$10,xmen[costume],C$9)</f>
        <v>0</v>
      </c>
      <c r="D101">
        <f>SUMIFS(INDEX(xmen[[speech]:[depicted]],,$E$2),xmen[issue],Matrix!$B101,xmen[x],Matrix!D$10,xmen[costume],D$9)</f>
        <v>0</v>
      </c>
      <c r="E101">
        <f>SUMIFS(INDEX(xmen[[speech]:[depicted]],,$E$2),xmen[issue],Matrix!$B101,xmen[x],Matrix!E$10,xmen[costume],E$9)</f>
        <v>0</v>
      </c>
      <c r="F101">
        <f>SUMIFS(INDEX(xmen[[speech]:[depicted]],,$E$2),xmen[issue],Matrix!$B101,xmen[x],Matrix!F$10,xmen[costume],F$9)</f>
        <v>0</v>
      </c>
      <c r="G101">
        <f>SUMIFS(INDEX(xmen[[speech]:[depicted]],,$E$2),xmen[issue],Matrix!$B101,xmen[x],Matrix!G$10,xmen[costume],G$9)</f>
        <v>0</v>
      </c>
      <c r="H101">
        <f>SUMIFS(INDEX(xmen[[speech]:[depicted]],,$E$2),xmen[issue],Matrix!$B101,xmen[x],Matrix!H$10,xmen[costume],H$9)</f>
        <v>0</v>
      </c>
      <c r="I101">
        <f>SUMIFS(INDEX(xmen[[speech]:[depicted]],,$E$2),xmen[issue],Matrix!$B101,xmen[x],Matrix!I$10,xmen[costume],I$9)</f>
        <v>0</v>
      </c>
      <c r="J101">
        <f>SUMIFS(INDEX(xmen[[speech]:[depicted]],,$E$2),xmen[issue],Matrix!$B101,xmen[x],Matrix!J$10,xmen[costume],J$9)</f>
        <v>5</v>
      </c>
      <c r="K101">
        <f>SUMIFS(INDEX(xmen[[speech]:[depicted]],,$E$2),xmen[issue],Matrix!$B101,xmen[x],Matrix!K$10,xmen[costume],K$9)</f>
        <v>0</v>
      </c>
      <c r="L101">
        <f>SUMIFS(INDEX(xmen[[speech]:[depicted]],,$E$2),xmen[issue],Matrix!$B101,xmen[x],Matrix!L$10,xmen[costume],L$9)</f>
        <v>0</v>
      </c>
      <c r="M101">
        <f t="shared" ca="1" si="14"/>
        <v>159.5</v>
      </c>
      <c r="O101">
        <f t="shared" ca="1" si="13"/>
        <v>163.4375</v>
      </c>
      <c r="P101">
        <f t="shared" ca="1" si="21"/>
        <v>0</v>
      </c>
      <c r="Q101">
        <f t="shared" ca="1" si="21"/>
        <v>0.625</v>
      </c>
      <c r="R101">
        <f t="shared" ca="1" si="21"/>
        <v>0</v>
      </c>
      <c r="S101">
        <f t="shared" ca="1" si="21"/>
        <v>0.125</v>
      </c>
      <c r="T101">
        <f t="shared" ca="1" si="21"/>
        <v>0</v>
      </c>
      <c r="U101">
        <f t="shared" ca="1" si="21"/>
        <v>0</v>
      </c>
      <c r="V101">
        <f t="shared" ca="1" si="21"/>
        <v>0</v>
      </c>
      <c r="W101">
        <f t="shared" ca="1" si="21"/>
        <v>0</v>
      </c>
      <c r="X101">
        <f t="shared" ca="1" si="21"/>
        <v>0</v>
      </c>
      <c r="Y101">
        <f t="shared" ca="1" si="21"/>
        <v>0.875</v>
      </c>
      <c r="Z101">
        <f t="shared" ca="1" si="16"/>
        <v>165.0625</v>
      </c>
      <c r="AA101" t="e">
        <f t="shared" si="17"/>
        <v>#N/A</v>
      </c>
      <c r="AB101" t="str">
        <f t="shared" si="18"/>
        <v/>
      </c>
      <c r="AC101">
        <f t="shared" si="19"/>
        <v>0</v>
      </c>
    </row>
    <row r="102" spans="2:29" x14ac:dyDescent="0.3">
      <c r="B102">
        <v>181</v>
      </c>
      <c r="C102">
        <f>SUMIFS(INDEX(xmen[[speech]:[depicted]],,$E$2),xmen[issue],Matrix!$B102,xmen[x],Matrix!C$10,xmen[costume],C$9)</f>
        <v>0</v>
      </c>
      <c r="D102">
        <f>SUMIFS(INDEX(xmen[[speech]:[depicted]],,$E$2),xmen[issue],Matrix!$B102,xmen[x],Matrix!D$10,xmen[costume],D$9)</f>
        <v>0</v>
      </c>
      <c r="E102">
        <f>SUMIFS(INDEX(xmen[[speech]:[depicted]],,$E$2),xmen[issue],Matrix!$B102,xmen[x],Matrix!E$10,xmen[costume],E$9)</f>
        <v>0</v>
      </c>
      <c r="F102">
        <f>SUMIFS(INDEX(xmen[[speech]:[depicted]],,$E$2),xmen[issue],Matrix!$B102,xmen[x],Matrix!F$10,xmen[costume],F$9)</f>
        <v>0</v>
      </c>
      <c r="G102">
        <f>SUMIFS(INDEX(xmen[[speech]:[depicted]],,$E$2),xmen[issue],Matrix!$B102,xmen[x],Matrix!G$10,xmen[costume],G$9)</f>
        <v>0</v>
      </c>
      <c r="H102">
        <f>SUMIFS(INDEX(xmen[[speech]:[depicted]],,$E$2),xmen[issue],Matrix!$B102,xmen[x],Matrix!H$10,xmen[costume],H$9)</f>
        <v>0</v>
      </c>
      <c r="I102">
        <f>SUMIFS(INDEX(xmen[[speech]:[depicted]],,$E$2),xmen[issue],Matrix!$B102,xmen[x],Matrix!I$10,xmen[costume],I$9)</f>
        <v>0</v>
      </c>
      <c r="J102">
        <f>SUMIFS(INDEX(xmen[[speech]:[depicted]],,$E$2),xmen[issue],Matrix!$B102,xmen[x],Matrix!J$10,xmen[costume],J$9)</f>
        <v>0</v>
      </c>
      <c r="K102">
        <f>SUMIFS(INDEX(xmen[[speech]:[depicted]],,$E$2),xmen[issue],Matrix!$B102,xmen[x],Matrix!K$10,xmen[costume],K$9)</f>
        <v>0</v>
      </c>
      <c r="L102">
        <f>SUMIFS(INDEX(xmen[[speech]:[depicted]],,$E$2),xmen[issue],Matrix!$B102,xmen[x],Matrix!L$10,xmen[costume],L$9)</f>
        <v>0</v>
      </c>
      <c r="M102">
        <f t="shared" ca="1" si="14"/>
        <v>173</v>
      </c>
      <c r="O102">
        <f t="shared" ca="1" si="13"/>
        <v>161.8125</v>
      </c>
      <c r="P102">
        <f t="shared" ca="1" si="21"/>
        <v>0</v>
      </c>
      <c r="Q102">
        <f t="shared" ca="1" si="21"/>
        <v>0.625</v>
      </c>
      <c r="R102">
        <f t="shared" ca="1" si="21"/>
        <v>0</v>
      </c>
      <c r="S102">
        <f t="shared" ca="1" si="21"/>
        <v>0.125</v>
      </c>
      <c r="T102">
        <f t="shared" ca="1" si="21"/>
        <v>0</v>
      </c>
      <c r="U102">
        <f t="shared" ca="1" si="21"/>
        <v>0</v>
      </c>
      <c r="V102">
        <f t="shared" ca="1" si="21"/>
        <v>0</v>
      </c>
      <c r="W102">
        <f t="shared" ca="1" si="21"/>
        <v>0</v>
      </c>
      <c r="X102">
        <f t="shared" ca="1" si="21"/>
        <v>0</v>
      </c>
      <c r="Y102">
        <f t="shared" ca="1" si="21"/>
        <v>0.875</v>
      </c>
      <c r="Z102">
        <f t="shared" ca="1" si="16"/>
        <v>163.4375</v>
      </c>
      <c r="AA102" t="e">
        <f t="shared" si="17"/>
        <v>#N/A</v>
      </c>
      <c r="AB102" t="str">
        <f t="shared" si="18"/>
        <v/>
      </c>
      <c r="AC102">
        <f t="shared" si="19"/>
        <v>0</v>
      </c>
    </row>
    <row r="103" spans="2:29" x14ac:dyDescent="0.3">
      <c r="B103">
        <v>182</v>
      </c>
      <c r="C103">
        <f>SUMIFS(INDEX(xmen[[speech]:[depicted]],,$E$2),xmen[issue],Matrix!$B103,xmen[x],Matrix!C$10,xmen[costume],C$9)</f>
        <v>0</v>
      </c>
      <c r="D103">
        <f>SUMIFS(INDEX(xmen[[speech]:[depicted]],,$E$2),xmen[issue],Matrix!$B103,xmen[x],Matrix!D$10,xmen[costume],D$9)</f>
        <v>0</v>
      </c>
      <c r="E103">
        <f>SUMIFS(INDEX(xmen[[speech]:[depicted]],,$E$2),xmen[issue],Matrix!$B103,xmen[x],Matrix!E$10,xmen[costume],E$9)</f>
        <v>0</v>
      </c>
      <c r="F103">
        <f>SUMIFS(INDEX(xmen[[speech]:[depicted]],,$E$2),xmen[issue],Matrix!$B103,xmen[x],Matrix!F$10,xmen[costume],F$9)</f>
        <v>0</v>
      </c>
      <c r="G103">
        <f>SUMIFS(INDEX(xmen[[speech]:[depicted]],,$E$2),xmen[issue],Matrix!$B103,xmen[x],Matrix!G$10,xmen[costume],G$9)</f>
        <v>0</v>
      </c>
      <c r="H103">
        <f>SUMIFS(INDEX(xmen[[speech]:[depicted]],,$E$2),xmen[issue],Matrix!$B103,xmen[x],Matrix!H$10,xmen[costume],H$9)</f>
        <v>0</v>
      </c>
      <c r="I103">
        <f>SUMIFS(INDEX(xmen[[speech]:[depicted]],,$E$2),xmen[issue],Matrix!$B103,xmen[x],Matrix!I$10,xmen[costume],I$9)</f>
        <v>0</v>
      </c>
      <c r="J103">
        <f>SUMIFS(INDEX(xmen[[speech]:[depicted]],,$E$2),xmen[issue],Matrix!$B103,xmen[x],Matrix!J$10,xmen[costume],J$9)</f>
        <v>0</v>
      </c>
      <c r="K103">
        <f>SUMIFS(INDEX(xmen[[speech]:[depicted]],,$E$2),xmen[issue],Matrix!$B103,xmen[x],Matrix!K$10,xmen[costume],K$9)</f>
        <v>0</v>
      </c>
      <c r="L103">
        <f>SUMIFS(INDEX(xmen[[speech]:[depicted]],,$E$2),xmen[issue],Matrix!$B103,xmen[x],Matrix!L$10,xmen[costume],L$9)</f>
        <v>0</v>
      </c>
      <c r="M103">
        <f t="shared" ca="1" si="14"/>
        <v>155</v>
      </c>
      <c r="O103">
        <f t="shared" ca="1" si="13"/>
        <v>160.125</v>
      </c>
      <c r="P103">
        <f t="shared" ca="1" si="21"/>
        <v>0.125</v>
      </c>
      <c r="Q103">
        <f t="shared" ca="1" si="21"/>
        <v>0.625</v>
      </c>
      <c r="R103">
        <f t="shared" ca="1" si="21"/>
        <v>0</v>
      </c>
      <c r="S103">
        <f t="shared" ca="1" si="21"/>
        <v>0.125</v>
      </c>
      <c r="T103">
        <f t="shared" ca="1" si="21"/>
        <v>0</v>
      </c>
      <c r="U103">
        <f t="shared" ca="1" si="21"/>
        <v>0</v>
      </c>
      <c r="V103">
        <f t="shared" ca="1" si="21"/>
        <v>0</v>
      </c>
      <c r="W103">
        <f t="shared" ca="1" si="21"/>
        <v>0</v>
      </c>
      <c r="X103">
        <f t="shared" ca="1" si="21"/>
        <v>0</v>
      </c>
      <c r="Y103">
        <f t="shared" ca="1" si="21"/>
        <v>0.875</v>
      </c>
      <c r="Z103">
        <f t="shared" ca="1" si="16"/>
        <v>161.875</v>
      </c>
      <c r="AA103" t="e">
        <f t="shared" si="17"/>
        <v>#N/A</v>
      </c>
      <c r="AB103" t="str">
        <f t="shared" si="18"/>
        <v/>
      </c>
      <c r="AC103">
        <f t="shared" si="19"/>
        <v>0</v>
      </c>
    </row>
    <row r="104" spans="2:29" x14ac:dyDescent="0.3">
      <c r="B104">
        <v>183</v>
      </c>
      <c r="C104">
        <f>SUMIFS(INDEX(xmen[[speech]:[depicted]],,$E$2),xmen[issue],Matrix!$B104,xmen[x],Matrix!C$10,xmen[costume],C$9)</f>
        <v>0</v>
      </c>
      <c r="D104">
        <f>SUMIFS(INDEX(xmen[[speech]:[depicted]],,$E$2),xmen[issue],Matrix!$B104,xmen[x],Matrix!D$10,xmen[costume],D$9)</f>
        <v>0</v>
      </c>
      <c r="E104">
        <f>SUMIFS(INDEX(xmen[[speech]:[depicted]],,$E$2),xmen[issue],Matrix!$B104,xmen[x],Matrix!E$10,xmen[costume],E$9)</f>
        <v>0</v>
      </c>
      <c r="F104">
        <f>SUMIFS(INDEX(xmen[[speech]:[depicted]],,$E$2),xmen[issue],Matrix!$B104,xmen[x],Matrix!F$10,xmen[costume],F$9)</f>
        <v>0</v>
      </c>
      <c r="G104">
        <f>SUMIFS(INDEX(xmen[[speech]:[depicted]],,$E$2),xmen[issue],Matrix!$B104,xmen[x],Matrix!G$10,xmen[costume],G$9)</f>
        <v>0</v>
      </c>
      <c r="H104">
        <f>SUMIFS(INDEX(xmen[[speech]:[depicted]],,$E$2),xmen[issue],Matrix!$B104,xmen[x],Matrix!H$10,xmen[costume],H$9)</f>
        <v>1</v>
      </c>
      <c r="I104">
        <f>SUMIFS(INDEX(xmen[[speech]:[depicted]],,$E$2),xmen[issue],Matrix!$B104,xmen[x],Matrix!I$10,xmen[costume],I$9)</f>
        <v>0</v>
      </c>
      <c r="J104">
        <f>SUMIFS(INDEX(xmen[[speech]:[depicted]],,$E$2),xmen[issue],Matrix!$B104,xmen[x],Matrix!J$10,xmen[costume],J$9)</f>
        <v>0</v>
      </c>
      <c r="K104">
        <f>SUMIFS(INDEX(xmen[[speech]:[depicted]],,$E$2),xmen[issue],Matrix!$B104,xmen[x],Matrix!K$10,xmen[costume],K$9)</f>
        <v>0</v>
      </c>
      <c r="L104">
        <f>SUMIFS(INDEX(xmen[[speech]:[depicted]],,$E$2),xmen[issue],Matrix!$B104,xmen[x],Matrix!L$10,xmen[costume],L$9)</f>
        <v>7</v>
      </c>
      <c r="M104">
        <f t="shared" ca="1" si="14"/>
        <v>162</v>
      </c>
      <c r="O104">
        <f t="shared" ca="1" si="13"/>
        <v>159</v>
      </c>
      <c r="P104">
        <f t="shared" ca="1" si="21"/>
        <v>0.125</v>
      </c>
      <c r="Q104">
        <f t="shared" ca="1" si="21"/>
        <v>0.625</v>
      </c>
      <c r="R104">
        <f t="shared" ca="1" si="21"/>
        <v>0</v>
      </c>
      <c r="S104">
        <f t="shared" ca="1" si="21"/>
        <v>0.125</v>
      </c>
      <c r="T104">
        <f t="shared" ca="1" si="21"/>
        <v>0</v>
      </c>
      <c r="U104">
        <f t="shared" ca="1" si="21"/>
        <v>0</v>
      </c>
      <c r="V104">
        <f t="shared" ca="1" si="21"/>
        <v>0</v>
      </c>
      <c r="W104">
        <f t="shared" ca="1" si="21"/>
        <v>0</v>
      </c>
      <c r="X104">
        <f t="shared" ca="1" si="21"/>
        <v>0</v>
      </c>
      <c r="Y104">
        <f t="shared" ca="1" si="21"/>
        <v>0.875</v>
      </c>
      <c r="Z104">
        <f t="shared" ca="1" si="16"/>
        <v>160.75</v>
      </c>
      <c r="AA104" t="e">
        <f t="shared" si="17"/>
        <v>#N/A</v>
      </c>
      <c r="AB104" t="str">
        <f t="shared" si="18"/>
        <v/>
      </c>
      <c r="AC104">
        <f t="shared" si="19"/>
        <v>0</v>
      </c>
    </row>
    <row r="105" spans="2:29" x14ac:dyDescent="0.3">
      <c r="B105">
        <v>184</v>
      </c>
      <c r="C105">
        <f>SUMIFS(INDEX(xmen[[speech]:[depicted]],,$E$2),xmen[issue],Matrix!$B105,xmen[x],Matrix!C$10,xmen[costume],C$9)</f>
        <v>0</v>
      </c>
      <c r="D105">
        <f>SUMIFS(INDEX(xmen[[speech]:[depicted]],,$E$2),xmen[issue],Matrix!$B105,xmen[x],Matrix!D$10,xmen[costume],D$9)</f>
        <v>0</v>
      </c>
      <c r="E105">
        <f>SUMIFS(INDEX(xmen[[speech]:[depicted]],,$E$2),xmen[issue],Matrix!$B105,xmen[x],Matrix!E$10,xmen[costume],E$9)</f>
        <v>0</v>
      </c>
      <c r="F105">
        <f>SUMIFS(INDEX(xmen[[speech]:[depicted]],,$E$2),xmen[issue],Matrix!$B105,xmen[x],Matrix!F$10,xmen[costume],F$9)</f>
        <v>0</v>
      </c>
      <c r="G105">
        <f>SUMIFS(INDEX(xmen[[speech]:[depicted]],,$E$2),xmen[issue],Matrix!$B105,xmen[x],Matrix!G$10,xmen[costume],G$9)</f>
        <v>0</v>
      </c>
      <c r="H105">
        <f>SUMIFS(INDEX(xmen[[speech]:[depicted]],,$E$2),xmen[issue],Matrix!$B105,xmen[x],Matrix!H$10,xmen[costume],H$9)</f>
        <v>0</v>
      </c>
      <c r="I105">
        <f>SUMIFS(INDEX(xmen[[speech]:[depicted]],,$E$2),xmen[issue],Matrix!$B105,xmen[x],Matrix!I$10,xmen[costume],I$9)</f>
        <v>0</v>
      </c>
      <c r="J105">
        <f>SUMIFS(INDEX(xmen[[speech]:[depicted]],,$E$2),xmen[issue],Matrix!$B105,xmen[x],Matrix!J$10,xmen[costume],J$9)</f>
        <v>0</v>
      </c>
      <c r="K105">
        <f>SUMIFS(INDEX(xmen[[speech]:[depicted]],,$E$2),xmen[issue],Matrix!$B105,xmen[x],Matrix!K$10,xmen[costume],K$9)</f>
        <v>0</v>
      </c>
      <c r="L105">
        <f>SUMIFS(INDEX(xmen[[speech]:[depicted]],,$E$2),xmen[issue],Matrix!$B105,xmen[x],Matrix!L$10,xmen[costume],L$9)</f>
        <v>0</v>
      </c>
      <c r="M105">
        <f t="shared" ca="1" si="14"/>
        <v>155</v>
      </c>
      <c r="O105">
        <f t="shared" ca="1" si="13"/>
        <v>159.125</v>
      </c>
      <c r="P105">
        <f t="shared" ca="1" si="21"/>
        <v>0.125</v>
      </c>
      <c r="Q105">
        <f t="shared" ca="1" si="21"/>
        <v>0.875</v>
      </c>
      <c r="R105">
        <f t="shared" ca="1" si="21"/>
        <v>0</v>
      </c>
      <c r="S105">
        <f t="shared" ca="1" si="21"/>
        <v>0.125</v>
      </c>
      <c r="T105">
        <f t="shared" ca="1" si="21"/>
        <v>0</v>
      </c>
      <c r="U105">
        <f t="shared" ca="1" si="21"/>
        <v>0</v>
      </c>
      <c r="V105">
        <f t="shared" ca="1" si="21"/>
        <v>0</v>
      </c>
      <c r="W105">
        <f t="shared" ca="1" si="21"/>
        <v>0</v>
      </c>
      <c r="X105">
        <f t="shared" ca="1" si="21"/>
        <v>0</v>
      </c>
      <c r="Y105">
        <f t="shared" ca="1" si="21"/>
        <v>0.875</v>
      </c>
      <c r="Z105">
        <f t="shared" ca="1" si="16"/>
        <v>161.125</v>
      </c>
      <c r="AA105" t="e">
        <f t="shared" si="17"/>
        <v>#N/A</v>
      </c>
      <c r="AB105" t="str">
        <f t="shared" si="18"/>
        <v/>
      </c>
      <c r="AC105">
        <f t="shared" si="19"/>
        <v>0</v>
      </c>
    </row>
    <row r="106" spans="2:29" x14ac:dyDescent="0.3">
      <c r="B106">
        <v>185</v>
      </c>
      <c r="C106">
        <f>SUMIFS(INDEX(xmen[[speech]:[depicted]],,$E$2),xmen[issue],Matrix!$B106,xmen[x],Matrix!C$10,xmen[costume],C$9)</f>
        <v>0</v>
      </c>
      <c r="D106">
        <f>SUMIFS(INDEX(xmen[[speech]:[depicted]],,$E$2),xmen[issue],Matrix!$B106,xmen[x],Matrix!D$10,xmen[costume],D$9)</f>
        <v>0</v>
      </c>
      <c r="E106">
        <f>SUMIFS(INDEX(xmen[[speech]:[depicted]],,$E$2),xmen[issue],Matrix!$B106,xmen[x],Matrix!E$10,xmen[costume],E$9)</f>
        <v>0</v>
      </c>
      <c r="F106">
        <f>SUMIFS(INDEX(xmen[[speech]:[depicted]],,$E$2),xmen[issue],Matrix!$B106,xmen[x],Matrix!F$10,xmen[costume],F$9)</f>
        <v>0</v>
      </c>
      <c r="G106">
        <f>SUMIFS(INDEX(xmen[[speech]:[depicted]],,$E$2),xmen[issue],Matrix!$B106,xmen[x],Matrix!G$10,xmen[costume],G$9)</f>
        <v>0</v>
      </c>
      <c r="H106">
        <f>SUMIFS(INDEX(xmen[[speech]:[depicted]],,$E$2),xmen[issue],Matrix!$B106,xmen[x],Matrix!H$10,xmen[costume],H$9)</f>
        <v>0</v>
      </c>
      <c r="I106">
        <f>SUMIFS(INDEX(xmen[[speech]:[depicted]],,$E$2),xmen[issue],Matrix!$B106,xmen[x],Matrix!I$10,xmen[costume],I$9)</f>
        <v>1</v>
      </c>
      <c r="J106">
        <f>SUMIFS(INDEX(xmen[[speech]:[depicted]],,$E$2),xmen[issue],Matrix!$B106,xmen[x],Matrix!J$10,xmen[costume],J$9)</f>
        <v>0</v>
      </c>
      <c r="K106">
        <f>SUMIFS(INDEX(xmen[[speech]:[depicted]],,$E$2),xmen[issue],Matrix!$B106,xmen[x],Matrix!K$10,xmen[costume],K$9)</f>
        <v>0</v>
      </c>
      <c r="L106">
        <f>SUMIFS(INDEX(xmen[[speech]:[depicted]],,$E$2),xmen[issue],Matrix!$B106,xmen[x],Matrix!L$10,xmen[costume],L$9)</f>
        <v>0</v>
      </c>
      <c r="M106">
        <f t="shared" ca="1" si="14"/>
        <v>146.5</v>
      </c>
      <c r="O106">
        <f t="shared" ca="1" si="13"/>
        <v>159.8125</v>
      </c>
      <c r="P106">
        <f t="shared" ca="1" si="21"/>
        <v>0.125</v>
      </c>
      <c r="Q106">
        <f t="shared" ca="1" si="21"/>
        <v>0.25</v>
      </c>
      <c r="R106">
        <f t="shared" ca="1" si="21"/>
        <v>0</v>
      </c>
      <c r="S106">
        <f t="shared" ca="1" si="21"/>
        <v>0.125</v>
      </c>
      <c r="T106">
        <f t="shared" ca="1" si="21"/>
        <v>0</v>
      </c>
      <c r="U106">
        <f t="shared" ca="1" si="21"/>
        <v>0</v>
      </c>
      <c r="V106">
        <f t="shared" ca="1" si="21"/>
        <v>0</v>
      </c>
      <c r="W106">
        <f t="shared" ca="1" si="21"/>
        <v>0</v>
      </c>
      <c r="X106">
        <f t="shared" ca="1" si="21"/>
        <v>0</v>
      </c>
      <c r="Y106">
        <f t="shared" ca="1" si="21"/>
        <v>0.875</v>
      </c>
      <c r="Z106">
        <f t="shared" ca="1" si="16"/>
        <v>161.1875</v>
      </c>
      <c r="AA106" t="e">
        <f t="shared" si="17"/>
        <v>#N/A</v>
      </c>
      <c r="AB106" t="str">
        <f t="shared" si="18"/>
        <v/>
      </c>
      <c r="AC106">
        <f t="shared" si="19"/>
        <v>0</v>
      </c>
    </row>
    <row r="107" spans="2:29" x14ac:dyDescent="0.3">
      <c r="B107">
        <v>186</v>
      </c>
      <c r="C107">
        <f>SUMIFS(INDEX(xmen[[speech]:[depicted]],,$E$2),xmen[issue],Matrix!$B107,xmen[x],Matrix!C$10,xmen[costume],C$9)</f>
        <v>0</v>
      </c>
      <c r="D107">
        <f>SUMIFS(INDEX(xmen[[speech]:[depicted]],,$E$2),xmen[issue],Matrix!$B107,xmen[x],Matrix!D$10,xmen[costume],D$9)</f>
        <v>0</v>
      </c>
      <c r="E107">
        <f>SUMIFS(INDEX(xmen[[speech]:[depicted]],,$E$2),xmen[issue],Matrix!$B107,xmen[x],Matrix!E$10,xmen[costume],E$9)</f>
        <v>0</v>
      </c>
      <c r="F107">
        <f>SUMIFS(INDEX(xmen[[speech]:[depicted]],,$E$2),xmen[issue],Matrix!$B107,xmen[x],Matrix!F$10,xmen[costume],F$9)</f>
        <v>0</v>
      </c>
      <c r="G107">
        <f>SUMIFS(INDEX(xmen[[speech]:[depicted]],,$E$2),xmen[issue],Matrix!$B107,xmen[x],Matrix!G$10,xmen[costume],G$9)</f>
        <v>0</v>
      </c>
      <c r="H107">
        <f>SUMIFS(INDEX(xmen[[speech]:[depicted]],,$E$2),xmen[issue],Matrix!$B107,xmen[x],Matrix!H$10,xmen[costume],H$9)</f>
        <v>0</v>
      </c>
      <c r="I107">
        <f>SUMIFS(INDEX(xmen[[speech]:[depicted]],,$E$2),xmen[issue],Matrix!$B107,xmen[x],Matrix!I$10,xmen[costume],I$9)</f>
        <v>0</v>
      </c>
      <c r="J107">
        <f>SUMIFS(INDEX(xmen[[speech]:[depicted]],,$E$2),xmen[issue],Matrix!$B107,xmen[x],Matrix!J$10,xmen[costume],J$9)</f>
        <v>0</v>
      </c>
      <c r="K107">
        <f>SUMIFS(INDEX(xmen[[speech]:[depicted]],,$E$2),xmen[issue],Matrix!$B107,xmen[x],Matrix!K$10,xmen[costume],K$9)</f>
        <v>0</v>
      </c>
      <c r="L107">
        <f>SUMIFS(INDEX(xmen[[speech]:[depicted]],,$E$2),xmen[issue],Matrix!$B107,xmen[x],Matrix!L$10,xmen[costume],L$9)</f>
        <v>0</v>
      </c>
      <c r="M107">
        <f t="shared" ca="1" si="14"/>
        <v>165</v>
      </c>
      <c r="O107">
        <f t="shared" ref="O107:O138" ca="1" si="22">AVERAGE(OFFSET(INDEX($C107:$M107,O$9),-$P$3,,$P$2,1))</f>
        <v>158.1875</v>
      </c>
      <c r="P107">
        <f t="shared" ca="1" si="21"/>
        <v>0.125</v>
      </c>
      <c r="Q107">
        <f t="shared" ca="1" si="21"/>
        <v>0.25</v>
      </c>
      <c r="R107">
        <f t="shared" ca="1" si="21"/>
        <v>0</v>
      </c>
      <c r="S107">
        <f t="shared" ca="1" si="21"/>
        <v>0.125</v>
      </c>
      <c r="T107">
        <f t="shared" ca="1" si="21"/>
        <v>0</v>
      </c>
      <c r="U107">
        <f t="shared" ca="1" si="21"/>
        <v>0</v>
      </c>
      <c r="V107">
        <f t="shared" ca="1" si="21"/>
        <v>0</v>
      </c>
      <c r="W107">
        <f t="shared" ca="1" si="21"/>
        <v>0</v>
      </c>
      <c r="X107">
        <f t="shared" ca="1" si="21"/>
        <v>0</v>
      </c>
      <c r="Y107">
        <f t="shared" ca="1" si="21"/>
        <v>0.875</v>
      </c>
      <c r="Z107">
        <f t="shared" ca="1" si="16"/>
        <v>159.5625</v>
      </c>
      <c r="AA107" t="e">
        <f t="shared" si="17"/>
        <v>#N/A</v>
      </c>
      <c r="AB107" t="str">
        <f t="shared" si="18"/>
        <v/>
      </c>
      <c r="AC107">
        <f t="shared" si="19"/>
        <v>0</v>
      </c>
    </row>
    <row r="108" spans="2:29" x14ac:dyDescent="0.3">
      <c r="B108">
        <v>187</v>
      </c>
      <c r="C108">
        <f>SUMIFS(INDEX(xmen[[speech]:[depicted]],,$E$2),xmen[issue],Matrix!$B108,xmen[x],Matrix!C$10,xmen[costume],C$9)</f>
        <v>0</v>
      </c>
      <c r="D108">
        <f>SUMIFS(INDEX(xmen[[speech]:[depicted]],,$E$2),xmen[issue],Matrix!$B108,xmen[x],Matrix!D$10,xmen[costume],D$9)</f>
        <v>0</v>
      </c>
      <c r="E108">
        <f>SUMIFS(INDEX(xmen[[speech]:[depicted]],,$E$2),xmen[issue],Matrix!$B108,xmen[x],Matrix!E$10,xmen[costume],E$9)</f>
        <v>0</v>
      </c>
      <c r="F108">
        <f>SUMIFS(INDEX(xmen[[speech]:[depicted]],,$E$2),xmen[issue],Matrix!$B108,xmen[x],Matrix!F$10,xmen[costume],F$9)</f>
        <v>0</v>
      </c>
      <c r="G108">
        <f>SUMIFS(INDEX(xmen[[speech]:[depicted]],,$E$2),xmen[issue],Matrix!$B108,xmen[x],Matrix!G$10,xmen[costume],G$9)</f>
        <v>0</v>
      </c>
      <c r="H108">
        <f>SUMIFS(INDEX(xmen[[speech]:[depicted]],,$E$2),xmen[issue],Matrix!$B108,xmen[x],Matrix!H$10,xmen[costume],H$9)</f>
        <v>0</v>
      </c>
      <c r="I108">
        <f>SUMIFS(INDEX(xmen[[speech]:[depicted]],,$E$2),xmen[issue],Matrix!$B108,xmen[x],Matrix!I$10,xmen[costume],I$9)</f>
        <v>0</v>
      </c>
      <c r="J108">
        <f>SUMIFS(INDEX(xmen[[speech]:[depicted]],,$E$2),xmen[issue],Matrix!$B108,xmen[x],Matrix!J$10,xmen[costume],J$9)</f>
        <v>2</v>
      </c>
      <c r="K108">
        <f>SUMIFS(INDEX(xmen[[speech]:[depicted]],,$E$2),xmen[issue],Matrix!$B108,xmen[x],Matrix!K$10,xmen[costume],K$9)</f>
        <v>0</v>
      </c>
      <c r="L108">
        <f>SUMIFS(INDEX(xmen[[speech]:[depicted]],,$E$2),xmen[issue],Matrix!$B108,xmen[x],Matrix!L$10,xmen[costume],L$9)</f>
        <v>0</v>
      </c>
      <c r="M108">
        <f t="shared" ca="1" si="14"/>
        <v>157</v>
      </c>
      <c r="O108">
        <f t="shared" ca="1" si="22"/>
        <v>157.1875</v>
      </c>
      <c r="P108">
        <f t="shared" ca="1" si="21"/>
        <v>0.125</v>
      </c>
      <c r="Q108">
        <f t="shared" ca="1" si="21"/>
        <v>0.25</v>
      </c>
      <c r="R108">
        <f t="shared" ca="1" si="21"/>
        <v>0</v>
      </c>
      <c r="S108">
        <f t="shared" ca="1" si="21"/>
        <v>0.125</v>
      </c>
      <c r="T108">
        <f t="shared" ca="1" si="21"/>
        <v>0</v>
      </c>
      <c r="U108">
        <f t="shared" ca="1" si="21"/>
        <v>0</v>
      </c>
      <c r="V108">
        <f t="shared" ca="1" si="21"/>
        <v>0</v>
      </c>
      <c r="W108">
        <f t="shared" ca="1" si="21"/>
        <v>0</v>
      </c>
      <c r="X108">
        <f t="shared" ca="1" si="21"/>
        <v>0</v>
      </c>
      <c r="Y108">
        <f t="shared" ca="1" si="21"/>
        <v>0.875</v>
      </c>
      <c r="Z108">
        <f t="shared" ca="1" si="16"/>
        <v>158.5625</v>
      </c>
      <c r="AA108" t="e">
        <f t="shared" si="17"/>
        <v>#N/A</v>
      </c>
      <c r="AB108" t="str">
        <f t="shared" si="18"/>
        <v/>
      </c>
      <c r="AC108">
        <f t="shared" si="19"/>
        <v>0</v>
      </c>
    </row>
    <row r="109" spans="2:29" x14ac:dyDescent="0.3">
      <c r="B109">
        <v>188</v>
      </c>
      <c r="C109">
        <f>SUMIFS(INDEX(xmen[[speech]:[depicted]],,$E$2),xmen[issue],Matrix!$B109,xmen[x],Matrix!C$10,xmen[costume],C$9)</f>
        <v>0</v>
      </c>
      <c r="D109">
        <f>SUMIFS(INDEX(xmen[[speech]:[depicted]],,$E$2),xmen[issue],Matrix!$B109,xmen[x],Matrix!D$10,xmen[costume],D$9)</f>
        <v>0</v>
      </c>
      <c r="E109">
        <f>SUMIFS(INDEX(xmen[[speech]:[depicted]],,$E$2),xmen[issue],Matrix!$B109,xmen[x],Matrix!E$10,xmen[costume],E$9)</f>
        <v>0</v>
      </c>
      <c r="F109">
        <f>SUMIFS(INDEX(xmen[[speech]:[depicted]],,$E$2),xmen[issue],Matrix!$B109,xmen[x],Matrix!F$10,xmen[costume],F$9)</f>
        <v>0</v>
      </c>
      <c r="G109">
        <f>SUMIFS(INDEX(xmen[[speech]:[depicted]],,$E$2),xmen[issue],Matrix!$B109,xmen[x],Matrix!G$10,xmen[costume],G$9)</f>
        <v>0</v>
      </c>
      <c r="H109">
        <f>SUMIFS(INDEX(xmen[[speech]:[depicted]],,$E$2),xmen[issue],Matrix!$B109,xmen[x],Matrix!H$10,xmen[costume],H$9)</f>
        <v>0</v>
      </c>
      <c r="I109">
        <f>SUMIFS(INDEX(xmen[[speech]:[depicted]],,$E$2),xmen[issue],Matrix!$B109,xmen[x],Matrix!I$10,xmen[costume],I$9)</f>
        <v>0</v>
      </c>
      <c r="J109">
        <f>SUMIFS(INDEX(xmen[[speech]:[depicted]],,$E$2),xmen[issue],Matrix!$B109,xmen[x],Matrix!J$10,xmen[costume],J$9)</f>
        <v>0</v>
      </c>
      <c r="K109">
        <f>SUMIFS(INDEX(xmen[[speech]:[depicted]],,$E$2),xmen[issue],Matrix!$B109,xmen[x],Matrix!K$10,xmen[costume],K$9)</f>
        <v>0</v>
      </c>
      <c r="L109">
        <f>SUMIFS(INDEX(xmen[[speech]:[depicted]],,$E$2),xmen[issue],Matrix!$B109,xmen[x],Matrix!L$10,xmen[costume],L$9)</f>
        <v>0</v>
      </c>
      <c r="M109">
        <f t="shared" ca="1" si="14"/>
        <v>165</v>
      </c>
      <c r="O109">
        <f t="shared" ca="1" si="22"/>
        <v>155.3125</v>
      </c>
      <c r="P109">
        <f t="shared" ca="1" si="21"/>
        <v>0.125</v>
      </c>
      <c r="Q109">
        <f t="shared" ca="1" si="21"/>
        <v>0.25</v>
      </c>
      <c r="R109">
        <f t="shared" ca="1" si="21"/>
        <v>0</v>
      </c>
      <c r="S109">
        <f t="shared" ca="1" si="21"/>
        <v>0</v>
      </c>
      <c r="T109">
        <f t="shared" ca="1" si="21"/>
        <v>0</v>
      </c>
      <c r="U109">
        <f t="shared" ca="1" si="21"/>
        <v>0</v>
      </c>
      <c r="V109">
        <f t="shared" ca="1" si="21"/>
        <v>0</v>
      </c>
      <c r="W109">
        <f t="shared" ca="1" si="21"/>
        <v>0</v>
      </c>
      <c r="X109">
        <f t="shared" ca="1" si="21"/>
        <v>0</v>
      </c>
      <c r="Y109">
        <f t="shared" ca="1" si="21"/>
        <v>0</v>
      </c>
      <c r="Z109">
        <f t="shared" ca="1" si="16"/>
        <v>155.6875</v>
      </c>
      <c r="AA109" t="e">
        <f t="shared" si="17"/>
        <v>#N/A</v>
      </c>
      <c r="AB109" t="str">
        <f t="shared" si="18"/>
        <v/>
      </c>
      <c r="AC109">
        <f t="shared" si="19"/>
        <v>0</v>
      </c>
    </row>
    <row r="110" spans="2:29" x14ac:dyDescent="0.3">
      <c r="B110">
        <v>189</v>
      </c>
      <c r="C110">
        <f>SUMIFS(INDEX(xmen[[speech]:[depicted]],,$E$2),xmen[issue],Matrix!$B110,xmen[x],Matrix!C$10,xmen[costume],C$9)</f>
        <v>0</v>
      </c>
      <c r="D110">
        <f>SUMIFS(INDEX(xmen[[speech]:[depicted]],,$E$2),xmen[issue],Matrix!$B110,xmen[x],Matrix!D$10,xmen[costume],D$9)</f>
        <v>0</v>
      </c>
      <c r="E110">
        <f>SUMIFS(INDEX(xmen[[speech]:[depicted]],,$E$2),xmen[issue],Matrix!$B110,xmen[x],Matrix!E$10,xmen[costume],E$9)</f>
        <v>0</v>
      </c>
      <c r="F110">
        <f>SUMIFS(INDEX(xmen[[speech]:[depicted]],,$E$2),xmen[issue],Matrix!$B110,xmen[x],Matrix!F$10,xmen[costume],F$9)</f>
        <v>0</v>
      </c>
      <c r="G110">
        <f>SUMIFS(INDEX(xmen[[speech]:[depicted]],,$E$2),xmen[issue],Matrix!$B110,xmen[x],Matrix!G$10,xmen[costume],G$9)</f>
        <v>0</v>
      </c>
      <c r="H110">
        <f>SUMIFS(INDEX(xmen[[speech]:[depicted]],,$E$2),xmen[issue],Matrix!$B110,xmen[x],Matrix!H$10,xmen[costume],H$9)</f>
        <v>0</v>
      </c>
      <c r="I110">
        <f>SUMIFS(INDEX(xmen[[speech]:[depicted]],,$E$2),xmen[issue],Matrix!$B110,xmen[x],Matrix!I$10,xmen[costume],I$9)</f>
        <v>0</v>
      </c>
      <c r="J110">
        <f>SUMIFS(INDEX(xmen[[speech]:[depicted]],,$E$2),xmen[issue],Matrix!$B110,xmen[x],Matrix!J$10,xmen[costume],J$9)</f>
        <v>0</v>
      </c>
      <c r="K110">
        <f>SUMIFS(INDEX(xmen[[speech]:[depicted]],,$E$2),xmen[issue],Matrix!$B110,xmen[x],Matrix!K$10,xmen[costume],K$9)</f>
        <v>0</v>
      </c>
      <c r="L110">
        <f>SUMIFS(INDEX(xmen[[speech]:[depicted]],,$E$2),xmen[issue],Matrix!$B110,xmen[x],Matrix!L$10,xmen[costume],L$9)</f>
        <v>0</v>
      </c>
      <c r="M110">
        <f t="shared" ca="1" si="14"/>
        <v>160</v>
      </c>
      <c r="O110">
        <f t="shared" ca="1" si="22"/>
        <v>154.375</v>
      </c>
      <c r="P110">
        <f t="shared" ca="1" si="21"/>
        <v>0.125</v>
      </c>
      <c r="Q110">
        <f t="shared" ca="1" si="21"/>
        <v>0.25</v>
      </c>
      <c r="R110">
        <f t="shared" ca="1" si="21"/>
        <v>0.125</v>
      </c>
      <c r="S110">
        <f t="shared" ca="1" si="21"/>
        <v>0</v>
      </c>
      <c r="T110">
        <f t="shared" ca="1" si="21"/>
        <v>0</v>
      </c>
      <c r="U110">
        <f t="shared" ca="1" si="21"/>
        <v>0</v>
      </c>
      <c r="V110">
        <f t="shared" ca="1" si="21"/>
        <v>0</v>
      </c>
      <c r="W110">
        <f t="shared" ca="1" si="21"/>
        <v>0</v>
      </c>
      <c r="X110">
        <f t="shared" ca="1" si="21"/>
        <v>0</v>
      </c>
      <c r="Y110">
        <f t="shared" ca="1" si="21"/>
        <v>0</v>
      </c>
      <c r="Z110">
        <f t="shared" ca="1" si="16"/>
        <v>154.875</v>
      </c>
      <c r="AA110" t="e">
        <f t="shared" si="17"/>
        <v>#N/A</v>
      </c>
      <c r="AB110" t="str">
        <f t="shared" si="18"/>
        <v/>
      </c>
      <c r="AC110">
        <f t="shared" si="19"/>
        <v>0</v>
      </c>
    </row>
    <row r="111" spans="2:29" x14ac:dyDescent="0.3">
      <c r="B111">
        <v>190</v>
      </c>
      <c r="C111">
        <f>SUMIFS(INDEX(xmen[[speech]:[depicted]],,$E$2),xmen[issue],Matrix!$B111,xmen[x],Matrix!C$10,xmen[costume],C$9)</f>
        <v>0</v>
      </c>
      <c r="D111">
        <f>SUMIFS(INDEX(xmen[[speech]:[depicted]],,$E$2),xmen[issue],Matrix!$B111,xmen[x],Matrix!D$10,xmen[costume],D$9)</f>
        <v>0</v>
      </c>
      <c r="E111">
        <f>SUMIFS(INDEX(xmen[[speech]:[depicted]],,$E$2),xmen[issue],Matrix!$B111,xmen[x],Matrix!E$10,xmen[costume],E$9)</f>
        <v>0</v>
      </c>
      <c r="F111">
        <f>SUMIFS(INDEX(xmen[[speech]:[depicted]],,$E$2),xmen[issue],Matrix!$B111,xmen[x],Matrix!F$10,xmen[costume],F$9)</f>
        <v>0</v>
      </c>
      <c r="G111">
        <f>SUMIFS(INDEX(xmen[[speech]:[depicted]],,$E$2),xmen[issue],Matrix!$B111,xmen[x],Matrix!G$10,xmen[costume],G$9)</f>
        <v>0</v>
      </c>
      <c r="H111">
        <f>SUMIFS(INDEX(xmen[[speech]:[depicted]],,$E$2),xmen[issue],Matrix!$B111,xmen[x],Matrix!H$10,xmen[costume],H$9)</f>
        <v>0</v>
      </c>
      <c r="I111">
        <f>SUMIFS(INDEX(xmen[[speech]:[depicted]],,$E$2),xmen[issue],Matrix!$B111,xmen[x],Matrix!I$10,xmen[costume],I$9)</f>
        <v>0</v>
      </c>
      <c r="J111">
        <f>SUMIFS(INDEX(xmen[[speech]:[depicted]],,$E$2),xmen[issue],Matrix!$B111,xmen[x],Matrix!J$10,xmen[costume],J$9)</f>
        <v>0</v>
      </c>
      <c r="K111">
        <f>SUMIFS(INDEX(xmen[[speech]:[depicted]],,$E$2),xmen[issue],Matrix!$B111,xmen[x],Matrix!K$10,xmen[costume],K$9)</f>
        <v>0</v>
      </c>
      <c r="L111">
        <f>SUMIFS(INDEX(xmen[[speech]:[depicted]],,$E$2),xmen[issue],Matrix!$B111,xmen[x],Matrix!L$10,xmen[costume],L$9)</f>
        <v>0</v>
      </c>
      <c r="M111">
        <f t="shared" ca="1" si="14"/>
        <v>147</v>
      </c>
      <c r="O111">
        <f t="shared" ca="1" si="22"/>
        <v>156.75</v>
      </c>
      <c r="P111">
        <f t="shared" ref="P111:Y126" ca="1" si="23">AVERAGE(OFFSET(INDEX($C111:$M111,P$9),-$P$3,,$P$2,1))</f>
        <v>0</v>
      </c>
      <c r="Q111">
        <f t="shared" ca="1" si="23"/>
        <v>0.25</v>
      </c>
      <c r="R111">
        <f t="shared" ca="1" si="23"/>
        <v>0.25</v>
      </c>
      <c r="S111">
        <f t="shared" ca="1" si="23"/>
        <v>0</v>
      </c>
      <c r="T111">
        <f t="shared" ca="1" si="23"/>
        <v>0</v>
      </c>
      <c r="U111">
        <f t="shared" ca="1" si="23"/>
        <v>0</v>
      </c>
      <c r="V111">
        <f t="shared" ca="1" si="23"/>
        <v>0</v>
      </c>
      <c r="W111">
        <f t="shared" ca="1" si="23"/>
        <v>0</v>
      </c>
      <c r="X111">
        <f t="shared" ca="1" si="23"/>
        <v>0</v>
      </c>
      <c r="Y111">
        <f t="shared" ca="1" si="23"/>
        <v>0</v>
      </c>
      <c r="Z111">
        <f t="shared" ca="1" si="16"/>
        <v>157.25</v>
      </c>
      <c r="AA111" t="e">
        <f t="shared" si="17"/>
        <v>#N/A</v>
      </c>
      <c r="AB111" t="str">
        <f t="shared" si="18"/>
        <v/>
      </c>
      <c r="AC111">
        <f t="shared" si="19"/>
        <v>0</v>
      </c>
    </row>
    <row r="112" spans="2:29" x14ac:dyDescent="0.3">
      <c r="B112">
        <v>191</v>
      </c>
      <c r="C112">
        <f>SUMIFS(INDEX(xmen[[speech]:[depicted]],,$E$2),xmen[issue],Matrix!$B112,xmen[x],Matrix!C$10,xmen[costume],C$9)</f>
        <v>0</v>
      </c>
      <c r="D112">
        <f>SUMIFS(INDEX(xmen[[speech]:[depicted]],,$E$2),xmen[issue],Matrix!$B112,xmen[x],Matrix!D$10,xmen[costume],D$9)</f>
        <v>0</v>
      </c>
      <c r="E112">
        <f>SUMIFS(INDEX(xmen[[speech]:[depicted]],,$E$2),xmen[issue],Matrix!$B112,xmen[x],Matrix!E$10,xmen[costume],E$9)</f>
        <v>0</v>
      </c>
      <c r="F112">
        <f>SUMIFS(INDEX(xmen[[speech]:[depicted]],,$E$2),xmen[issue],Matrix!$B112,xmen[x],Matrix!F$10,xmen[costume],F$9)</f>
        <v>0</v>
      </c>
      <c r="G112">
        <f>SUMIFS(INDEX(xmen[[speech]:[depicted]],,$E$2),xmen[issue],Matrix!$B112,xmen[x],Matrix!G$10,xmen[costume],G$9)</f>
        <v>0</v>
      </c>
      <c r="H112">
        <f>SUMIFS(INDEX(xmen[[speech]:[depicted]],,$E$2),xmen[issue],Matrix!$B112,xmen[x],Matrix!H$10,xmen[costume],H$9)</f>
        <v>0</v>
      </c>
      <c r="I112">
        <f>SUMIFS(INDEX(xmen[[speech]:[depicted]],,$E$2),xmen[issue],Matrix!$B112,xmen[x],Matrix!I$10,xmen[costume],I$9)</f>
        <v>0</v>
      </c>
      <c r="J112">
        <f>SUMIFS(INDEX(xmen[[speech]:[depicted]],,$E$2),xmen[issue],Matrix!$B112,xmen[x],Matrix!J$10,xmen[costume],J$9)</f>
        <v>0</v>
      </c>
      <c r="K112">
        <f>SUMIFS(INDEX(xmen[[speech]:[depicted]],,$E$2),xmen[issue],Matrix!$B112,xmen[x],Matrix!K$10,xmen[costume],K$9)</f>
        <v>0</v>
      </c>
      <c r="L112">
        <f>SUMIFS(INDEX(xmen[[speech]:[depicted]],,$E$2),xmen[issue],Matrix!$B112,xmen[x],Matrix!L$10,xmen[costume],L$9)</f>
        <v>0</v>
      </c>
      <c r="M112">
        <f t="shared" ca="1" si="14"/>
        <v>147</v>
      </c>
      <c r="O112">
        <f t="shared" ca="1" si="22"/>
        <v>155.375</v>
      </c>
      <c r="P112">
        <f t="shared" ca="1" si="23"/>
        <v>0</v>
      </c>
      <c r="Q112">
        <f t="shared" ca="1" si="23"/>
        <v>0.25</v>
      </c>
      <c r="R112">
        <f t="shared" ca="1" si="23"/>
        <v>0.25</v>
      </c>
      <c r="S112">
        <f t="shared" ca="1" si="23"/>
        <v>0</v>
      </c>
      <c r="T112">
        <f t="shared" ca="1" si="23"/>
        <v>0</v>
      </c>
      <c r="U112">
        <f t="shared" ca="1" si="23"/>
        <v>0</v>
      </c>
      <c r="V112">
        <f t="shared" ca="1" si="23"/>
        <v>0</v>
      </c>
      <c r="W112">
        <f t="shared" ca="1" si="23"/>
        <v>0</v>
      </c>
      <c r="X112">
        <f t="shared" ca="1" si="23"/>
        <v>0</v>
      </c>
      <c r="Y112">
        <f t="shared" ca="1" si="23"/>
        <v>0</v>
      </c>
      <c r="Z112">
        <f t="shared" ca="1" si="16"/>
        <v>155.875</v>
      </c>
      <c r="AA112" t="e">
        <f t="shared" si="17"/>
        <v>#N/A</v>
      </c>
      <c r="AB112" t="str">
        <f t="shared" si="18"/>
        <v/>
      </c>
      <c r="AC112">
        <f t="shared" si="19"/>
        <v>0</v>
      </c>
    </row>
    <row r="113" spans="2:29" x14ac:dyDescent="0.3">
      <c r="B113">
        <v>192</v>
      </c>
      <c r="C113">
        <f>SUMIFS(INDEX(xmen[[speech]:[depicted]],,$E$2),xmen[issue],Matrix!$B113,xmen[x],Matrix!C$10,xmen[costume],C$9)</f>
        <v>0</v>
      </c>
      <c r="D113">
        <f>SUMIFS(INDEX(xmen[[speech]:[depicted]],,$E$2),xmen[issue],Matrix!$B113,xmen[x],Matrix!D$10,xmen[costume],D$9)</f>
        <v>0</v>
      </c>
      <c r="E113">
        <f>SUMIFS(INDEX(xmen[[speech]:[depicted]],,$E$2),xmen[issue],Matrix!$B113,xmen[x],Matrix!E$10,xmen[costume],E$9)</f>
        <v>0</v>
      </c>
      <c r="F113">
        <f>SUMIFS(INDEX(xmen[[speech]:[depicted]],,$E$2),xmen[issue],Matrix!$B113,xmen[x],Matrix!F$10,xmen[costume],F$9)</f>
        <v>0</v>
      </c>
      <c r="G113">
        <f>SUMIFS(INDEX(xmen[[speech]:[depicted]],,$E$2),xmen[issue],Matrix!$B113,xmen[x],Matrix!G$10,xmen[costume],G$9)</f>
        <v>1</v>
      </c>
      <c r="H113">
        <f>SUMIFS(INDEX(xmen[[speech]:[depicted]],,$E$2),xmen[issue],Matrix!$B113,xmen[x],Matrix!H$10,xmen[costume],H$9)</f>
        <v>0</v>
      </c>
      <c r="I113">
        <f>SUMIFS(INDEX(xmen[[speech]:[depicted]],,$E$2),xmen[issue],Matrix!$B113,xmen[x],Matrix!I$10,xmen[costume],I$9)</f>
        <v>0</v>
      </c>
      <c r="J113">
        <f>SUMIFS(INDEX(xmen[[speech]:[depicted]],,$E$2),xmen[issue],Matrix!$B113,xmen[x],Matrix!J$10,xmen[costume],J$9)</f>
        <v>0</v>
      </c>
      <c r="K113">
        <f>SUMIFS(INDEX(xmen[[speech]:[depicted]],,$E$2),xmen[issue],Matrix!$B113,xmen[x],Matrix!K$10,xmen[costume],K$9)</f>
        <v>0</v>
      </c>
      <c r="L113">
        <f>SUMIFS(INDEX(xmen[[speech]:[depicted]],,$E$2),xmen[issue],Matrix!$B113,xmen[x],Matrix!L$10,xmen[costume],L$9)</f>
        <v>0</v>
      </c>
      <c r="M113">
        <f t="shared" ca="1" si="14"/>
        <v>147.5</v>
      </c>
      <c r="O113">
        <f t="shared" ca="1" si="22"/>
        <v>155.5</v>
      </c>
      <c r="P113">
        <f t="shared" ca="1" si="23"/>
        <v>0</v>
      </c>
      <c r="Q113">
        <f t="shared" ca="1" si="23"/>
        <v>0</v>
      </c>
      <c r="R113">
        <f t="shared" ca="1" si="23"/>
        <v>0.25</v>
      </c>
      <c r="S113">
        <f t="shared" ca="1" si="23"/>
        <v>0</v>
      </c>
      <c r="T113">
        <f t="shared" ca="1" si="23"/>
        <v>0</v>
      </c>
      <c r="U113">
        <f t="shared" ca="1" si="23"/>
        <v>0</v>
      </c>
      <c r="V113">
        <f t="shared" ca="1" si="23"/>
        <v>0</v>
      </c>
      <c r="W113">
        <f t="shared" ca="1" si="23"/>
        <v>0</v>
      </c>
      <c r="X113">
        <f t="shared" ca="1" si="23"/>
        <v>0</v>
      </c>
      <c r="Y113">
        <f t="shared" ca="1" si="23"/>
        <v>0</v>
      </c>
      <c r="Z113">
        <f t="shared" ca="1" si="16"/>
        <v>155.75</v>
      </c>
      <c r="AA113" t="e">
        <f t="shared" si="17"/>
        <v>#N/A</v>
      </c>
      <c r="AB113" t="str">
        <f t="shared" si="18"/>
        <v/>
      </c>
      <c r="AC113">
        <f t="shared" si="19"/>
        <v>0</v>
      </c>
    </row>
    <row r="114" spans="2:29" x14ac:dyDescent="0.3">
      <c r="B114">
        <v>193</v>
      </c>
      <c r="C114">
        <f>SUMIFS(INDEX(xmen[[speech]:[depicted]],,$E$2),xmen[issue],Matrix!$B114,xmen[x],Matrix!C$10,xmen[costume],C$9)</f>
        <v>0</v>
      </c>
      <c r="D114">
        <f>SUMIFS(INDEX(xmen[[speech]:[depicted]],,$E$2),xmen[issue],Matrix!$B114,xmen[x],Matrix!D$10,xmen[costume],D$9)</f>
        <v>0</v>
      </c>
      <c r="E114">
        <f>SUMIFS(INDEX(xmen[[speech]:[depicted]],,$E$2),xmen[issue],Matrix!$B114,xmen[x],Matrix!E$10,xmen[costume],E$9)</f>
        <v>0</v>
      </c>
      <c r="F114">
        <f>SUMIFS(INDEX(xmen[[speech]:[depicted]],,$E$2),xmen[issue],Matrix!$B114,xmen[x],Matrix!F$10,xmen[costume],F$9)</f>
        <v>0</v>
      </c>
      <c r="G114">
        <f>SUMIFS(INDEX(xmen[[speech]:[depicted]],,$E$2),xmen[issue],Matrix!$B114,xmen[x],Matrix!G$10,xmen[costume],G$9)</f>
        <v>1</v>
      </c>
      <c r="H114">
        <f>SUMIFS(INDEX(xmen[[speech]:[depicted]],,$E$2),xmen[issue],Matrix!$B114,xmen[x],Matrix!H$10,xmen[costume],H$9)</f>
        <v>0</v>
      </c>
      <c r="I114">
        <f>SUMIFS(INDEX(xmen[[speech]:[depicted]],,$E$2),xmen[issue],Matrix!$B114,xmen[x],Matrix!I$10,xmen[costume],I$9)</f>
        <v>0</v>
      </c>
      <c r="J114">
        <f>SUMIFS(INDEX(xmen[[speech]:[depicted]],,$E$2),xmen[issue],Matrix!$B114,xmen[x],Matrix!J$10,xmen[costume],J$9)</f>
        <v>0</v>
      </c>
      <c r="K114">
        <f>SUMIFS(INDEX(xmen[[speech]:[depicted]],,$E$2),xmen[issue],Matrix!$B114,xmen[x],Matrix!K$10,xmen[costume],K$9)</f>
        <v>0</v>
      </c>
      <c r="L114">
        <f>SUMIFS(INDEX(xmen[[speech]:[depicted]],,$E$2),xmen[issue],Matrix!$B114,xmen[x],Matrix!L$10,xmen[costume],L$9)</f>
        <v>0</v>
      </c>
      <c r="M114">
        <f t="shared" ca="1" si="14"/>
        <v>165.5</v>
      </c>
      <c r="O114">
        <f t="shared" ca="1" si="22"/>
        <v>154.5</v>
      </c>
      <c r="P114">
        <f t="shared" ca="1" si="23"/>
        <v>0</v>
      </c>
      <c r="Q114">
        <f t="shared" ca="1" si="23"/>
        <v>0</v>
      </c>
      <c r="R114">
        <f t="shared" ca="1" si="23"/>
        <v>0.25</v>
      </c>
      <c r="S114">
        <f t="shared" ca="1" si="23"/>
        <v>0</v>
      </c>
      <c r="T114">
        <f t="shared" ca="1" si="23"/>
        <v>0</v>
      </c>
      <c r="U114">
        <f t="shared" ca="1" si="23"/>
        <v>0</v>
      </c>
      <c r="V114">
        <f t="shared" ca="1" si="23"/>
        <v>0</v>
      </c>
      <c r="W114">
        <f t="shared" ca="1" si="23"/>
        <v>0</v>
      </c>
      <c r="X114">
        <f t="shared" ca="1" si="23"/>
        <v>0</v>
      </c>
      <c r="Y114">
        <f t="shared" ca="1" si="23"/>
        <v>0</v>
      </c>
      <c r="Z114">
        <f t="shared" ca="1" si="16"/>
        <v>154.75</v>
      </c>
      <c r="AA114" t="e">
        <f t="shared" si="17"/>
        <v>#N/A</v>
      </c>
      <c r="AB114" t="str">
        <f t="shared" si="18"/>
        <v/>
      </c>
      <c r="AC114">
        <f t="shared" si="19"/>
        <v>0</v>
      </c>
    </row>
    <row r="115" spans="2:29" x14ac:dyDescent="0.3">
      <c r="B115">
        <v>194</v>
      </c>
      <c r="C115">
        <f>SUMIFS(INDEX(xmen[[speech]:[depicted]],,$E$2),xmen[issue],Matrix!$B115,xmen[x],Matrix!C$10,xmen[costume],C$9)</f>
        <v>0</v>
      </c>
      <c r="D115">
        <f>SUMIFS(INDEX(xmen[[speech]:[depicted]],,$E$2),xmen[issue],Matrix!$B115,xmen[x],Matrix!D$10,xmen[costume],D$9)</f>
        <v>0</v>
      </c>
      <c r="E115">
        <f>SUMIFS(INDEX(xmen[[speech]:[depicted]],,$E$2),xmen[issue],Matrix!$B115,xmen[x],Matrix!E$10,xmen[costume],E$9)</f>
        <v>0</v>
      </c>
      <c r="F115">
        <f>SUMIFS(INDEX(xmen[[speech]:[depicted]],,$E$2),xmen[issue],Matrix!$B115,xmen[x],Matrix!F$10,xmen[costume],F$9)</f>
        <v>0</v>
      </c>
      <c r="G115">
        <f>SUMIFS(INDEX(xmen[[speech]:[depicted]],,$E$2),xmen[issue],Matrix!$B115,xmen[x],Matrix!G$10,xmen[costume],G$9)</f>
        <v>0</v>
      </c>
      <c r="H115">
        <f>SUMIFS(INDEX(xmen[[speech]:[depicted]],,$E$2),xmen[issue],Matrix!$B115,xmen[x],Matrix!H$10,xmen[costume],H$9)</f>
        <v>0</v>
      </c>
      <c r="I115">
        <f>SUMIFS(INDEX(xmen[[speech]:[depicted]],,$E$2),xmen[issue],Matrix!$B115,xmen[x],Matrix!I$10,xmen[costume],I$9)</f>
        <v>0</v>
      </c>
      <c r="J115">
        <f>SUMIFS(INDEX(xmen[[speech]:[depicted]],,$E$2),xmen[issue],Matrix!$B115,xmen[x],Matrix!J$10,xmen[costume],J$9)</f>
        <v>0</v>
      </c>
      <c r="K115">
        <f>SUMIFS(INDEX(xmen[[speech]:[depicted]],,$E$2),xmen[issue],Matrix!$B115,xmen[x],Matrix!K$10,xmen[costume],K$9)</f>
        <v>0</v>
      </c>
      <c r="L115">
        <f>SUMIFS(INDEX(xmen[[speech]:[depicted]],,$E$2),xmen[issue],Matrix!$B115,xmen[x],Matrix!L$10,xmen[costume],L$9)</f>
        <v>0</v>
      </c>
      <c r="M115">
        <f t="shared" ca="1" si="14"/>
        <v>154</v>
      </c>
      <c r="O115">
        <f t="shared" ca="1" si="22"/>
        <v>153.5</v>
      </c>
      <c r="P115">
        <f t="shared" ca="1" si="23"/>
        <v>0</v>
      </c>
      <c r="Q115">
        <f t="shared" ca="1" si="23"/>
        <v>0</v>
      </c>
      <c r="R115">
        <f t="shared" ca="1" si="23"/>
        <v>0.25</v>
      </c>
      <c r="S115">
        <f t="shared" ca="1" si="23"/>
        <v>0</v>
      </c>
      <c r="T115">
        <f t="shared" ca="1" si="23"/>
        <v>0</v>
      </c>
      <c r="U115">
        <f t="shared" ca="1" si="23"/>
        <v>0</v>
      </c>
      <c r="V115">
        <f t="shared" ca="1" si="23"/>
        <v>0</v>
      </c>
      <c r="W115">
        <f t="shared" ca="1" si="23"/>
        <v>0</v>
      </c>
      <c r="X115">
        <f t="shared" ca="1" si="23"/>
        <v>0</v>
      </c>
      <c r="Y115">
        <f t="shared" ca="1" si="23"/>
        <v>0</v>
      </c>
      <c r="Z115">
        <f t="shared" ca="1" si="16"/>
        <v>153.75</v>
      </c>
      <c r="AA115" t="e">
        <f t="shared" si="17"/>
        <v>#N/A</v>
      </c>
      <c r="AB115" t="str">
        <f t="shared" si="18"/>
        <v/>
      </c>
      <c r="AC115">
        <f t="shared" si="19"/>
        <v>0</v>
      </c>
    </row>
    <row r="116" spans="2:29" x14ac:dyDescent="0.3">
      <c r="B116">
        <v>195</v>
      </c>
      <c r="C116">
        <f>SUMIFS(INDEX(xmen[[speech]:[depicted]],,$E$2),xmen[issue],Matrix!$B116,xmen[x],Matrix!C$10,xmen[costume],C$9)</f>
        <v>0</v>
      </c>
      <c r="D116">
        <f>SUMIFS(INDEX(xmen[[speech]:[depicted]],,$E$2),xmen[issue],Matrix!$B116,xmen[x],Matrix!D$10,xmen[costume],D$9)</f>
        <v>0</v>
      </c>
      <c r="E116">
        <f>SUMIFS(INDEX(xmen[[speech]:[depicted]],,$E$2),xmen[issue],Matrix!$B116,xmen[x],Matrix!E$10,xmen[costume],E$9)</f>
        <v>0</v>
      </c>
      <c r="F116">
        <f>SUMIFS(INDEX(xmen[[speech]:[depicted]],,$E$2),xmen[issue],Matrix!$B116,xmen[x],Matrix!F$10,xmen[costume],F$9)</f>
        <v>0</v>
      </c>
      <c r="G116">
        <f>SUMIFS(INDEX(xmen[[speech]:[depicted]],,$E$2),xmen[issue],Matrix!$B116,xmen[x],Matrix!G$10,xmen[costume],G$9)</f>
        <v>0</v>
      </c>
      <c r="H116">
        <f>SUMIFS(INDEX(xmen[[speech]:[depicted]],,$E$2),xmen[issue],Matrix!$B116,xmen[x],Matrix!H$10,xmen[costume],H$9)</f>
        <v>0</v>
      </c>
      <c r="I116">
        <f>SUMIFS(INDEX(xmen[[speech]:[depicted]],,$E$2),xmen[issue],Matrix!$B116,xmen[x],Matrix!I$10,xmen[costume],I$9)</f>
        <v>0</v>
      </c>
      <c r="J116">
        <f>SUMIFS(INDEX(xmen[[speech]:[depicted]],,$E$2),xmen[issue],Matrix!$B116,xmen[x],Matrix!J$10,xmen[costume],J$9)</f>
        <v>0</v>
      </c>
      <c r="K116">
        <f>SUMIFS(INDEX(xmen[[speech]:[depicted]],,$E$2),xmen[issue],Matrix!$B116,xmen[x],Matrix!K$10,xmen[costume],K$9)</f>
        <v>0</v>
      </c>
      <c r="L116">
        <f>SUMIFS(INDEX(xmen[[speech]:[depicted]],,$E$2),xmen[issue],Matrix!$B116,xmen[x],Matrix!L$10,xmen[costume],L$9)</f>
        <v>0</v>
      </c>
      <c r="M116">
        <f t="shared" ca="1" si="14"/>
        <v>158</v>
      </c>
      <c r="O116">
        <f t="shared" ca="1" si="22"/>
        <v>153.625</v>
      </c>
      <c r="P116">
        <f t="shared" ca="1" si="23"/>
        <v>0</v>
      </c>
      <c r="Q116">
        <f t="shared" ca="1" si="23"/>
        <v>6</v>
      </c>
      <c r="R116">
        <f t="shared" ca="1" si="23"/>
        <v>0.25</v>
      </c>
      <c r="S116">
        <f t="shared" ca="1" si="23"/>
        <v>0</v>
      </c>
      <c r="T116">
        <f t="shared" ca="1" si="23"/>
        <v>0</v>
      </c>
      <c r="U116">
        <f t="shared" ca="1" si="23"/>
        <v>0</v>
      </c>
      <c r="V116">
        <f t="shared" ca="1" si="23"/>
        <v>0</v>
      </c>
      <c r="W116">
        <f t="shared" ca="1" si="23"/>
        <v>0</v>
      </c>
      <c r="X116">
        <f t="shared" ca="1" si="23"/>
        <v>0</v>
      </c>
      <c r="Y116">
        <f t="shared" ca="1" si="23"/>
        <v>0</v>
      </c>
      <c r="Z116">
        <f t="shared" ca="1" si="16"/>
        <v>159.875</v>
      </c>
      <c r="AA116" t="e">
        <f t="shared" si="17"/>
        <v>#N/A</v>
      </c>
      <c r="AB116" t="str">
        <f t="shared" si="18"/>
        <v/>
      </c>
      <c r="AC116">
        <f t="shared" si="19"/>
        <v>0</v>
      </c>
    </row>
    <row r="117" spans="2:29" x14ac:dyDescent="0.3">
      <c r="B117">
        <v>196</v>
      </c>
      <c r="C117">
        <f>SUMIFS(INDEX(xmen[[speech]:[depicted]],,$E$2),xmen[issue],Matrix!$B117,xmen[x],Matrix!C$10,xmen[costume],C$9)</f>
        <v>0</v>
      </c>
      <c r="D117">
        <f>SUMIFS(INDEX(xmen[[speech]:[depicted]],,$E$2),xmen[issue],Matrix!$B117,xmen[x],Matrix!D$10,xmen[costume],D$9)</f>
        <v>0</v>
      </c>
      <c r="E117">
        <f>SUMIFS(INDEX(xmen[[speech]:[depicted]],,$E$2),xmen[issue],Matrix!$B117,xmen[x],Matrix!E$10,xmen[costume],E$9)</f>
        <v>0</v>
      </c>
      <c r="F117">
        <f>SUMIFS(INDEX(xmen[[speech]:[depicted]],,$E$2),xmen[issue],Matrix!$B117,xmen[x],Matrix!F$10,xmen[costume],F$9)</f>
        <v>0</v>
      </c>
      <c r="G117">
        <f>SUMIFS(INDEX(xmen[[speech]:[depicted]],,$E$2),xmen[issue],Matrix!$B117,xmen[x],Matrix!G$10,xmen[costume],G$9)</f>
        <v>0</v>
      </c>
      <c r="H117">
        <f>SUMIFS(INDEX(xmen[[speech]:[depicted]],,$E$2),xmen[issue],Matrix!$B117,xmen[x],Matrix!H$10,xmen[costume],H$9)</f>
        <v>0</v>
      </c>
      <c r="I117">
        <f>SUMIFS(INDEX(xmen[[speech]:[depicted]],,$E$2),xmen[issue],Matrix!$B117,xmen[x],Matrix!I$10,xmen[costume],I$9)</f>
        <v>0</v>
      </c>
      <c r="J117">
        <f>SUMIFS(INDEX(xmen[[speech]:[depicted]],,$E$2),xmen[issue],Matrix!$B117,xmen[x],Matrix!J$10,xmen[costume],J$9)</f>
        <v>0</v>
      </c>
      <c r="K117">
        <f>SUMIFS(INDEX(xmen[[speech]:[depicted]],,$E$2),xmen[issue],Matrix!$B117,xmen[x],Matrix!K$10,xmen[costume],K$9)</f>
        <v>0</v>
      </c>
      <c r="L117">
        <f>SUMIFS(INDEX(xmen[[speech]:[depicted]],,$E$2),xmen[issue],Matrix!$B117,xmen[x],Matrix!L$10,xmen[costume],L$9)</f>
        <v>0</v>
      </c>
      <c r="M117">
        <f t="shared" ca="1" si="14"/>
        <v>157</v>
      </c>
      <c r="O117">
        <f t="shared" ca="1" si="22"/>
        <v>154.375</v>
      </c>
      <c r="P117">
        <f t="shared" ca="1" si="23"/>
        <v>0</v>
      </c>
      <c r="Q117">
        <f t="shared" ca="1" si="23"/>
        <v>6</v>
      </c>
      <c r="R117">
        <f t="shared" ca="1" si="23"/>
        <v>0.25</v>
      </c>
      <c r="S117">
        <f t="shared" ca="1" si="23"/>
        <v>0</v>
      </c>
      <c r="T117">
        <f t="shared" ca="1" si="23"/>
        <v>0</v>
      </c>
      <c r="U117">
        <f t="shared" ca="1" si="23"/>
        <v>0</v>
      </c>
      <c r="V117">
        <f t="shared" ca="1" si="23"/>
        <v>0</v>
      </c>
      <c r="W117">
        <f t="shared" ca="1" si="23"/>
        <v>0</v>
      </c>
      <c r="X117">
        <f t="shared" ca="1" si="23"/>
        <v>0</v>
      </c>
      <c r="Y117">
        <f t="shared" ca="1" si="23"/>
        <v>0</v>
      </c>
      <c r="Z117">
        <f t="shared" ca="1" si="16"/>
        <v>160.625</v>
      </c>
      <c r="AA117" t="e">
        <f t="shared" si="17"/>
        <v>#N/A</v>
      </c>
      <c r="AB117" t="str">
        <f t="shared" si="18"/>
        <v/>
      </c>
      <c r="AC117">
        <f t="shared" si="19"/>
        <v>0</v>
      </c>
    </row>
    <row r="118" spans="2:29" x14ac:dyDescent="0.3">
      <c r="B118">
        <v>197</v>
      </c>
      <c r="C118">
        <f>SUMIFS(INDEX(xmen[[speech]:[depicted]],,$E$2),xmen[issue],Matrix!$B118,xmen[x],Matrix!C$10,xmen[costume],C$9)</f>
        <v>0</v>
      </c>
      <c r="D118">
        <f>SUMIFS(INDEX(xmen[[speech]:[depicted]],,$E$2),xmen[issue],Matrix!$B118,xmen[x],Matrix!D$10,xmen[costume],D$9)</f>
        <v>0</v>
      </c>
      <c r="E118">
        <f>SUMIFS(INDEX(xmen[[speech]:[depicted]],,$E$2),xmen[issue],Matrix!$B118,xmen[x],Matrix!E$10,xmen[costume],E$9)</f>
        <v>0</v>
      </c>
      <c r="F118">
        <f>SUMIFS(INDEX(xmen[[speech]:[depicted]],,$E$2),xmen[issue],Matrix!$B118,xmen[x],Matrix!F$10,xmen[costume],F$9)</f>
        <v>0</v>
      </c>
      <c r="G118">
        <f>SUMIFS(INDEX(xmen[[speech]:[depicted]],,$E$2),xmen[issue],Matrix!$B118,xmen[x],Matrix!G$10,xmen[costume],G$9)</f>
        <v>0</v>
      </c>
      <c r="H118">
        <f>SUMIFS(INDEX(xmen[[speech]:[depicted]],,$E$2),xmen[issue],Matrix!$B118,xmen[x],Matrix!H$10,xmen[costume],H$9)</f>
        <v>0</v>
      </c>
      <c r="I118">
        <f>SUMIFS(INDEX(xmen[[speech]:[depicted]],,$E$2),xmen[issue],Matrix!$B118,xmen[x],Matrix!I$10,xmen[costume],I$9)</f>
        <v>0</v>
      </c>
      <c r="J118">
        <f>SUMIFS(INDEX(xmen[[speech]:[depicted]],,$E$2),xmen[issue],Matrix!$B118,xmen[x],Matrix!J$10,xmen[costume],J$9)</f>
        <v>0</v>
      </c>
      <c r="K118">
        <f>SUMIFS(INDEX(xmen[[speech]:[depicted]],,$E$2),xmen[issue],Matrix!$B118,xmen[x],Matrix!K$10,xmen[costume],K$9)</f>
        <v>0</v>
      </c>
      <c r="L118">
        <f>SUMIFS(INDEX(xmen[[speech]:[depicted]],,$E$2),xmen[issue],Matrix!$B118,xmen[x],Matrix!L$10,xmen[costume],L$9)</f>
        <v>0</v>
      </c>
      <c r="M118">
        <f t="shared" ca="1" si="14"/>
        <v>152</v>
      </c>
      <c r="O118">
        <f t="shared" ca="1" si="22"/>
        <v>157</v>
      </c>
      <c r="P118">
        <f t="shared" ca="1" si="23"/>
        <v>0</v>
      </c>
      <c r="Q118">
        <f t="shared" ca="1" si="23"/>
        <v>6</v>
      </c>
      <c r="R118">
        <f t="shared" ca="1" si="23"/>
        <v>0.125</v>
      </c>
      <c r="S118">
        <f t="shared" ca="1" si="23"/>
        <v>0</v>
      </c>
      <c r="T118">
        <f t="shared" ca="1" si="23"/>
        <v>0</v>
      </c>
      <c r="U118">
        <f t="shared" ca="1" si="23"/>
        <v>0</v>
      </c>
      <c r="V118">
        <f t="shared" ca="1" si="23"/>
        <v>0</v>
      </c>
      <c r="W118">
        <f t="shared" ca="1" si="23"/>
        <v>0</v>
      </c>
      <c r="X118">
        <f t="shared" ca="1" si="23"/>
        <v>0.125</v>
      </c>
      <c r="Y118">
        <f t="shared" ca="1" si="23"/>
        <v>0</v>
      </c>
      <c r="Z118">
        <f t="shared" ca="1" si="16"/>
        <v>163.25</v>
      </c>
      <c r="AA118" t="e">
        <f t="shared" si="17"/>
        <v>#N/A</v>
      </c>
      <c r="AB118" t="str">
        <f t="shared" si="18"/>
        <v/>
      </c>
      <c r="AC118">
        <f t="shared" si="19"/>
        <v>0</v>
      </c>
    </row>
    <row r="119" spans="2:29" x14ac:dyDescent="0.3">
      <c r="B119">
        <v>198</v>
      </c>
      <c r="C119">
        <f>SUMIFS(INDEX(xmen[[speech]:[depicted]],,$E$2),xmen[issue],Matrix!$B119,xmen[x],Matrix!C$10,xmen[costume],C$9)</f>
        <v>0</v>
      </c>
      <c r="D119">
        <f>SUMIFS(INDEX(xmen[[speech]:[depicted]],,$E$2),xmen[issue],Matrix!$B119,xmen[x],Matrix!D$10,xmen[costume],D$9)</f>
        <v>0</v>
      </c>
      <c r="E119">
        <f>SUMIFS(INDEX(xmen[[speech]:[depicted]],,$E$2),xmen[issue],Matrix!$B119,xmen[x],Matrix!E$10,xmen[costume],E$9)</f>
        <v>0</v>
      </c>
      <c r="F119">
        <f>SUMIFS(INDEX(xmen[[speech]:[depicted]],,$E$2),xmen[issue],Matrix!$B119,xmen[x],Matrix!F$10,xmen[costume],F$9)</f>
        <v>0</v>
      </c>
      <c r="G119">
        <f>SUMIFS(INDEX(xmen[[speech]:[depicted]],,$E$2),xmen[issue],Matrix!$B119,xmen[x],Matrix!G$10,xmen[costume],G$9)</f>
        <v>0</v>
      </c>
      <c r="H119">
        <f>SUMIFS(INDEX(xmen[[speech]:[depicted]],,$E$2),xmen[issue],Matrix!$B119,xmen[x],Matrix!H$10,xmen[costume],H$9)</f>
        <v>0</v>
      </c>
      <c r="I119">
        <f>SUMIFS(INDEX(xmen[[speech]:[depicted]],,$E$2),xmen[issue],Matrix!$B119,xmen[x],Matrix!I$10,xmen[costume],I$9)</f>
        <v>0</v>
      </c>
      <c r="J119">
        <f>SUMIFS(INDEX(xmen[[speech]:[depicted]],,$E$2),xmen[issue],Matrix!$B119,xmen[x],Matrix!J$10,xmen[costume],J$9)</f>
        <v>48</v>
      </c>
      <c r="K119">
        <f>SUMIFS(INDEX(xmen[[speech]:[depicted]],,$E$2),xmen[issue],Matrix!$B119,xmen[x],Matrix!K$10,xmen[costume],K$9)</f>
        <v>0</v>
      </c>
      <c r="L119">
        <f>SUMIFS(INDEX(xmen[[speech]:[depicted]],,$E$2),xmen[issue],Matrix!$B119,xmen[x],Matrix!L$10,xmen[costume],L$9)</f>
        <v>0</v>
      </c>
      <c r="M119">
        <f t="shared" ca="1" si="14"/>
        <v>148</v>
      </c>
      <c r="O119">
        <f t="shared" ca="1" si="22"/>
        <v>157.4375</v>
      </c>
      <c r="P119">
        <f t="shared" ca="1" si="23"/>
        <v>0</v>
      </c>
      <c r="Q119">
        <f t="shared" ca="1" si="23"/>
        <v>6</v>
      </c>
      <c r="R119">
        <f t="shared" ca="1" si="23"/>
        <v>0</v>
      </c>
      <c r="S119">
        <f t="shared" ca="1" si="23"/>
        <v>0</v>
      </c>
      <c r="T119">
        <f t="shared" ca="1" si="23"/>
        <v>0</v>
      </c>
      <c r="U119">
        <f t="shared" ca="1" si="23"/>
        <v>0</v>
      </c>
      <c r="V119">
        <f t="shared" ca="1" si="23"/>
        <v>0</v>
      </c>
      <c r="W119">
        <f t="shared" ca="1" si="23"/>
        <v>0</v>
      </c>
      <c r="X119">
        <f t="shared" ca="1" si="23"/>
        <v>0.125</v>
      </c>
      <c r="Y119">
        <f t="shared" ca="1" si="23"/>
        <v>0</v>
      </c>
      <c r="Z119">
        <f t="shared" ca="1" si="16"/>
        <v>163.5625</v>
      </c>
      <c r="AA119" t="e">
        <f t="shared" si="17"/>
        <v>#N/A</v>
      </c>
      <c r="AB119" t="str">
        <f t="shared" si="18"/>
        <v/>
      </c>
      <c r="AC119">
        <f t="shared" si="19"/>
        <v>0</v>
      </c>
    </row>
    <row r="120" spans="2:29" x14ac:dyDescent="0.3">
      <c r="B120">
        <v>199</v>
      </c>
      <c r="C120">
        <f>SUMIFS(INDEX(xmen[[speech]:[depicted]],,$E$2),xmen[issue],Matrix!$B120,xmen[x],Matrix!C$10,xmen[costume],C$9)</f>
        <v>0</v>
      </c>
      <c r="D120">
        <f>SUMIFS(INDEX(xmen[[speech]:[depicted]],,$E$2),xmen[issue],Matrix!$B120,xmen[x],Matrix!D$10,xmen[costume],D$9)</f>
        <v>0</v>
      </c>
      <c r="E120">
        <f>SUMIFS(INDEX(xmen[[speech]:[depicted]],,$E$2),xmen[issue],Matrix!$B120,xmen[x],Matrix!E$10,xmen[costume],E$9)</f>
        <v>0</v>
      </c>
      <c r="F120">
        <f>SUMIFS(INDEX(xmen[[speech]:[depicted]],,$E$2),xmen[issue],Matrix!$B120,xmen[x],Matrix!F$10,xmen[costume],F$9)</f>
        <v>0</v>
      </c>
      <c r="G120">
        <f>SUMIFS(INDEX(xmen[[speech]:[depicted]],,$E$2),xmen[issue],Matrix!$B120,xmen[x],Matrix!G$10,xmen[costume],G$9)</f>
        <v>0</v>
      </c>
      <c r="H120">
        <f>SUMIFS(INDEX(xmen[[speech]:[depicted]],,$E$2),xmen[issue],Matrix!$B120,xmen[x],Matrix!H$10,xmen[costume],H$9)</f>
        <v>0</v>
      </c>
      <c r="I120">
        <f>SUMIFS(INDEX(xmen[[speech]:[depicted]],,$E$2),xmen[issue],Matrix!$B120,xmen[x],Matrix!I$10,xmen[costume],I$9)</f>
        <v>0</v>
      </c>
      <c r="J120">
        <f>SUMIFS(INDEX(xmen[[speech]:[depicted]],,$E$2),xmen[issue],Matrix!$B120,xmen[x],Matrix!J$10,xmen[costume],J$9)</f>
        <v>0</v>
      </c>
      <c r="K120">
        <f>SUMIFS(INDEX(xmen[[speech]:[depicted]],,$E$2),xmen[issue],Matrix!$B120,xmen[x],Matrix!K$10,xmen[costume],K$9)</f>
        <v>0</v>
      </c>
      <c r="L120">
        <f>SUMIFS(INDEX(xmen[[speech]:[depicted]],,$E$2),xmen[issue],Matrix!$B120,xmen[x],Matrix!L$10,xmen[costume],L$9)</f>
        <v>0</v>
      </c>
      <c r="M120">
        <f t="shared" ca="1" si="14"/>
        <v>153</v>
      </c>
      <c r="O120">
        <f t="shared" ca="1" si="22"/>
        <v>158.3125</v>
      </c>
      <c r="P120">
        <f t="shared" ca="1" si="23"/>
        <v>0</v>
      </c>
      <c r="Q120">
        <f t="shared" ca="1" si="23"/>
        <v>6</v>
      </c>
      <c r="R120">
        <f t="shared" ca="1" si="23"/>
        <v>0</v>
      </c>
      <c r="S120">
        <f t="shared" ca="1" si="23"/>
        <v>0</v>
      </c>
      <c r="T120">
        <f t="shared" ca="1" si="23"/>
        <v>0</v>
      </c>
      <c r="U120">
        <f t="shared" ca="1" si="23"/>
        <v>0</v>
      </c>
      <c r="V120">
        <f t="shared" ca="1" si="23"/>
        <v>0</v>
      </c>
      <c r="W120">
        <f t="shared" ca="1" si="23"/>
        <v>0</v>
      </c>
      <c r="X120">
        <f t="shared" ca="1" si="23"/>
        <v>0.125</v>
      </c>
      <c r="Y120">
        <f t="shared" ca="1" si="23"/>
        <v>0</v>
      </c>
      <c r="Z120">
        <f t="shared" ca="1" si="16"/>
        <v>164.4375</v>
      </c>
      <c r="AA120" t="e">
        <f t="shared" si="17"/>
        <v>#N/A</v>
      </c>
      <c r="AB120" t="str">
        <f t="shared" si="18"/>
        <v/>
      </c>
      <c r="AC120">
        <f t="shared" si="19"/>
        <v>0</v>
      </c>
    </row>
    <row r="121" spans="2:29" x14ac:dyDescent="0.3">
      <c r="B121">
        <v>200</v>
      </c>
      <c r="C121">
        <f>SUMIFS(INDEX(xmen[[speech]:[depicted]],,$E$2),xmen[issue],Matrix!$B121,xmen[x],Matrix!C$10,xmen[costume],C$9)</f>
        <v>0</v>
      </c>
      <c r="D121">
        <f>SUMIFS(INDEX(xmen[[speech]:[depicted]],,$E$2),xmen[issue],Matrix!$B121,xmen[x],Matrix!D$10,xmen[costume],D$9)</f>
        <v>0</v>
      </c>
      <c r="E121">
        <f>SUMIFS(INDEX(xmen[[speech]:[depicted]],,$E$2),xmen[issue],Matrix!$B121,xmen[x],Matrix!E$10,xmen[costume],E$9)</f>
        <v>0</v>
      </c>
      <c r="F121">
        <f>SUMIFS(INDEX(xmen[[speech]:[depicted]],,$E$2),xmen[issue],Matrix!$B121,xmen[x],Matrix!F$10,xmen[costume],F$9)</f>
        <v>0</v>
      </c>
      <c r="G121">
        <f>SUMIFS(INDEX(xmen[[speech]:[depicted]],,$E$2),xmen[issue],Matrix!$B121,xmen[x],Matrix!G$10,xmen[costume],G$9)</f>
        <v>0</v>
      </c>
      <c r="H121">
        <f>SUMIFS(INDEX(xmen[[speech]:[depicted]],,$E$2),xmen[issue],Matrix!$B121,xmen[x],Matrix!H$10,xmen[costume],H$9)</f>
        <v>0</v>
      </c>
      <c r="I121">
        <f>SUMIFS(INDEX(xmen[[speech]:[depicted]],,$E$2),xmen[issue],Matrix!$B121,xmen[x],Matrix!I$10,xmen[costume],I$9)</f>
        <v>0</v>
      </c>
      <c r="J121">
        <f>SUMIFS(INDEX(xmen[[speech]:[depicted]],,$E$2),xmen[issue],Matrix!$B121,xmen[x],Matrix!J$10,xmen[costume],J$9)</f>
        <v>0</v>
      </c>
      <c r="K121">
        <f>SUMIFS(INDEX(xmen[[speech]:[depicted]],,$E$2),xmen[issue],Matrix!$B121,xmen[x],Matrix!K$10,xmen[costume],K$9)</f>
        <v>1</v>
      </c>
      <c r="L121">
        <f>SUMIFS(INDEX(xmen[[speech]:[depicted]],,$E$2),xmen[issue],Matrix!$B121,xmen[x],Matrix!L$10,xmen[costume],L$9)</f>
        <v>0</v>
      </c>
      <c r="M121">
        <f t="shared" ca="1" si="14"/>
        <v>168.5</v>
      </c>
      <c r="O121">
        <f t="shared" ca="1" si="22"/>
        <v>158.0625</v>
      </c>
      <c r="P121">
        <f t="shared" ca="1" si="23"/>
        <v>1</v>
      </c>
      <c r="Q121">
        <f t="shared" ca="1" si="23"/>
        <v>6</v>
      </c>
      <c r="R121">
        <f t="shared" ca="1" si="23"/>
        <v>0</v>
      </c>
      <c r="S121">
        <f t="shared" ca="1" si="23"/>
        <v>0</v>
      </c>
      <c r="T121">
        <f t="shared" ca="1" si="23"/>
        <v>0</v>
      </c>
      <c r="U121">
        <f t="shared" ca="1" si="23"/>
        <v>0</v>
      </c>
      <c r="V121">
        <f t="shared" ca="1" si="23"/>
        <v>0</v>
      </c>
      <c r="W121">
        <f t="shared" ca="1" si="23"/>
        <v>0</v>
      </c>
      <c r="X121">
        <f t="shared" ca="1" si="23"/>
        <v>0.125</v>
      </c>
      <c r="Y121">
        <f t="shared" ca="1" si="23"/>
        <v>0</v>
      </c>
      <c r="Z121">
        <f t="shared" ca="1" si="16"/>
        <v>165.1875</v>
      </c>
      <c r="AA121">
        <f t="shared" ca="1" si="17"/>
        <v>205</v>
      </c>
      <c r="AB121" t="str">
        <f t="shared" ca="1" si="18"/>
        <v>Issue
#200</v>
      </c>
      <c r="AC121">
        <f t="shared" ca="1" si="19"/>
        <v>7.125</v>
      </c>
    </row>
    <row r="122" spans="2:29" x14ac:dyDescent="0.3">
      <c r="B122">
        <v>201</v>
      </c>
      <c r="C122">
        <f>SUMIFS(INDEX(xmen[[speech]:[depicted]],,$E$2),xmen[issue],Matrix!$B122,xmen[x],Matrix!C$10,xmen[costume],C$9)</f>
        <v>0</v>
      </c>
      <c r="D122">
        <f>SUMIFS(INDEX(xmen[[speech]:[depicted]],,$E$2),xmen[issue],Matrix!$B122,xmen[x],Matrix!D$10,xmen[costume],D$9)</f>
        <v>0</v>
      </c>
      <c r="E122">
        <f>SUMIFS(INDEX(xmen[[speech]:[depicted]],,$E$2),xmen[issue],Matrix!$B122,xmen[x],Matrix!E$10,xmen[costume],E$9)</f>
        <v>0</v>
      </c>
      <c r="F122">
        <f>SUMIFS(INDEX(xmen[[speech]:[depicted]],,$E$2),xmen[issue],Matrix!$B122,xmen[x],Matrix!F$10,xmen[costume],F$9)</f>
        <v>0</v>
      </c>
      <c r="G122">
        <f>SUMIFS(INDEX(xmen[[speech]:[depicted]],,$E$2),xmen[issue],Matrix!$B122,xmen[x],Matrix!G$10,xmen[costume],G$9)</f>
        <v>0</v>
      </c>
      <c r="H122">
        <f>SUMIFS(INDEX(xmen[[speech]:[depicted]],,$E$2),xmen[issue],Matrix!$B122,xmen[x],Matrix!H$10,xmen[costume],H$9)</f>
        <v>0</v>
      </c>
      <c r="I122">
        <f>SUMIFS(INDEX(xmen[[speech]:[depicted]],,$E$2),xmen[issue],Matrix!$B122,xmen[x],Matrix!I$10,xmen[costume],I$9)</f>
        <v>0</v>
      </c>
      <c r="J122">
        <f>SUMIFS(INDEX(xmen[[speech]:[depicted]],,$E$2),xmen[issue],Matrix!$B122,xmen[x],Matrix!J$10,xmen[costume],J$9)</f>
        <v>0</v>
      </c>
      <c r="K122">
        <f>SUMIFS(INDEX(xmen[[speech]:[depicted]],,$E$2),xmen[issue],Matrix!$B122,xmen[x],Matrix!K$10,xmen[costume],K$9)</f>
        <v>0</v>
      </c>
      <c r="L122">
        <f>SUMIFS(INDEX(xmen[[speech]:[depicted]],,$E$2),xmen[issue],Matrix!$B122,xmen[x],Matrix!L$10,xmen[costume],L$9)</f>
        <v>0</v>
      </c>
      <c r="M122">
        <f t="shared" ca="1" si="14"/>
        <v>169</v>
      </c>
      <c r="O122">
        <f t="shared" ca="1" si="22"/>
        <v>157.8125</v>
      </c>
      <c r="P122">
        <f t="shared" ca="1" si="23"/>
        <v>1</v>
      </c>
      <c r="Q122">
        <f t="shared" ca="1" si="23"/>
        <v>6</v>
      </c>
      <c r="R122">
        <f t="shared" ca="1" si="23"/>
        <v>0</v>
      </c>
      <c r="S122">
        <f t="shared" ca="1" si="23"/>
        <v>0</v>
      </c>
      <c r="T122">
        <f t="shared" ca="1" si="23"/>
        <v>0</v>
      </c>
      <c r="U122">
        <f t="shared" ca="1" si="23"/>
        <v>0</v>
      </c>
      <c r="V122">
        <f t="shared" ca="1" si="23"/>
        <v>0</v>
      </c>
      <c r="W122">
        <f t="shared" ca="1" si="23"/>
        <v>0</v>
      </c>
      <c r="X122">
        <f t="shared" ca="1" si="23"/>
        <v>0.125</v>
      </c>
      <c r="Y122">
        <f t="shared" ca="1" si="23"/>
        <v>0</v>
      </c>
      <c r="Z122">
        <f t="shared" ca="1" si="16"/>
        <v>164.9375</v>
      </c>
      <c r="AA122" t="e">
        <f t="shared" si="17"/>
        <v>#N/A</v>
      </c>
      <c r="AB122" t="str">
        <f t="shared" si="18"/>
        <v/>
      </c>
      <c r="AC122">
        <f t="shared" si="19"/>
        <v>0</v>
      </c>
    </row>
    <row r="123" spans="2:29" x14ac:dyDescent="0.3">
      <c r="B123">
        <v>202</v>
      </c>
      <c r="C123">
        <f>SUMIFS(INDEX(xmen[[speech]:[depicted]],,$E$2),xmen[issue],Matrix!$B123,xmen[x],Matrix!C$10,xmen[costume],C$9)</f>
        <v>0</v>
      </c>
      <c r="D123">
        <f>SUMIFS(INDEX(xmen[[speech]:[depicted]],,$E$2),xmen[issue],Matrix!$B123,xmen[x],Matrix!D$10,xmen[costume],D$9)</f>
        <v>0</v>
      </c>
      <c r="E123">
        <f>SUMIFS(INDEX(xmen[[speech]:[depicted]],,$E$2),xmen[issue],Matrix!$B123,xmen[x],Matrix!E$10,xmen[costume],E$9)</f>
        <v>0</v>
      </c>
      <c r="F123">
        <f>SUMIFS(INDEX(xmen[[speech]:[depicted]],,$E$2),xmen[issue],Matrix!$B123,xmen[x],Matrix!F$10,xmen[costume],F$9)</f>
        <v>0</v>
      </c>
      <c r="G123">
        <f>SUMIFS(INDEX(xmen[[speech]:[depicted]],,$E$2),xmen[issue],Matrix!$B123,xmen[x],Matrix!G$10,xmen[costume],G$9)</f>
        <v>0</v>
      </c>
      <c r="H123">
        <f>SUMIFS(INDEX(xmen[[speech]:[depicted]],,$E$2),xmen[issue],Matrix!$B123,xmen[x],Matrix!H$10,xmen[costume],H$9)</f>
        <v>0</v>
      </c>
      <c r="I123">
        <f>SUMIFS(INDEX(xmen[[speech]:[depicted]],,$E$2),xmen[issue],Matrix!$B123,xmen[x],Matrix!I$10,xmen[costume],I$9)</f>
        <v>0</v>
      </c>
      <c r="J123">
        <f>SUMIFS(INDEX(xmen[[speech]:[depicted]],,$E$2),xmen[issue],Matrix!$B123,xmen[x],Matrix!J$10,xmen[costume],J$9)</f>
        <v>0</v>
      </c>
      <c r="K123">
        <f>SUMIFS(INDEX(xmen[[speech]:[depicted]],,$E$2),xmen[issue],Matrix!$B123,xmen[x],Matrix!K$10,xmen[costume],K$9)</f>
        <v>0</v>
      </c>
      <c r="L123">
        <f>SUMIFS(INDEX(xmen[[speech]:[depicted]],,$E$2),xmen[issue],Matrix!$B123,xmen[x],Matrix!L$10,xmen[costume],L$9)</f>
        <v>0</v>
      </c>
      <c r="M123">
        <f t="shared" ca="1" si="14"/>
        <v>161</v>
      </c>
      <c r="O123">
        <f t="shared" ca="1" si="22"/>
        <v>157.5625</v>
      </c>
      <c r="P123">
        <f t="shared" ca="1" si="23"/>
        <v>1</v>
      </c>
      <c r="Q123">
        <f t="shared" ca="1" si="23"/>
        <v>6</v>
      </c>
      <c r="R123">
        <f t="shared" ca="1" si="23"/>
        <v>0</v>
      </c>
      <c r="S123">
        <f t="shared" ca="1" si="23"/>
        <v>0</v>
      </c>
      <c r="T123">
        <f t="shared" ca="1" si="23"/>
        <v>0</v>
      </c>
      <c r="U123">
        <f t="shared" ca="1" si="23"/>
        <v>0</v>
      </c>
      <c r="V123">
        <f t="shared" ca="1" si="23"/>
        <v>0</v>
      </c>
      <c r="W123">
        <f t="shared" ca="1" si="23"/>
        <v>0</v>
      </c>
      <c r="X123">
        <f t="shared" ca="1" si="23"/>
        <v>0.125</v>
      </c>
      <c r="Y123">
        <f t="shared" ca="1" si="23"/>
        <v>0</v>
      </c>
      <c r="Z123">
        <f t="shared" ca="1" si="16"/>
        <v>164.6875</v>
      </c>
      <c r="AA123" t="e">
        <f t="shared" si="17"/>
        <v>#N/A</v>
      </c>
      <c r="AB123" t="str">
        <f t="shared" si="18"/>
        <v/>
      </c>
      <c r="AC123">
        <f t="shared" si="19"/>
        <v>0</v>
      </c>
    </row>
    <row r="124" spans="2:29" x14ac:dyDescent="0.3">
      <c r="B124">
        <v>203</v>
      </c>
      <c r="C124">
        <f>SUMIFS(INDEX(xmen[[speech]:[depicted]],,$E$2),xmen[issue],Matrix!$B124,xmen[x],Matrix!C$10,xmen[costume],C$9)</f>
        <v>0</v>
      </c>
      <c r="D124">
        <f>SUMIFS(INDEX(xmen[[speech]:[depicted]],,$E$2),xmen[issue],Matrix!$B124,xmen[x],Matrix!D$10,xmen[costume],D$9)</f>
        <v>0</v>
      </c>
      <c r="E124">
        <f>SUMIFS(INDEX(xmen[[speech]:[depicted]],,$E$2),xmen[issue],Matrix!$B124,xmen[x],Matrix!E$10,xmen[costume],E$9)</f>
        <v>0</v>
      </c>
      <c r="F124">
        <f>SUMIFS(INDEX(xmen[[speech]:[depicted]],,$E$2),xmen[issue],Matrix!$B124,xmen[x],Matrix!F$10,xmen[costume],F$9)</f>
        <v>0</v>
      </c>
      <c r="G124">
        <f>SUMIFS(INDEX(xmen[[speech]:[depicted]],,$E$2),xmen[issue],Matrix!$B124,xmen[x],Matrix!G$10,xmen[costume],G$9)</f>
        <v>0</v>
      </c>
      <c r="H124">
        <f>SUMIFS(INDEX(xmen[[speech]:[depicted]],,$E$2),xmen[issue],Matrix!$B124,xmen[x],Matrix!H$10,xmen[costume],H$9)</f>
        <v>0</v>
      </c>
      <c r="I124">
        <f>SUMIFS(INDEX(xmen[[speech]:[depicted]],,$E$2),xmen[issue],Matrix!$B124,xmen[x],Matrix!I$10,xmen[costume],I$9)</f>
        <v>8</v>
      </c>
      <c r="J124">
        <f>SUMIFS(INDEX(xmen[[speech]:[depicted]],,$E$2),xmen[issue],Matrix!$B124,xmen[x],Matrix!J$10,xmen[costume],J$9)</f>
        <v>0</v>
      </c>
      <c r="K124">
        <f>SUMIFS(INDEX(xmen[[speech]:[depicted]],,$E$2),xmen[issue],Matrix!$B124,xmen[x],Matrix!K$10,xmen[costume],K$9)</f>
        <v>0</v>
      </c>
      <c r="L124">
        <f>SUMIFS(INDEX(xmen[[speech]:[depicted]],,$E$2),xmen[issue],Matrix!$B124,xmen[x],Matrix!L$10,xmen[costume],L$9)</f>
        <v>0</v>
      </c>
      <c r="M124">
        <f t="shared" ca="1" si="14"/>
        <v>156</v>
      </c>
      <c r="O124">
        <f t="shared" ca="1" si="22"/>
        <v>160.3125</v>
      </c>
      <c r="P124">
        <f t="shared" ca="1" si="23"/>
        <v>1</v>
      </c>
      <c r="Q124">
        <f t="shared" ca="1" si="23"/>
        <v>0</v>
      </c>
      <c r="R124">
        <f t="shared" ca="1" si="23"/>
        <v>0</v>
      </c>
      <c r="S124">
        <f t="shared" ca="1" si="23"/>
        <v>0</v>
      </c>
      <c r="T124">
        <f t="shared" ca="1" si="23"/>
        <v>0</v>
      </c>
      <c r="U124">
        <f t="shared" ca="1" si="23"/>
        <v>0</v>
      </c>
      <c r="V124">
        <f t="shared" ca="1" si="23"/>
        <v>0</v>
      </c>
      <c r="W124">
        <f t="shared" ca="1" si="23"/>
        <v>0</v>
      </c>
      <c r="X124">
        <f t="shared" ca="1" si="23"/>
        <v>0.125</v>
      </c>
      <c r="Y124">
        <f t="shared" ca="1" si="23"/>
        <v>0</v>
      </c>
      <c r="Z124">
        <f t="shared" ca="1" si="16"/>
        <v>161.4375</v>
      </c>
      <c r="AA124" t="e">
        <f t="shared" si="17"/>
        <v>#N/A</v>
      </c>
      <c r="AB124" t="str">
        <f t="shared" si="18"/>
        <v/>
      </c>
      <c r="AC124">
        <f t="shared" si="19"/>
        <v>0</v>
      </c>
    </row>
    <row r="125" spans="2:29" x14ac:dyDescent="0.3">
      <c r="B125">
        <v>204</v>
      </c>
      <c r="C125">
        <f>SUMIFS(INDEX(xmen[[speech]:[depicted]],,$E$2),xmen[issue],Matrix!$B125,xmen[x],Matrix!C$10,xmen[costume],C$9)</f>
        <v>0</v>
      </c>
      <c r="D125">
        <f>SUMIFS(INDEX(xmen[[speech]:[depicted]],,$E$2),xmen[issue],Matrix!$B125,xmen[x],Matrix!D$10,xmen[costume],D$9)</f>
        <v>0</v>
      </c>
      <c r="E125">
        <f>SUMIFS(INDEX(xmen[[speech]:[depicted]],,$E$2),xmen[issue],Matrix!$B125,xmen[x],Matrix!E$10,xmen[costume],E$9)</f>
        <v>0</v>
      </c>
      <c r="F125">
        <f>SUMIFS(INDEX(xmen[[speech]:[depicted]],,$E$2),xmen[issue],Matrix!$B125,xmen[x],Matrix!F$10,xmen[costume],F$9)</f>
        <v>0</v>
      </c>
      <c r="G125">
        <f>SUMIFS(INDEX(xmen[[speech]:[depicted]],,$E$2),xmen[issue],Matrix!$B125,xmen[x],Matrix!G$10,xmen[costume],G$9)</f>
        <v>0</v>
      </c>
      <c r="H125">
        <f>SUMIFS(INDEX(xmen[[speech]:[depicted]],,$E$2),xmen[issue],Matrix!$B125,xmen[x],Matrix!H$10,xmen[costume],H$9)</f>
        <v>0</v>
      </c>
      <c r="I125">
        <f>SUMIFS(INDEX(xmen[[speech]:[depicted]],,$E$2),xmen[issue],Matrix!$B125,xmen[x],Matrix!I$10,xmen[costume],I$9)</f>
        <v>0</v>
      </c>
      <c r="J125">
        <f>SUMIFS(INDEX(xmen[[speech]:[depicted]],,$E$2),xmen[issue],Matrix!$B125,xmen[x],Matrix!J$10,xmen[costume],J$9)</f>
        <v>0</v>
      </c>
      <c r="K125">
        <f>SUMIFS(INDEX(xmen[[speech]:[depicted]],,$E$2),xmen[issue],Matrix!$B125,xmen[x],Matrix!K$10,xmen[costume],K$9)</f>
        <v>0</v>
      </c>
      <c r="L125">
        <f>SUMIFS(INDEX(xmen[[speech]:[depicted]],,$E$2),xmen[issue],Matrix!$B125,xmen[x],Matrix!L$10,xmen[costume],L$9)</f>
        <v>0</v>
      </c>
      <c r="M125">
        <f t="shared" ca="1" si="14"/>
        <v>155</v>
      </c>
      <c r="O125">
        <f t="shared" ca="1" si="22"/>
        <v>160.4375</v>
      </c>
      <c r="P125">
        <f t="shared" ca="1" si="23"/>
        <v>1</v>
      </c>
      <c r="Q125">
        <f t="shared" ca="1" si="23"/>
        <v>0</v>
      </c>
      <c r="R125">
        <f t="shared" ca="1" si="23"/>
        <v>0</v>
      </c>
      <c r="S125">
        <f t="shared" ca="1" si="23"/>
        <v>0</v>
      </c>
      <c r="T125">
        <f t="shared" ca="1" si="23"/>
        <v>0</v>
      </c>
      <c r="U125">
        <f t="shared" ca="1" si="23"/>
        <v>0</v>
      </c>
      <c r="V125">
        <f t="shared" ca="1" si="23"/>
        <v>0</v>
      </c>
      <c r="W125">
        <f t="shared" ca="1" si="23"/>
        <v>0</v>
      </c>
      <c r="X125">
        <f t="shared" ca="1" si="23"/>
        <v>0.125</v>
      </c>
      <c r="Y125">
        <f t="shared" ca="1" si="23"/>
        <v>0</v>
      </c>
      <c r="Z125">
        <f t="shared" ca="1" si="16"/>
        <v>161.5625</v>
      </c>
      <c r="AA125" t="e">
        <f t="shared" si="17"/>
        <v>#N/A</v>
      </c>
      <c r="AB125" t="str">
        <f t="shared" si="18"/>
        <v/>
      </c>
      <c r="AC125">
        <f t="shared" si="19"/>
        <v>0</v>
      </c>
    </row>
    <row r="126" spans="2:29" x14ac:dyDescent="0.3">
      <c r="B126">
        <v>205</v>
      </c>
      <c r="C126">
        <f>SUMIFS(INDEX(xmen[[speech]:[depicted]],,$E$2),xmen[issue],Matrix!$B126,xmen[x],Matrix!C$10,xmen[costume],C$9)</f>
        <v>0</v>
      </c>
      <c r="D126">
        <f>SUMIFS(INDEX(xmen[[speech]:[depicted]],,$E$2),xmen[issue],Matrix!$B126,xmen[x],Matrix!D$10,xmen[costume],D$9)</f>
        <v>0</v>
      </c>
      <c r="E126">
        <f>SUMIFS(INDEX(xmen[[speech]:[depicted]],,$E$2),xmen[issue],Matrix!$B126,xmen[x],Matrix!E$10,xmen[costume],E$9)</f>
        <v>0</v>
      </c>
      <c r="F126">
        <f>SUMIFS(INDEX(xmen[[speech]:[depicted]],,$E$2),xmen[issue],Matrix!$B126,xmen[x],Matrix!F$10,xmen[costume],F$9)</f>
        <v>0</v>
      </c>
      <c r="G126">
        <f>SUMIFS(INDEX(xmen[[speech]:[depicted]],,$E$2),xmen[issue],Matrix!$B126,xmen[x],Matrix!G$10,xmen[costume],G$9)</f>
        <v>0</v>
      </c>
      <c r="H126">
        <f>SUMIFS(INDEX(xmen[[speech]:[depicted]],,$E$2),xmen[issue],Matrix!$B126,xmen[x],Matrix!H$10,xmen[costume],H$9)</f>
        <v>0</v>
      </c>
      <c r="I126">
        <f>SUMIFS(INDEX(xmen[[speech]:[depicted]],,$E$2),xmen[issue],Matrix!$B126,xmen[x],Matrix!I$10,xmen[costume],I$9)</f>
        <v>0</v>
      </c>
      <c r="J126">
        <f>SUMIFS(INDEX(xmen[[speech]:[depicted]],,$E$2),xmen[issue],Matrix!$B126,xmen[x],Matrix!J$10,xmen[costume],J$9)</f>
        <v>0</v>
      </c>
      <c r="K126">
        <f>SUMIFS(INDEX(xmen[[speech]:[depicted]],,$E$2),xmen[issue],Matrix!$B126,xmen[x],Matrix!K$10,xmen[costume],K$9)</f>
        <v>0</v>
      </c>
      <c r="L126">
        <f>SUMIFS(INDEX(xmen[[speech]:[depicted]],,$E$2),xmen[issue],Matrix!$B126,xmen[x],Matrix!L$10,xmen[costume],L$9)</f>
        <v>0</v>
      </c>
      <c r="M126">
        <f t="shared" ca="1" si="14"/>
        <v>150</v>
      </c>
      <c r="O126">
        <f t="shared" ca="1" si="22"/>
        <v>159.5625</v>
      </c>
      <c r="P126">
        <f t="shared" ca="1" si="23"/>
        <v>1.125</v>
      </c>
      <c r="Q126">
        <f t="shared" ca="1" si="23"/>
        <v>0</v>
      </c>
      <c r="R126">
        <f t="shared" ca="1" si="23"/>
        <v>0</v>
      </c>
      <c r="S126">
        <f t="shared" ca="1" si="23"/>
        <v>0</v>
      </c>
      <c r="T126">
        <f t="shared" ca="1" si="23"/>
        <v>0</v>
      </c>
      <c r="U126">
        <f t="shared" ca="1" si="23"/>
        <v>0</v>
      </c>
      <c r="V126">
        <f t="shared" ca="1" si="23"/>
        <v>0</v>
      </c>
      <c r="W126">
        <f t="shared" ca="1" si="23"/>
        <v>0</v>
      </c>
      <c r="X126">
        <f t="shared" ca="1" si="23"/>
        <v>0</v>
      </c>
      <c r="Y126">
        <f t="shared" ca="1" si="23"/>
        <v>0</v>
      </c>
      <c r="Z126">
        <f t="shared" ca="1" si="16"/>
        <v>160.6875</v>
      </c>
      <c r="AA126" t="e">
        <f t="shared" si="17"/>
        <v>#N/A</v>
      </c>
      <c r="AB126" t="str">
        <f t="shared" si="18"/>
        <v/>
      </c>
      <c r="AC126">
        <f t="shared" si="19"/>
        <v>0</v>
      </c>
    </row>
    <row r="127" spans="2:29" x14ac:dyDescent="0.3">
      <c r="B127">
        <v>206</v>
      </c>
      <c r="C127">
        <f>SUMIFS(INDEX(xmen[[speech]:[depicted]],,$E$2),xmen[issue],Matrix!$B127,xmen[x],Matrix!C$10,xmen[costume],C$9)</f>
        <v>0</v>
      </c>
      <c r="D127">
        <f>SUMIFS(INDEX(xmen[[speech]:[depicted]],,$E$2),xmen[issue],Matrix!$B127,xmen[x],Matrix!D$10,xmen[costume],D$9)</f>
        <v>0</v>
      </c>
      <c r="E127">
        <f>SUMIFS(INDEX(xmen[[speech]:[depicted]],,$E$2),xmen[issue],Matrix!$B127,xmen[x],Matrix!E$10,xmen[costume],E$9)</f>
        <v>0</v>
      </c>
      <c r="F127">
        <f>SUMIFS(INDEX(xmen[[speech]:[depicted]],,$E$2),xmen[issue],Matrix!$B127,xmen[x],Matrix!F$10,xmen[costume],F$9)</f>
        <v>0</v>
      </c>
      <c r="G127">
        <f>SUMIFS(INDEX(xmen[[speech]:[depicted]],,$E$2),xmen[issue],Matrix!$B127,xmen[x],Matrix!G$10,xmen[costume],G$9)</f>
        <v>0</v>
      </c>
      <c r="H127">
        <f>SUMIFS(INDEX(xmen[[speech]:[depicted]],,$E$2),xmen[issue],Matrix!$B127,xmen[x],Matrix!H$10,xmen[costume],H$9)</f>
        <v>0</v>
      </c>
      <c r="I127">
        <f>SUMIFS(INDEX(xmen[[speech]:[depicted]],,$E$2),xmen[issue],Matrix!$B127,xmen[x],Matrix!I$10,xmen[costume],I$9)</f>
        <v>0</v>
      </c>
      <c r="J127">
        <f>SUMIFS(INDEX(xmen[[speech]:[depicted]],,$E$2),xmen[issue],Matrix!$B127,xmen[x],Matrix!J$10,xmen[costume],J$9)</f>
        <v>0</v>
      </c>
      <c r="K127">
        <f>SUMIFS(INDEX(xmen[[speech]:[depicted]],,$E$2),xmen[issue],Matrix!$B127,xmen[x],Matrix!K$10,xmen[costume],K$9)</f>
        <v>0</v>
      </c>
      <c r="L127">
        <f>SUMIFS(INDEX(xmen[[speech]:[depicted]],,$E$2),xmen[issue],Matrix!$B127,xmen[x],Matrix!L$10,xmen[costume],L$9)</f>
        <v>0</v>
      </c>
      <c r="M127">
        <f t="shared" ca="1" si="14"/>
        <v>170</v>
      </c>
      <c r="O127">
        <f t="shared" ca="1" si="22"/>
        <v>157.75</v>
      </c>
      <c r="P127">
        <f t="shared" ref="P127:Y139" ca="1" si="24">AVERAGE(OFFSET(INDEX($C127:$M127,P$9),-$P$3,,$P$2,1))</f>
        <v>1.25</v>
      </c>
      <c r="Q127">
        <f t="shared" ca="1" si="24"/>
        <v>0</v>
      </c>
      <c r="R127">
        <f t="shared" ca="1" si="24"/>
        <v>0</v>
      </c>
      <c r="S127">
        <f t="shared" ca="1" si="24"/>
        <v>0</v>
      </c>
      <c r="T127">
        <f t="shared" ca="1" si="24"/>
        <v>0</v>
      </c>
      <c r="U127">
        <f t="shared" ca="1" si="24"/>
        <v>0</v>
      </c>
      <c r="V127">
        <f t="shared" ca="1" si="24"/>
        <v>0</v>
      </c>
      <c r="W127">
        <f t="shared" ca="1" si="24"/>
        <v>0</v>
      </c>
      <c r="X127">
        <f t="shared" ca="1" si="24"/>
        <v>0</v>
      </c>
      <c r="Y127">
        <f t="shared" ca="1" si="24"/>
        <v>0</v>
      </c>
      <c r="Z127">
        <f t="shared" ca="1" si="16"/>
        <v>159</v>
      </c>
      <c r="AA127" t="e">
        <f t="shared" si="17"/>
        <v>#N/A</v>
      </c>
      <c r="AB127" t="str">
        <f t="shared" si="18"/>
        <v/>
      </c>
      <c r="AC127">
        <f t="shared" si="19"/>
        <v>0</v>
      </c>
    </row>
    <row r="128" spans="2:29" x14ac:dyDescent="0.3">
      <c r="B128">
        <v>207</v>
      </c>
      <c r="C128">
        <f>SUMIFS(INDEX(xmen[[speech]:[depicted]],,$E$2),xmen[issue],Matrix!$B128,xmen[x],Matrix!C$10,xmen[costume],C$9)</f>
        <v>0</v>
      </c>
      <c r="D128">
        <f>SUMIFS(INDEX(xmen[[speech]:[depicted]],,$E$2),xmen[issue],Matrix!$B128,xmen[x],Matrix!D$10,xmen[costume],D$9)</f>
        <v>0</v>
      </c>
      <c r="E128">
        <f>SUMIFS(INDEX(xmen[[speech]:[depicted]],,$E$2),xmen[issue],Matrix!$B128,xmen[x],Matrix!E$10,xmen[costume],E$9)</f>
        <v>0</v>
      </c>
      <c r="F128">
        <f>SUMIFS(INDEX(xmen[[speech]:[depicted]],,$E$2),xmen[issue],Matrix!$B128,xmen[x],Matrix!F$10,xmen[costume],F$9)</f>
        <v>0</v>
      </c>
      <c r="G128">
        <f>SUMIFS(INDEX(xmen[[speech]:[depicted]],,$E$2),xmen[issue],Matrix!$B128,xmen[x],Matrix!G$10,xmen[costume],G$9)</f>
        <v>0</v>
      </c>
      <c r="H128">
        <f>SUMIFS(INDEX(xmen[[speech]:[depicted]],,$E$2),xmen[issue],Matrix!$B128,xmen[x],Matrix!H$10,xmen[costume],H$9)</f>
        <v>0</v>
      </c>
      <c r="I128">
        <f>SUMIFS(INDEX(xmen[[speech]:[depicted]],,$E$2),xmen[issue],Matrix!$B128,xmen[x],Matrix!I$10,xmen[costume],I$9)</f>
        <v>0</v>
      </c>
      <c r="J128">
        <f>SUMIFS(INDEX(xmen[[speech]:[depicted]],,$E$2),xmen[issue],Matrix!$B128,xmen[x],Matrix!J$10,xmen[costume],J$9)</f>
        <v>0</v>
      </c>
      <c r="K128">
        <f>SUMIFS(INDEX(xmen[[speech]:[depicted]],,$E$2),xmen[issue],Matrix!$B128,xmen[x],Matrix!K$10,xmen[costume],K$9)</f>
        <v>0</v>
      </c>
      <c r="L128">
        <f>SUMIFS(INDEX(xmen[[speech]:[depicted]],,$E$2),xmen[issue],Matrix!$B128,xmen[x],Matrix!L$10,xmen[costume],L$9)</f>
        <v>0</v>
      </c>
      <c r="M128">
        <f t="shared" ca="1" si="14"/>
        <v>154</v>
      </c>
      <c r="O128">
        <f t="shared" ca="1" si="22"/>
        <v>156.8125</v>
      </c>
      <c r="P128">
        <f t="shared" ca="1" si="24"/>
        <v>1.25</v>
      </c>
      <c r="Q128">
        <f t="shared" ca="1" si="24"/>
        <v>0</v>
      </c>
      <c r="R128">
        <f t="shared" ca="1" si="24"/>
        <v>0</v>
      </c>
      <c r="S128">
        <f t="shared" ca="1" si="24"/>
        <v>0</v>
      </c>
      <c r="T128">
        <f t="shared" ca="1" si="24"/>
        <v>0</v>
      </c>
      <c r="U128">
        <f t="shared" ca="1" si="24"/>
        <v>0</v>
      </c>
      <c r="V128">
        <f t="shared" ca="1" si="24"/>
        <v>0</v>
      </c>
      <c r="W128">
        <f t="shared" ca="1" si="24"/>
        <v>0.125</v>
      </c>
      <c r="X128">
        <f t="shared" ca="1" si="24"/>
        <v>0</v>
      </c>
      <c r="Y128">
        <f t="shared" ca="1" si="24"/>
        <v>0</v>
      </c>
      <c r="Z128">
        <f t="shared" ca="1" si="16"/>
        <v>158.1875</v>
      </c>
      <c r="AA128" t="e">
        <f t="shared" si="17"/>
        <v>#N/A</v>
      </c>
      <c r="AB128" t="str">
        <f t="shared" si="18"/>
        <v/>
      </c>
      <c r="AC128">
        <f t="shared" si="19"/>
        <v>0</v>
      </c>
    </row>
    <row r="129" spans="2:29" x14ac:dyDescent="0.3">
      <c r="B129">
        <v>208</v>
      </c>
      <c r="C129">
        <f>SUMIFS(INDEX(xmen[[speech]:[depicted]],,$E$2),xmen[issue],Matrix!$B129,xmen[x],Matrix!C$10,xmen[costume],C$9)</f>
        <v>0</v>
      </c>
      <c r="D129">
        <f>SUMIFS(INDEX(xmen[[speech]:[depicted]],,$E$2),xmen[issue],Matrix!$B129,xmen[x],Matrix!D$10,xmen[costume],D$9)</f>
        <v>0</v>
      </c>
      <c r="E129">
        <f>SUMIFS(INDEX(xmen[[speech]:[depicted]],,$E$2),xmen[issue],Matrix!$B129,xmen[x],Matrix!E$10,xmen[costume],E$9)</f>
        <v>0</v>
      </c>
      <c r="F129">
        <f>SUMIFS(INDEX(xmen[[speech]:[depicted]],,$E$2),xmen[issue],Matrix!$B129,xmen[x],Matrix!F$10,xmen[costume],F$9)</f>
        <v>0</v>
      </c>
      <c r="G129">
        <f>SUMIFS(INDEX(xmen[[speech]:[depicted]],,$E$2),xmen[issue],Matrix!$B129,xmen[x],Matrix!G$10,xmen[costume],G$9)</f>
        <v>0</v>
      </c>
      <c r="H129">
        <f>SUMIFS(INDEX(xmen[[speech]:[depicted]],,$E$2),xmen[issue],Matrix!$B129,xmen[x],Matrix!H$10,xmen[costume],H$9)</f>
        <v>0</v>
      </c>
      <c r="I129">
        <f>SUMIFS(INDEX(xmen[[speech]:[depicted]],,$E$2),xmen[issue],Matrix!$B129,xmen[x],Matrix!I$10,xmen[costume],I$9)</f>
        <v>1</v>
      </c>
      <c r="J129">
        <f>SUMIFS(INDEX(xmen[[speech]:[depicted]],,$E$2),xmen[issue],Matrix!$B129,xmen[x],Matrix!J$10,xmen[costume],J$9)</f>
        <v>0</v>
      </c>
      <c r="K129">
        <f>SUMIFS(INDEX(xmen[[speech]:[depicted]],,$E$2),xmen[issue],Matrix!$B129,xmen[x],Matrix!K$10,xmen[costume],K$9)</f>
        <v>0</v>
      </c>
      <c r="L129">
        <f>SUMIFS(INDEX(xmen[[speech]:[depicted]],,$E$2),xmen[issue],Matrix!$B129,xmen[x],Matrix!L$10,xmen[costume],L$9)</f>
        <v>0</v>
      </c>
      <c r="M129">
        <f t="shared" ca="1" si="14"/>
        <v>161.5</v>
      </c>
      <c r="O129">
        <f t="shared" ca="1" si="22"/>
        <v>157.1875</v>
      </c>
      <c r="P129">
        <f t="shared" ca="1" si="24"/>
        <v>0.25</v>
      </c>
      <c r="Q129">
        <f t="shared" ca="1" si="24"/>
        <v>0</v>
      </c>
      <c r="R129">
        <f t="shared" ca="1" si="24"/>
        <v>0</v>
      </c>
      <c r="S129">
        <f t="shared" ca="1" si="24"/>
        <v>0</v>
      </c>
      <c r="T129">
        <f t="shared" ca="1" si="24"/>
        <v>0</v>
      </c>
      <c r="U129">
        <f t="shared" ca="1" si="24"/>
        <v>0</v>
      </c>
      <c r="V129">
        <f t="shared" ca="1" si="24"/>
        <v>0</v>
      </c>
      <c r="W129">
        <f t="shared" ca="1" si="24"/>
        <v>0.25</v>
      </c>
      <c r="X129">
        <f t="shared" ca="1" si="24"/>
        <v>0.125</v>
      </c>
      <c r="Y129">
        <f t="shared" ca="1" si="24"/>
        <v>0</v>
      </c>
      <c r="Z129">
        <f t="shared" ca="1" si="16"/>
        <v>157.8125</v>
      </c>
      <c r="AA129" t="e">
        <f t="shared" si="17"/>
        <v>#N/A</v>
      </c>
      <c r="AB129" t="str">
        <f t="shared" si="18"/>
        <v/>
      </c>
      <c r="AC129">
        <f t="shared" si="19"/>
        <v>0</v>
      </c>
    </row>
    <row r="130" spans="2:29" x14ac:dyDescent="0.3">
      <c r="B130">
        <v>209</v>
      </c>
      <c r="C130">
        <f>SUMIFS(INDEX(xmen[[speech]:[depicted]],,$E$2),xmen[issue],Matrix!$B130,xmen[x],Matrix!C$10,xmen[costume],C$9)</f>
        <v>0</v>
      </c>
      <c r="D130">
        <f>SUMIFS(INDEX(xmen[[speech]:[depicted]],,$E$2),xmen[issue],Matrix!$B130,xmen[x],Matrix!D$10,xmen[costume],D$9)</f>
        <v>0</v>
      </c>
      <c r="E130">
        <f>SUMIFS(INDEX(xmen[[speech]:[depicted]],,$E$2),xmen[issue],Matrix!$B130,xmen[x],Matrix!E$10,xmen[costume],E$9)</f>
        <v>0</v>
      </c>
      <c r="F130">
        <f>SUMIFS(INDEX(xmen[[speech]:[depicted]],,$E$2),xmen[issue],Matrix!$B130,xmen[x],Matrix!F$10,xmen[costume],F$9)</f>
        <v>0</v>
      </c>
      <c r="G130">
        <f>SUMIFS(INDEX(xmen[[speech]:[depicted]],,$E$2),xmen[issue],Matrix!$B130,xmen[x],Matrix!G$10,xmen[costume],G$9)</f>
        <v>0</v>
      </c>
      <c r="H130">
        <f>SUMIFS(INDEX(xmen[[speech]:[depicted]],,$E$2),xmen[issue],Matrix!$B130,xmen[x],Matrix!H$10,xmen[costume],H$9)</f>
        <v>0</v>
      </c>
      <c r="I130">
        <f>SUMIFS(INDEX(xmen[[speech]:[depicted]],,$E$2),xmen[issue],Matrix!$B130,xmen[x],Matrix!I$10,xmen[costume],I$9)</f>
        <v>1</v>
      </c>
      <c r="J130">
        <f>SUMIFS(INDEX(xmen[[speech]:[depicted]],,$E$2),xmen[issue],Matrix!$B130,xmen[x],Matrix!J$10,xmen[costume],J$9)</f>
        <v>0</v>
      </c>
      <c r="K130">
        <f>SUMIFS(INDEX(xmen[[speech]:[depicted]],,$E$2),xmen[issue],Matrix!$B130,xmen[x],Matrix!K$10,xmen[costume],K$9)</f>
        <v>0</v>
      </c>
      <c r="L130">
        <f>SUMIFS(INDEX(xmen[[speech]:[depicted]],,$E$2),xmen[issue],Matrix!$B130,xmen[x],Matrix!L$10,xmen[costume],L$9)</f>
        <v>0</v>
      </c>
      <c r="M130">
        <f t="shared" ca="1" si="14"/>
        <v>154.5</v>
      </c>
      <c r="O130">
        <f t="shared" ca="1" si="22"/>
        <v>157.6875</v>
      </c>
      <c r="P130">
        <f t="shared" ca="1" si="24"/>
        <v>0.25</v>
      </c>
      <c r="Q130">
        <f t="shared" ca="1" si="24"/>
        <v>0</v>
      </c>
      <c r="R130">
        <f t="shared" ca="1" si="24"/>
        <v>0</v>
      </c>
      <c r="S130">
        <f t="shared" ca="1" si="24"/>
        <v>0</v>
      </c>
      <c r="T130">
        <f t="shared" ca="1" si="24"/>
        <v>0</v>
      </c>
      <c r="U130">
        <f t="shared" ca="1" si="24"/>
        <v>0</v>
      </c>
      <c r="V130">
        <f t="shared" ca="1" si="24"/>
        <v>0</v>
      </c>
      <c r="W130">
        <f t="shared" ca="1" si="24"/>
        <v>0.25</v>
      </c>
      <c r="X130">
        <f t="shared" ca="1" si="24"/>
        <v>0.125</v>
      </c>
      <c r="Y130">
        <f t="shared" ca="1" si="24"/>
        <v>0</v>
      </c>
      <c r="Z130">
        <f t="shared" ca="1" si="16"/>
        <v>158.3125</v>
      </c>
      <c r="AA130" t="e">
        <f t="shared" si="17"/>
        <v>#N/A</v>
      </c>
      <c r="AB130" t="str">
        <f t="shared" si="18"/>
        <v/>
      </c>
      <c r="AC130">
        <f t="shared" si="19"/>
        <v>0</v>
      </c>
    </row>
    <row r="131" spans="2:29" x14ac:dyDescent="0.3">
      <c r="B131">
        <v>210</v>
      </c>
      <c r="C131">
        <f>SUMIFS(INDEX(xmen[[speech]:[depicted]],,$E$2),xmen[issue],Matrix!$B131,xmen[x],Matrix!C$10,xmen[costume],C$9)</f>
        <v>0</v>
      </c>
      <c r="D131">
        <f>SUMIFS(INDEX(xmen[[speech]:[depicted]],,$E$2),xmen[issue],Matrix!$B131,xmen[x],Matrix!D$10,xmen[costume],D$9)</f>
        <v>0</v>
      </c>
      <c r="E131">
        <f>SUMIFS(INDEX(xmen[[speech]:[depicted]],,$E$2),xmen[issue],Matrix!$B131,xmen[x],Matrix!E$10,xmen[costume],E$9)</f>
        <v>0</v>
      </c>
      <c r="F131">
        <f>SUMIFS(INDEX(xmen[[speech]:[depicted]],,$E$2),xmen[issue],Matrix!$B131,xmen[x],Matrix!F$10,xmen[costume],F$9)</f>
        <v>1</v>
      </c>
      <c r="G131">
        <f>SUMIFS(INDEX(xmen[[speech]:[depicted]],,$E$2),xmen[issue],Matrix!$B131,xmen[x],Matrix!G$10,xmen[costume],G$9)</f>
        <v>0</v>
      </c>
      <c r="H131">
        <f>SUMIFS(INDEX(xmen[[speech]:[depicted]],,$E$2),xmen[issue],Matrix!$B131,xmen[x],Matrix!H$10,xmen[costume],H$9)</f>
        <v>0</v>
      </c>
      <c r="I131">
        <f>SUMIFS(INDEX(xmen[[speech]:[depicted]],,$E$2),xmen[issue],Matrix!$B131,xmen[x],Matrix!I$10,xmen[costume],I$9)</f>
        <v>0</v>
      </c>
      <c r="J131">
        <f>SUMIFS(INDEX(xmen[[speech]:[depicted]],,$E$2),xmen[issue],Matrix!$B131,xmen[x],Matrix!J$10,xmen[costume],J$9)</f>
        <v>0</v>
      </c>
      <c r="K131">
        <f>SUMIFS(INDEX(xmen[[speech]:[depicted]],,$E$2),xmen[issue],Matrix!$B131,xmen[x],Matrix!K$10,xmen[costume],K$9)</f>
        <v>0</v>
      </c>
      <c r="L131">
        <f>SUMIFS(INDEX(xmen[[speech]:[depicted]],,$E$2),xmen[issue],Matrix!$B131,xmen[x],Matrix!L$10,xmen[costume],L$9)</f>
        <v>0</v>
      </c>
      <c r="M131">
        <f t="shared" ca="1" si="14"/>
        <v>153.5</v>
      </c>
      <c r="O131">
        <f t="shared" ca="1" si="22"/>
        <v>156.9375</v>
      </c>
      <c r="P131">
        <f t="shared" ca="1" si="24"/>
        <v>0.5</v>
      </c>
      <c r="Q131">
        <f t="shared" ca="1" si="24"/>
        <v>0</v>
      </c>
      <c r="R131">
        <f t="shared" ca="1" si="24"/>
        <v>0</v>
      </c>
      <c r="S131">
        <f t="shared" ca="1" si="24"/>
        <v>0</v>
      </c>
      <c r="T131">
        <f t="shared" ca="1" si="24"/>
        <v>0</v>
      </c>
      <c r="U131">
        <f t="shared" ca="1" si="24"/>
        <v>0</v>
      </c>
      <c r="V131">
        <f t="shared" ca="1" si="24"/>
        <v>0</v>
      </c>
      <c r="W131">
        <f t="shared" ca="1" si="24"/>
        <v>0.25</v>
      </c>
      <c r="X131">
        <f t="shared" ca="1" si="24"/>
        <v>0.125</v>
      </c>
      <c r="Y131">
        <f t="shared" ca="1" si="24"/>
        <v>0</v>
      </c>
      <c r="Z131">
        <f t="shared" ca="1" si="16"/>
        <v>157.8125</v>
      </c>
      <c r="AA131" t="e">
        <f t="shared" si="17"/>
        <v>#N/A</v>
      </c>
      <c r="AB131" t="str">
        <f t="shared" si="18"/>
        <v/>
      </c>
      <c r="AC131">
        <f t="shared" si="19"/>
        <v>0</v>
      </c>
    </row>
    <row r="132" spans="2:29" x14ac:dyDescent="0.3">
      <c r="B132">
        <v>211</v>
      </c>
      <c r="C132">
        <f>SUMIFS(INDEX(xmen[[speech]:[depicted]],,$E$2),xmen[issue],Matrix!$B132,xmen[x],Matrix!C$10,xmen[costume],C$9)</f>
        <v>0</v>
      </c>
      <c r="D132">
        <f>SUMIFS(INDEX(xmen[[speech]:[depicted]],,$E$2),xmen[issue],Matrix!$B132,xmen[x],Matrix!D$10,xmen[costume],D$9)</f>
        <v>0</v>
      </c>
      <c r="E132">
        <f>SUMIFS(INDEX(xmen[[speech]:[depicted]],,$E$2),xmen[issue],Matrix!$B132,xmen[x],Matrix!E$10,xmen[costume],E$9)</f>
        <v>0</v>
      </c>
      <c r="F132">
        <f>SUMIFS(INDEX(xmen[[speech]:[depicted]],,$E$2),xmen[issue],Matrix!$B132,xmen[x],Matrix!F$10,xmen[costume],F$9)</f>
        <v>1</v>
      </c>
      <c r="G132">
        <f>SUMIFS(INDEX(xmen[[speech]:[depicted]],,$E$2),xmen[issue],Matrix!$B132,xmen[x],Matrix!G$10,xmen[costume],G$9)</f>
        <v>0</v>
      </c>
      <c r="H132">
        <f>SUMIFS(INDEX(xmen[[speech]:[depicted]],,$E$2),xmen[issue],Matrix!$B132,xmen[x],Matrix!H$10,xmen[costume],H$9)</f>
        <v>0</v>
      </c>
      <c r="I132">
        <f>SUMIFS(INDEX(xmen[[speech]:[depicted]],,$E$2),xmen[issue],Matrix!$B132,xmen[x],Matrix!I$10,xmen[costume],I$9)</f>
        <v>0</v>
      </c>
      <c r="J132">
        <f>SUMIFS(INDEX(xmen[[speech]:[depicted]],,$E$2),xmen[issue],Matrix!$B132,xmen[x],Matrix!J$10,xmen[costume],J$9)</f>
        <v>0</v>
      </c>
      <c r="K132">
        <f>SUMIFS(INDEX(xmen[[speech]:[depicted]],,$E$2),xmen[issue],Matrix!$B132,xmen[x],Matrix!K$10,xmen[costume],K$9)</f>
        <v>1</v>
      </c>
      <c r="L132">
        <f>SUMIFS(INDEX(xmen[[speech]:[depicted]],,$E$2),xmen[issue],Matrix!$B132,xmen[x],Matrix!L$10,xmen[costume],L$9)</f>
        <v>0</v>
      </c>
      <c r="M132">
        <f t="shared" ca="1" si="14"/>
        <v>159</v>
      </c>
      <c r="O132">
        <f t="shared" ca="1" si="22"/>
        <v>155.1875</v>
      </c>
      <c r="P132">
        <f t="shared" ca="1" si="24"/>
        <v>0.5</v>
      </c>
      <c r="Q132">
        <f t="shared" ca="1" si="24"/>
        <v>0</v>
      </c>
      <c r="R132">
        <f t="shared" ca="1" si="24"/>
        <v>0</v>
      </c>
      <c r="S132">
        <f t="shared" ca="1" si="24"/>
        <v>0</v>
      </c>
      <c r="T132">
        <f t="shared" ca="1" si="24"/>
        <v>0</v>
      </c>
      <c r="U132">
        <f t="shared" ca="1" si="24"/>
        <v>0</v>
      </c>
      <c r="V132">
        <f t="shared" ca="1" si="24"/>
        <v>0</v>
      </c>
      <c r="W132">
        <f t="shared" ca="1" si="24"/>
        <v>0.25</v>
      </c>
      <c r="X132">
        <f t="shared" ca="1" si="24"/>
        <v>0.125</v>
      </c>
      <c r="Y132">
        <f t="shared" ca="1" si="24"/>
        <v>0</v>
      </c>
      <c r="Z132">
        <f t="shared" ca="1" si="16"/>
        <v>156.0625</v>
      </c>
      <c r="AA132" t="e">
        <f t="shared" si="17"/>
        <v>#N/A</v>
      </c>
      <c r="AB132" t="str">
        <f t="shared" si="18"/>
        <v/>
      </c>
      <c r="AC132">
        <f t="shared" si="19"/>
        <v>0</v>
      </c>
    </row>
    <row r="133" spans="2:29" x14ac:dyDescent="0.3">
      <c r="B133">
        <v>212</v>
      </c>
      <c r="C133">
        <f>SUMIFS(INDEX(xmen[[speech]:[depicted]],,$E$2),xmen[issue],Matrix!$B133,xmen[x],Matrix!C$10,xmen[costume],C$9)</f>
        <v>0</v>
      </c>
      <c r="D133">
        <f>SUMIFS(INDEX(xmen[[speech]:[depicted]],,$E$2),xmen[issue],Matrix!$B133,xmen[x],Matrix!D$10,xmen[costume],D$9)</f>
        <v>0</v>
      </c>
      <c r="E133">
        <f>SUMIFS(INDEX(xmen[[speech]:[depicted]],,$E$2),xmen[issue],Matrix!$B133,xmen[x],Matrix!E$10,xmen[costume],E$9)</f>
        <v>0</v>
      </c>
      <c r="F133">
        <f>SUMIFS(INDEX(xmen[[speech]:[depicted]],,$E$2),xmen[issue],Matrix!$B133,xmen[x],Matrix!F$10,xmen[costume],F$9)</f>
        <v>0</v>
      </c>
      <c r="G133">
        <f>SUMIFS(INDEX(xmen[[speech]:[depicted]],,$E$2),xmen[issue],Matrix!$B133,xmen[x],Matrix!G$10,xmen[costume],G$9)</f>
        <v>0</v>
      </c>
      <c r="H133">
        <f>SUMIFS(INDEX(xmen[[speech]:[depicted]],,$E$2),xmen[issue],Matrix!$B133,xmen[x],Matrix!H$10,xmen[costume],H$9)</f>
        <v>0</v>
      </c>
      <c r="I133">
        <f>SUMIFS(INDEX(xmen[[speech]:[depicted]],,$E$2),xmen[issue],Matrix!$B133,xmen[x],Matrix!I$10,xmen[costume],I$9)</f>
        <v>0</v>
      </c>
      <c r="J133">
        <f>SUMIFS(INDEX(xmen[[speech]:[depicted]],,$E$2),xmen[issue],Matrix!$B133,xmen[x],Matrix!J$10,xmen[costume],J$9)</f>
        <v>0</v>
      </c>
      <c r="K133">
        <f>SUMIFS(INDEX(xmen[[speech]:[depicted]],,$E$2),xmen[issue],Matrix!$B133,xmen[x],Matrix!K$10,xmen[costume],K$9)</f>
        <v>0</v>
      </c>
      <c r="L133">
        <f>SUMIFS(INDEX(xmen[[speech]:[depicted]],,$E$2),xmen[issue],Matrix!$B133,xmen[x],Matrix!L$10,xmen[costume],L$9)</f>
        <v>0</v>
      </c>
      <c r="M133">
        <f t="shared" ca="1" si="14"/>
        <v>159</v>
      </c>
      <c r="O133">
        <f t="shared" ca="1" si="22"/>
        <v>155.25</v>
      </c>
      <c r="P133">
        <f t="shared" ca="1" si="24"/>
        <v>1.125</v>
      </c>
      <c r="Q133">
        <f t="shared" ca="1" si="24"/>
        <v>0</v>
      </c>
      <c r="R133">
        <f t="shared" ca="1" si="24"/>
        <v>0</v>
      </c>
      <c r="S133">
        <f t="shared" ca="1" si="24"/>
        <v>0</v>
      </c>
      <c r="T133">
        <f t="shared" ca="1" si="24"/>
        <v>0</v>
      </c>
      <c r="U133">
        <f t="shared" ca="1" si="24"/>
        <v>0</v>
      </c>
      <c r="V133">
        <f t="shared" ca="1" si="24"/>
        <v>0</v>
      </c>
      <c r="W133">
        <f t="shared" ca="1" si="24"/>
        <v>0.25</v>
      </c>
      <c r="X133">
        <f t="shared" ca="1" si="24"/>
        <v>0.125</v>
      </c>
      <c r="Y133">
        <f t="shared" ca="1" si="24"/>
        <v>0</v>
      </c>
      <c r="Z133">
        <f t="shared" ca="1" si="16"/>
        <v>156.75</v>
      </c>
      <c r="AA133" t="e">
        <f t="shared" si="17"/>
        <v>#N/A</v>
      </c>
      <c r="AB133" t="str">
        <f t="shared" si="18"/>
        <v/>
      </c>
      <c r="AC133">
        <f t="shared" si="19"/>
        <v>0</v>
      </c>
    </row>
    <row r="134" spans="2:29" x14ac:dyDescent="0.3">
      <c r="B134">
        <v>213</v>
      </c>
      <c r="C134">
        <f>SUMIFS(INDEX(xmen[[speech]:[depicted]],,$E$2),xmen[issue],Matrix!$B134,xmen[x],Matrix!C$10,xmen[costume],C$9)</f>
        <v>0</v>
      </c>
      <c r="D134">
        <f>SUMIFS(INDEX(xmen[[speech]:[depicted]],,$E$2),xmen[issue],Matrix!$B134,xmen[x],Matrix!D$10,xmen[costume],D$9)</f>
        <v>0</v>
      </c>
      <c r="E134">
        <f>SUMIFS(INDEX(xmen[[speech]:[depicted]],,$E$2),xmen[issue],Matrix!$B134,xmen[x],Matrix!E$10,xmen[costume],E$9)</f>
        <v>0</v>
      </c>
      <c r="F134">
        <f>SUMIFS(INDEX(xmen[[speech]:[depicted]],,$E$2),xmen[issue],Matrix!$B134,xmen[x],Matrix!F$10,xmen[costume],F$9)</f>
        <v>0</v>
      </c>
      <c r="G134">
        <f>SUMIFS(INDEX(xmen[[speech]:[depicted]],,$E$2),xmen[issue],Matrix!$B134,xmen[x],Matrix!G$10,xmen[costume],G$9)</f>
        <v>0</v>
      </c>
      <c r="H134">
        <f>SUMIFS(INDEX(xmen[[speech]:[depicted]],,$E$2),xmen[issue],Matrix!$B134,xmen[x],Matrix!H$10,xmen[costume],H$9)</f>
        <v>0</v>
      </c>
      <c r="I134">
        <f>SUMIFS(INDEX(xmen[[speech]:[depicted]],,$E$2),xmen[issue],Matrix!$B134,xmen[x],Matrix!I$10,xmen[costume],I$9)</f>
        <v>2</v>
      </c>
      <c r="J134">
        <f>SUMIFS(INDEX(xmen[[speech]:[depicted]],,$E$2),xmen[issue],Matrix!$B134,xmen[x],Matrix!J$10,xmen[costume],J$9)</f>
        <v>0</v>
      </c>
      <c r="K134">
        <f>SUMIFS(INDEX(xmen[[speech]:[depicted]],,$E$2),xmen[issue],Matrix!$B134,xmen[x],Matrix!K$10,xmen[costume],K$9)</f>
        <v>0</v>
      </c>
      <c r="L134">
        <f>SUMIFS(INDEX(xmen[[speech]:[depicted]],,$E$2),xmen[issue],Matrix!$B134,xmen[x],Matrix!L$10,xmen[costume],L$9)</f>
        <v>0</v>
      </c>
      <c r="M134">
        <f t="shared" ca="1" si="14"/>
        <v>144</v>
      </c>
      <c r="O134">
        <f t="shared" ca="1" si="22"/>
        <v>153.3125</v>
      </c>
      <c r="P134">
        <f t="shared" ca="1" si="24"/>
        <v>1</v>
      </c>
      <c r="Q134">
        <f t="shared" ca="1" si="24"/>
        <v>0</v>
      </c>
      <c r="R134">
        <f t="shared" ca="1" si="24"/>
        <v>0</v>
      </c>
      <c r="S134">
        <f t="shared" ca="1" si="24"/>
        <v>0</v>
      </c>
      <c r="T134">
        <f t="shared" ca="1" si="24"/>
        <v>0</v>
      </c>
      <c r="U134">
        <f t="shared" ca="1" si="24"/>
        <v>0</v>
      </c>
      <c r="V134">
        <f t="shared" ca="1" si="24"/>
        <v>0</v>
      </c>
      <c r="W134">
        <f t="shared" ca="1" si="24"/>
        <v>0.25</v>
      </c>
      <c r="X134">
        <f t="shared" ca="1" si="24"/>
        <v>0.125</v>
      </c>
      <c r="Y134">
        <f t="shared" ca="1" si="24"/>
        <v>0</v>
      </c>
      <c r="Z134">
        <f t="shared" ca="1" si="16"/>
        <v>154.6875</v>
      </c>
      <c r="AA134" t="e">
        <f t="shared" si="17"/>
        <v>#N/A</v>
      </c>
      <c r="AB134" t="str">
        <f t="shared" si="18"/>
        <v/>
      </c>
      <c r="AC134">
        <f t="shared" si="19"/>
        <v>0</v>
      </c>
    </row>
    <row r="135" spans="2:29" x14ac:dyDescent="0.3">
      <c r="B135">
        <v>214</v>
      </c>
      <c r="C135">
        <f>SUMIFS(INDEX(xmen[[speech]:[depicted]],,$E$2),xmen[issue],Matrix!$B135,xmen[x],Matrix!C$10,xmen[costume],C$9)</f>
        <v>0</v>
      </c>
      <c r="D135">
        <f>SUMIFS(INDEX(xmen[[speech]:[depicted]],,$E$2),xmen[issue],Matrix!$B135,xmen[x],Matrix!D$10,xmen[costume],D$9)</f>
        <v>0</v>
      </c>
      <c r="E135">
        <f>SUMIFS(INDEX(xmen[[speech]:[depicted]],,$E$2),xmen[issue],Matrix!$B135,xmen[x],Matrix!E$10,xmen[costume],E$9)</f>
        <v>0</v>
      </c>
      <c r="F135">
        <f>SUMIFS(INDEX(xmen[[speech]:[depicted]],,$E$2),xmen[issue],Matrix!$B135,xmen[x],Matrix!F$10,xmen[costume],F$9)</f>
        <v>0</v>
      </c>
      <c r="G135">
        <f>SUMIFS(INDEX(xmen[[speech]:[depicted]],,$E$2),xmen[issue],Matrix!$B135,xmen[x],Matrix!G$10,xmen[costume],G$9)</f>
        <v>0</v>
      </c>
      <c r="H135">
        <f>SUMIFS(INDEX(xmen[[speech]:[depicted]],,$E$2),xmen[issue],Matrix!$B135,xmen[x],Matrix!H$10,xmen[costume],H$9)</f>
        <v>0</v>
      </c>
      <c r="I135">
        <f>SUMIFS(INDEX(xmen[[speech]:[depicted]],,$E$2),xmen[issue],Matrix!$B135,xmen[x],Matrix!I$10,xmen[costume],I$9)</f>
        <v>0</v>
      </c>
      <c r="J135">
        <f>SUMIFS(INDEX(xmen[[speech]:[depicted]],,$E$2),xmen[issue],Matrix!$B135,xmen[x],Matrix!J$10,xmen[costume],J$9)</f>
        <v>0</v>
      </c>
      <c r="K135">
        <f>SUMIFS(INDEX(xmen[[speech]:[depicted]],,$E$2),xmen[issue],Matrix!$B135,xmen[x],Matrix!K$10,xmen[costume],K$9)</f>
        <v>0</v>
      </c>
      <c r="L135">
        <f>SUMIFS(INDEX(xmen[[speech]:[depicted]],,$E$2),xmen[issue],Matrix!$B135,xmen[x],Matrix!L$10,xmen[costume],L$9)</f>
        <v>0</v>
      </c>
      <c r="M135">
        <f t="shared" ca="1" si="14"/>
        <v>156</v>
      </c>
      <c r="O135">
        <f t="shared" ca="1" si="22"/>
        <v>155.75</v>
      </c>
      <c r="P135">
        <f t="shared" ca="1" si="24"/>
        <v>0.875</v>
      </c>
      <c r="Q135">
        <f t="shared" ca="1" si="24"/>
        <v>0</v>
      </c>
      <c r="R135">
        <f t="shared" ca="1" si="24"/>
        <v>0</v>
      </c>
      <c r="S135">
        <f t="shared" ca="1" si="24"/>
        <v>0</v>
      </c>
      <c r="T135">
        <f t="shared" ca="1" si="24"/>
        <v>0</v>
      </c>
      <c r="U135">
        <f t="shared" ca="1" si="24"/>
        <v>0</v>
      </c>
      <c r="V135">
        <f t="shared" ca="1" si="24"/>
        <v>0</v>
      </c>
      <c r="W135">
        <f t="shared" ca="1" si="24"/>
        <v>0.25</v>
      </c>
      <c r="X135">
        <f t="shared" ca="1" si="24"/>
        <v>0.125</v>
      </c>
      <c r="Y135">
        <f t="shared" ca="1" si="24"/>
        <v>0</v>
      </c>
      <c r="Z135">
        <f t="shared" ca="1" si="16"/>
        <v>157</v>
      </c>
      <c r="AA135" t="e">
        <f t="shared" si="17"/>
        <v>#N/A</v>
      </c>
      <c r="AB135" t="str">
        <f t="shared" si="18"/>
        <v/>
      </c>
      <c r="AC135">
        <f t="shared" si="19"/>
        <v>0</v>
      </c>
    </row>
    <row r="136" spans="2:29" x14ac:dyDescent="0.3">
      <c r="B136">
        <v>215</v>
      </c>
      <c r="C136">
        <f>SUMIFS(INDEX(xmen[[speech]:[depicted]],,$E$2),xmen[issue],Matrix!$B136,xmen[x],Matrix!C$10,xmen[costume],C$9)</f>
        <v>0</v>
      </c>
      <c r="D136">
        <f>SUMIFS(INDEX(xmen[[speech]:[depicted]],,$E$2),xmen[issue],Matrix!$B136,xmen[x],Matrix!D$10,xmen[costume],D$9)</f>
        <v>0</v>
      </c>
      <c r="E136">
        <f>SUMIFS(INDEX(xmen[[speech]:[depicted]],,$E$2),xmen[issue],Matrix!$B136,xmen[x],Matrix!E$10,xmen[costume],E$9)</f>
        <v>0</v>
      </c>
      <c r="F136">
        <f>SUMIFS(INDEX(xmen[[speech]:[depicted]],,$E$2),xmen[issue],Matrix!$B136,xmen[x],Matrix!F$10,xmen[costume],F$9)</f>
        <v>0</v>
      </c>
      <c r="G136">
        <f>SUMIFS(INDEX(xmen[[speech]:[depicted]],,$E$2),xmen[issue],Matrix!$B136,xmen[x],Matrix!G$10,xmen[costume],G$9)</f>
        <v>0</v>
      </c>
      <c r="H136">
        <f>SUMIFS(INDEX(xmen[[speech]:[depicted]],,$E$2),xmen[issue],Matrix!$B136,xmen[x],Matrix!H$10,xmen[costume],H$9)</f>
        <v>0</v>
      </c>
      <c r="I136">
        <f>SUMIFS(INDEX(xmen[[speech]:[depicted]],,$E$2),xmen[issue],Matrix!$B136,xmen[x],Matrix!I$10,xmen[costume],I$9)</f>
        <v>5</v>
      </c>
      <c r="J136">
        <f>SUMIFS(INDEX(xmen[[speech]:[depicted]],,$E$2),xmen[issue],Matrix!$B136,xmen[x],Matrix!J$10,xmen[costume],J$9)</f>
        <v>0</v>
      </c>
      <c r="K136">
        <f>SUMIFS(INDEX(xmen[[speech]:[depicted]],,$E$2),xmen[issue],Matrix!$B136,xmen[x],Matrix!K$10,xmen[costume],K$9)</f>
        <v>0</v>
      </c>
      <c r="L136">
        <f>SUMIFS(INDEX(xmen[[speech]:[depicted]],,$E$2),xmen[issue],Matrix!$B136,xmen[x],Matrix!L$10,xmen[costume],L$9)</f>
        <v>0</v>
      </c>
      <c r="M136">
        <f t="shared" ca="1" si="14"/>
        <v>154.5</v>
      </c>
      <c r="O136">
        <f t="shared" ca="1" si="22"/>
        <v>155.6875</v>
      </c>
      <c r="P136">
        <f t="shared" ca="1" si="24"/>
        <v>0.875</v>
      </c>
      <c r="Q136">
        <f t="shared" ca="1" si="24"/>
        <v>0</v>
      </c>
      <c r="R136">
        <f t="shared" ca="1" si="24"/>
        <v>0</v>
      </c>
      <c r="S136">
        <f t="shared" ca="1" si="24"/>
        <v>0</v>
      </c>
      <c r="T136">
        <f t="shared" ca="1" si="24"/>
        <v>0</v>
      </c>
      <c r="U136">
        <f t="shared" ca="1" si="24"/>
        <v>0</v>
      </c>
      <c r="V136">
        <f t="shared" ca="1" si="24"/>
        <v>0</v>
      </c>
      <c r="W136">
        <f t="shared" ca="1" si="24"/>
        <v>0.125</v>
      </c>
      <c r="X136">
        <f t="shared" ca="1" si="24"/>
        <v>0.125</v>
      </c>
      <c r="Y136">
        <f t="shared" ca="1" si="24"/>
        <v>0</v>
      </c>
      <c r="Z136">
        <f t="shared" ca="1" si="16"/>
        <v>156.8125</v>
      </c>
      <c r="AA136" t="e">
        <f t="shared" si="17"/>
        <v>#N/A</v>
      </c>
      <c r="AB136" t="str">
        <f t="shared" si="18"/>
        <v/>
      </c>
      <c r="AC136">
        <f t="shared" si="19"/>
        <v>0</v>
      </c>
    </row>
    <row r="137" spans="2:29" x14ac:dyDescent="0.3">
      <c r="B137">
        <v>216</v>
      </c>
      <c r="C137">
        <f>SUMIFS(INDEX(xmen[[speech]:[depicted]],,$E$2),xmen[issue],Matrix!$B137,xmen[x],Matrix!C$10,xmen[costume],C$9)</f>
        <v>0</v>
      </c>
      <c r="D137">
        <f>SUMIFS(INDEX(xmen[[speech]:[depicted]],,$E$2),xmen[issue],Matrix!$B137,xmen[x],Matrix!D$10,xmen[costume],D$9)</f>
        <v>0</v>
      </c>
      <c r="E137">
        <f>SUMIFS(INDEX(xmen[[speech]:[depicted]],,$E$2),xmen[issue],Matrix!$B137,xmen[x],Matrix!E$10,xmen[costume],E$9)</f>
        <v>0</v>
      </c>
      <c r="F137">
        <f>SUMIFS(INDEX(xmen[[speech]:[depicted]],,$E$2),xmen[issue],Matrix!$B137,xmen[x],Matrix!F$10,xmen[costume],F$9)</f>
        <v>0</v>
      </c>
      <c r="G137">
        <f>SUMIFS(INDEX(xmen[[speech]:[depicted]],,$E$2),xmen[issue],Matrix!$B137,xmen[x],Matrix!G$10,xmen[costume],G$9)</f>
        <v>0</v>
      </c>
      <c r="H137">
        <f>SUMIFS(INDEX(xmen[[speech]:[depicted]],,$E$2),xmen[issue],Matrix!$B137,xmen[x],Matrix!H$10,xmen[costume],H$9)</f>
        <v>0</v>
      </c>
      <c r="I137">
        <f>SUMIFS(INDEX(xmen[[speech]:[depicted]],,$E$2),xmen[issue],Matrix!$B137,xmen[x],Matrix!I$10,xmen[costume],I$9)</f>
        <v>0</v>
      </c>
      <c r="J137">
        <f>SUMIFS(INDEX(xmen[[speech]:[depicted]],,$E$2),xmen[issue],Matrix!$B137,xmen[x],Matrix!J$10,xmen[costume],J$9)</f>
        <v>0</v>
      </c>
      <c r="K137">
        <f>SUMIFS(INDEX(xmen[[speech]:[depicted]],,$E$2),xmen[issue],Matrix!$B137,xmen[x],Matrix!K$10,xmen[costume],K$9)</f>
        <v>0</v>
      </c>
      <c r="L137">
        <f>SUMIFS(INDEX(xmen[[speech]:[depicted]],,$E$2),xmen[issue],Matrix!$B137,xmen[x],Matrix!L$10,xmen[costume],L$9)</f>
        <v>0</v>
      </c>
      <c r="M137">
        <f t="shared" ca="1" si="14"/>
        <v>146</v>
      </c>
      <c r="O137">
        <f t="shared" ca="1" si="22"/>
        <v>156.1875</v>
      </c>
      <c r="P137">
        <f t="shared" ca="1" si="24"/>
        <v>0.875</v>
      </c>
      <c r="Q137">
        <f t="shared" ca="1" si="24"/>
        <v>0</v>
      </c>
      <c r="R137">
        <f t="shared" ca="1" si="24"/>
        <v>0</v>
      </c>
      <c r="S137">
        <f t="shared" ca="1" si="24"/>
        <v>0</v>
      </c>
      <c r="T137">
        <f t="shared" ca="1" si="24"/>
        <v>0</v>
      </c>
      <c r="U137">
        <f t="shared" ca="1" si="24"/>
        <v>0</v>
      </c>
      <c r="V137">
        <f t="shared" ca="1" si="24"/>
        <v>0</v>
      </c>
      <c r="W137">
        <f t="shared" ca="1" si="24"/>
        <v>0</v>
      </c>
      <c r="X137">
        <f t="shared" ca="1" si="24"/>
        <v>0</v>
      </c>
      <c r="Y137">
        <f t="shared" ca="1" si="24"/>
        <v>0</v>
      </c>
      <c r="Z137">
        <f t="shared" ca="1" si="16"/>
        <v>157.0625</v>
      </c>
      <c r="AA137" t="e">
        <f t="shared" si="17"/>
        <v>#N/A</v>
      </c>
      <c r="AB137" t="str">
        <f t="shared" si="18"/>
        <v/>
      </c>
      <c r="AC137">
        <f t="shared" si="19"/>
        <v>0</v>
      </c>
    </row>
    <row r="138" spans="2:29" x14ac:dyDescent="0.3">
      <c r="B138">
        <v>217</v>
      </c>
      <c r="C138">
        <f>SUMIFS(INDEX(xmen[[speech]:[depicted]],,$E$2),xmen[issue],Matrix!$B138,xmen[x],Matrix!C$10,xmen[costume],C$9)</f>
        <v>0</v>
      </c>
      <c r="D138">
        <f>SUMIFS(INDEX(xmen[[speech]:[depicted]],,$E$2),xmen[issue],Matrix!$B138,xmen[x],Matrix!D$10,xmen[costume],D$9)</f>
        <v>0</v>
      </c>
      <c r="E138">
        <f>SUMIFS(INDEX(xmen[[speech]:[depicted]],,$E$2),xmen[issue],Matrix!$B138,xmen[x],Matrix!E$10,xmen[costume],E$9)</f>
        <v>0</v>
      </c>
      <c r="F138">
        <f>SUMIFS(INDEX(xmen[[speech]:[depicted]],,$E$2),xmen[issue],Matrix!$B138,xmen[x],Matrix!F$10,xmen[costume],F$9)</f>
        <v>0</v>
      </c>
      <c r="G138">
        <f>SUMIFS(INDEX(xmen[[speech]:[depicted]],,$E$2),xmen[issue],Matrix!$B138,xmen[x],Matrix!G$10,xmen[costume],G$9)</f>
        <v>0</v>
      </c>
      <c r="H138">
        <f>SUMIFS(INDEX(xmen[[speech]:[depicted]],,$E$2),xmen[issue],Matrix!$B138,xmen[x],Matrix!H$10,xmen[costume],H$9)</f>
        <v>0</v>
      </c>
      <c r="I138">
        <f>SUMIFS(INDEX(xmen[[speech]:[depicted]],,$E$2),xmen[issue],Matrix!$B138,xmen[x],Matrix!I$10,xmen[costume],I$9)</f>
        <v>0</v>
      </c>
      <c r="J138">
        <f>SUMIFS(INDEX(xmen[[speech]:[depicted]],,$E$2),xmen[issue],Matrix!$B138,xmen[x],Matrix!J$10,xmen[costume],J$9)</f>
        <v>0</v>
      </c>
      <c r="K138">
        <f>SUMIFS(INDEX(xmen[[speech]:[depicted]],,$E$2),xmen[issue],Matrix!$B138,xmen[x],Matrix!K$10,xmen[costume],K$9)</f>
        <v>0</v>
      </c>
      <c r="L138">
        <f>SUMIFS(INDEX(xmen[[speech]:[depicted]],,$E$2),xmen[issue],Matrix!$B138,xmen[x],Matrix!L$10,xmen[costume],L$9)</f>
        <v>0</v>
      </c>
      <c r="M138">
        <f t="shared" ca="1" si="14"/>
        <v>174</v>
      </c>
      <c r="O138">
        <f t="shared" ca="1" si="22"/>
        <v>155.0625</v>
      </c>
      <c r="P138">
        <f t="shared" ca="1" si="24"/>
        <v>0.875</v>
      </c>
      <c r="Q138">
        <f t="shared" ca="1" si="24"/>
        <v>0</v>
      </c>
      <c r="R138">
        <f t="shared" ca="1" si="24"/>
        <v>0</v>
      </c>
      <c r="S138">
        <f t="shared" ca="1" si="24"/>
        <v>0</v>
      </c>
      <c r="T138">
        <f t="shared" ca="1" si="24"/>
        <v>0</v>
      </c>
      <c r="U138">
        <f t="shared" ca="1" si="24"/>
        <v>0</v>
      </c>
      <c r="V138">
        <f t="shared" ca="1" si="24"/>
        <v>0</v>
      </c>
      <c r="W138">
        <f t="shared" ca="1" si="24"/>
        <v>0</v>
      </c>
      <c r="X138">
        <f t="shared" ca="1" si="24"/>
        <v>0</v>
      </c>
      <c r="Y138">
        <f t="shared" ca="1" si="24"/>
        <v>0</v>
      </c>
      <c r="Z138">
        <f t="shared" ca="1" si="16"/>
        <v>155.9375</v>
      </c>
      <c r="AA138" t="e">
        <f t="shared" si="17"/>
        <v>#N/A</v>
      </c>
      <c r="AB138" t="str">
        <f t="shared" si="18"/>
        <v/>
      </c>
      <c r="AC138">
        <f t="shared" si="19"/>
        <v>0</v>
      </c>
    </row>
    <row r="139" spans="2:29" x14ac:dyDescent="0.3">
      <c r="B139">
        <v>218</v>
      </c>
      <c r="C139">
        <f>SUMIFS(INDEX(xmen[[speech]:[depicted]],,$E$2),xmen[issue],Matrix!$B139,xmen[x],Matrix!C$10,xmen[costume],C$9)</f>
        <v>0</v>
      </c>
      <c r="D139">
        <f>SUMIFS(INDEX(xmen[[speech]:[depicted]],,$E$2),xmen[issue],Matrix!$B139,xmen[x],Matrix!D$10,xmen[costume],D$9)</f>
        <v>0</v>
      </c>
      <c r="E139">
        <f>SUMIFS(INDEX(xmen[[speech]:[depicted]],,$E$2),xmen[issue],Matrix!$B139,xmen[x],Matrix!E$10,xmen[costume],E$9)</f>
        <v>0</v>
      </c>
      <c r="F139">
        <f>SUMIFS(INDEX(xmen[[speech]:[depicted]],,$E$2),xmen[issue],Matrix!$B139,xmen[x],Matrix!F$10,xmen[costume],F$9)</f>
        <v>0</v>
      </c>
      <c r="G139">
        <f>SUMIFS(INDEX(xmen[[speech]:[depicted]],,$E$2),xmen[issue],Matrix!$B139,xmen[x],Matrix!G$10,xmen[costume],G$9)</f>
        <v>0</v>
      </c>
      <c r="H139">
        <f>SUMIFS(INDEX(xmen[[speech]:[depicted]],,$E$2),xmen[issue],Matrix!$B139,xmen[x],Matrix!H$10,xmen[costume],H$9)</f>
        <v>0</v>
      </c>
      <c r="I139">
        <f>SUMIFS(INDEX(xmen[[speech]:[depicted]],,$E$2),xmen[issue],Matrix!$B139,xmen[x],Matrix!I$10,xmen[costume],I$9)</f>
        <v>0</v>
      </c>
      <c r="J139">
        <f>SUMIFS(INDEX(xmen[[speech]:[depicted]],,$E$2),xmen[issue],Matrix!$B139,xmen[x],Matrix!J$10,xmen[costume],J$9)</f>
        <v>0</v>
      </c>
      <c r="K139">
        <f>SUMIFS(INDEX(xmen[[speech]:[depicted]],,$E$2),xmen[issue],Matrix!$B139,xmen[x],Matrix!K$10,xmen[costume],K$9)</f>
        <v>0</v>
      </c>
      <c r="L139">
        <f>SUMIFS(INDEX(xmen[[speech]:[depicted]],,$E$2),xmen[issue],Matrix!$B139,xmen[x],Matrix!L$10,xmen[costume],L$9)</f>
        <v>0</v>
      </c>
      <c r="M139">
        <f t="shared" ca="1" si="14"/>
        <v>153</v>
      </c>
      <c r="O139">
        <f t="shared" ref="O139:O170" ca="1" si="25">AVERAGE(OFFSET(INDEX($C139:$M139,O$9),-$P$3,,$P$2,1))</f>
        <v>155.9375</v>
      </c>
      <c r="P139">
        <f t="shared" ca="1" si="24"/>
        <v>0.625</v>
      </c>
      <c r="Q139">
        <f t="shared" ca="1" si="24"/>
        <v>0</v>
      </c>
      <c r="R139">
        <f t="shared" ca="1" si="24"/>
        <v>0</v>
      </c>
      <c r="S139">
        <f t="shared" ca="1" si="24"/>
        <v>0</v>
      </c>
      <c r="T139">
        <f t="shared" ca="1" si="24"/>
        <v>0</v>
      </c>
      <c r="U139">
        <f t="shared" ca="1" si="24"/>
        <v>0</v>
      </c>
      <c r="V139">
        <f t="shared" ca="1" si="24"/>
        <v>0</v>
      </c>
      <c r="W139">
        <f t="shared" ca="1" si="24"/>
        <v>0</v>
      </c>
      <c r="X139">
        <f t="shared" ca="1" si="24"/>
        <v>0</v>
      </c>
      <c r="Y139">
        <f t="shared" ca="1" si="24"/>
        <v>0</v>
      </c>
      <c r="Z139">
        <f t="shared" ca="1" si="16"/>
        <v>156.5625</v>
      </c>
      <c r="AA139" t="e">
        <f t="shared" si="17"/>
        <v>#N/A</v>
      </c>
      <c r="AB139" t="str">
        <f t="shared" si="18"/>
        <v/>
      </c>
      <c r="AC139">
        <f t="shared" si="19"/>
        <v>0</v>
      </c>
    </row>
    <row r="140" spans="2:29" x14ac:dyDescent="0.3">
      <c r="B140">
        <v>219</v>
      </c>
      <c r="C140">
        <f>SUMIFS(INDEX(xmen[[speech]:[depicted]],,$E$2),xmen[issue],Matrix!$B140,xmen[x],Matrix!C$10,xmen[costume],C$9)</f>
        <v>0</v>
      </c>
      <c r="D140">
        <f>SUMIFS(INDEX(xmen[[speech]:[depicted]],,$E$2),xmen[issue],Matrix!$B140,xmen[x],Matrix!D$10,xmen[costume],D$9)</f>
        <v>0</v>
      </c>
      <c r="E140">
        <f>SUMIFS(INDEX(xmen[[speech]:[depicted]],,$E$2),xmen[issue],Matrix!$B140,xmen[x],Matrix!E$10,xmen[costume],E$9)</f>
        <v>0</v>
      </c>
      <c r="F140">
        <f>SUMIFS(INDEX(xmen[[speech]:[depicted]],,$E$2),xmen[issue],Matrix!$B140,xmen[x],Matrix!F$10,xmen[costume],F$9)</f>
        <v>0</v>
      </c>
      <c r="G140">
        <f>SUMIFS(INDEX(xmen[[speech]:[depicted]],,$E$2),xmen[issue],Matrix!$B140,xmen[x],Matrix!G$10,xmen[costume],G$9)</f>
        <v>0</v>
      </c>
      <c r="H140">
        <f>SUMIFS(INDEX(xmen[[speech]:[depicted]],,$E$2),xmen[issue],Matrix!$B140,xmen[x],Matrix!H$10,xmen[costume],H$9)</f>
        <v>0</v>
      </c>
      <c r="I140">
        <f>SUMIFS(INDEX(xmen[[speech]:[depicted]],,$E$2),xmen[issue],Matrix!$B140,xmen[x],Matrix!I$10,xmen[costume],I$9)</f>
        <v>0</v>
      </c>
      <c r="J140">
        <f>SUMIFS(INDEX(xmen[[speech]:[depicted]],,$E$2),xmen[issue],Matrix!$B140,xmen[x],Matrix!J$10,xmen[costume],J$9)</f>
        <v>0</v>
      </c>
      <c r="K140">
        <f>SUMIFS(INDEX(xmen[[speech]:[depicted]],,$E$2),xmen[issue],Matrix!$B140,xmen[x],Matrix!K$10,xmen[costume],K$9)</f>
        <v>0</v>
      </c>
      <c r="L140">
        <f>SUMIFS(INDEX(xmen[[speech]:[depicted]],,$E$2),xmen[issue],Matrix!$B140,xmen[x],Matrix!L$10,xmen[costume],L$9)</f>
        <v>0</v>
      </c>
      <c r="M140">
        <f t="shared" ref="M140:M203" ca="1" si="26">$M$2-SUM(C140:L140)/2+RANDBETWEEN($M$3,$M$4)</f>
        <v>163</v>
      </c>
      <c r="O140">
        <f t="shared" ca="1" si="25"/>
        <v>157.5625</v>
      </c>
      <c r="P140">
        <f t="shared" ref="P140:Y149" ca="1" si="27">AVERAGE(OFFSET(INDEX($C140:$M140,P$9),-$P$3,,$P$2,1))</f>
        <v>0.625</v>
      </c>
      <c r="Q140">
        <f t="shared" ca="1" si="27"/>
        <v>0</v>
      </c>
      <c r="R140">
        <f t="shared" ca="1" si="27"/>
        <v>0</v>
      </c>
      <c r="S140">
        <f t="shared" ca="1" si="27"/>
        <v>0</v>
      </c>
      <c r="T140">
        <f t="shared" ca="1" si="27"/>
        <v>0</v>
      </c>
      <c r="U140">
        <f t="shared" ca="1" si="27"/>
        <v>0</v>
      </c>
      <c r="V140">
        <f t="shared" ca="1" si="27"/>
        <v>0</v>
      </c>
      <c r="W140">
        <f t="shared" ca="1" si="27"/>
        <v>0</v>
      </c>
      <c r="X140">
        <f t="shared" ca="1" si="27"/>
        <v>0</v>
      </c>
      <c r="Y140">
        <f t="shared" ca="1" si="27"/>
        <v>0</v>
      </c>
      <c r="Z140">
        <f t="shared" ref="Z140:Z203" ca="1" si="28">SUM(O140:Y140)</f>
        <v>158.1875</v>
      </c>
      <c r="AA140" t="e">
        <f t="shared" ref="AA140:AA203" si="29">IF(COUNTIFS($AE$11:$AE$18,B140),$AA$6,NA())</f>
        <v>#N/A</v>
      </c>
      <c r="AB140" t="str">
        <f t="shared" ref="AB140:AB203" si="30">IF(ISNA(AA140),"","Issue"&amp;CHAR(10)&amp;"#"&amp;B140)</f>
        <v/>
      </c>
      <c r="AC140">
        <f t="shared" ref="AC140:AC203" si="31">IF(ISNA(AA140),0,Z140-O140)</f>
        <v>0</v>
      </c>
    </row>
    <row r="141" spans="2:29" x14ac:dyDescent="0.3">
      <c r="B141">
        <v>220</v>
      </c>
      <c r="C141">
        <f>SUMIFS(INDEX(xmen[[speech]:[depicted]],,$E$2),xmen[issue],Matrix!$B141,xmen[x],Matrix!C$10,xmen[costume],C$9)</f>
        <v>0</v>
      </c>
      <c r="D141">
        <f>SUMIFS(INDEX(xmen[[speech]:[depicted]],,$E$2),xmen[issue],Matrix!$B141,xmen[x],Matrix!D$10,xmen[costume],D$9)</f>
        <v>0</v>
      </c>
      <c r="E141">
        <f>SUMIFS(INDEX(xmen[[speech]:[depicted]],,$E$2),xmen[issue],Matrix!$B141,xmen[x],Matrix!E$10,xmen[costume],E$9)</f>
        <v>0</v>
      </c>
      <c r="F141">
        <f>SUMIFS(INDEX(xmen[[speech]:[depicted]],,$E$2),xmen[issue],Matrix!$B141,xmen[x],Matrix!F$10,xmen[costume],F$9)</f>
        <v>0</v>
      </c>
      <c r="G141">
        <f>SUMIFS(INDEX(xmen[[speech]:[depicted]],,$E$2),xmen[issue],Matrix!$B141,xmen[x],Matrix!G$10,xmen[costume],G$9)</f>
        <v>0</v>
      </c>
      <c r="H141">
        <f>SUMIFS(INDEX(xmen[[speech]:[depicted]],,$E$2),xmen[issue],Matrix!$B141,xmen[x],Matrix!H$10,xmen[costume],H$9)</f>
        <v>0</v>
      </c>
      <c r="I141">
        <f>SUMIFS(INDEX(xmen[[speech]:[depicted]],,$E$2),xmen[issue],Matrix!$B141,xmen[x],Matrix!I$10,xmen[costume],I$9)</f>
        <v>0</v>
      </c>
      <c r="J141">
        <f>SUMIFS(INDEX(xmen[[speech]:[depicted]],,$E$2),xmen[issue],Matrix!$B141,xmen[x],Matrix!J$10,xmen[costume],J$9)</f>
        <v>0</v>
      </c>
      <c r="K141">
        <f>SUMIFS(INDEX(xmen[[speech]:[depicted]],,$E$2),xmen[issue],Matrix!$B141,xmen[x],Matrix!K$10,xmen[costume],K$9)</f>
        <v>0</v>
      </c>
      <c r="L141">
        <f>SUMIFS(INDEX(xmen[[speech]:[depicted]],,$E$2),xmen[issue],Matrix!$B141,xmen[x],Matrix!L$10,xmen[costume],L$9)</f>
        <v>0</v>
      </c>
      <c r="M141">
        <f t="shared" ca="1" si="26"/>
        <v>150</v>
      </c>
      <c r="O141">
        <f t="shared" ca="1" si="25"/>
        <v>159.125</v>
      </c>
      <c r="P141">
        <f t="shared" ca="1" si="27"/>
        <v>0</v>
      </c>
      <c r="Q141">
        <f t="shared" ca="1" si="27"/>
        <v>0</v>
      </c>
      <c r="R141">
        <f t="shared" ca="1" si="27"/>
        <v>0</v>
      </c>
      <c r="S141">
        <f t="shared" ca="1" si="27"/>
        <v>0</v>
      </c>
      <c r="T141">
        <f t="shared" ca="1" si="27"/>
        <v>0</v>
      </c>
      <c r="U141">
        <f t="shared" ca="1" si="27"/>
        <v>0</v>
      </c>
      <c r="V141">
        <f t="shared" ca="1" si="27"/>
        <v>0</v>
      </c>
      <c r="W141">
        <f t="shared" ca="1" si="27"/>
        <v>0</v>
      </c>
      <c r="X141">
        <f t="shared" ca="1" si="27"/>
        <v>0</v>
      </c>
      <c r="Y141">
        <f t="shared" ca="1" si="27"/>
        <v>0</v>
      </c>
      <c r="Z141">
        <f t="shared" ca="1" si="28"/>
        <v>159.125</v>
      </c>
      <c r="AA141" t="e">
        <f t="shared" si="29"/>
        <v>#N/A</v>
      </c>
      <c r="AB141" t="str">
        <f t="shared" si="30"/>
        <v/>
      </c>
      <c r="AC141">
        <f t="shared" si="31"/>
        <v>0</v>
      </c>
    </row>
    <row r="142" spans="2:29" x14ac:dyDescent="0.3">
      <c r="B142">
        <v>221</v>
      </c>
      <c r="C142">
        <f>SUMIFS(INDEX(xmen[[speech]:[depicted]],,$E$2),xmen[issue],Matrix!$B142,xmen[x],Matrix!C$10,xmen[costume],C$9)</f>
        <v>0</v>
      </c>
      <c r="D142">
        <f>SUMIFS(INDEX(xmen[[speech]:[depicted]],,$E$2),xmen[issue],Matrix!$B142,xmen[x],Matrix!D$10,xmen[costume],D$9)</f>
        <v>0</v>
      </c>
      <c r="E142">
        <f>SUMIFS(INDEX(xmen[[speech]:[depicted]],,$E$2),xmen[issue],Matrix!$B142,xmen[x],Matrix!E$10,xmen[costume],E$9)</f>
        <v>0</v>
      </c>
      <c r="F142">
        <f>SUMIFS(INDEX(xmen[[speech]:[depicted]],,$E$2),xmen[issue],Matrix!$B142,xmen[x],Matrix!F$10,xmen[costume],F$9)</f>
        <v>0</v>
      </c>
      <c r="G142">
        <f>SUMIFS(INDEX(xmen[[speech]:[depicted]],,$E$2),xmen[issue],Matrix!$B142,xmen[x],Matrix!G$10,xmen[costume],G$9)</f>
        <v>0</v>
      </c>
      <c r="H142">
        <f>SUMIFS(INDEX(xmen[[speech]:[depicted]],,$E$2),xmen[issue],Matrix!$B142,xmen[x],Matrix!H$10,xmen[costume],H$9)</f>
        <v>0</v>
      </c>
      <c r="I142">
        <f>SUMIFS(INDEX(xmen[[speech]:[depicted]],,$E$2),xmen[issue],Matrix!$B142,xmen[x],Matrix!I$10,xmen[costume],I$9)</f>
        <v>0</v>
      </c>
      <c r="J142">
        <f>SUMIFS(INDEX(xmen[[speech]:[depicted]],,$E$2),xmen[issue],Matrix!$B142,xmen[x],Matrix!J$10,xmen[costume],J$9)</f>
        <v>0</v>
      </c>
      <c r="K142">
        <f>SUMIFS(INDEX(xmen[[speech]:[depicted]],,$E$2),xmen[issue],Matrix!$B142,xmen[x],Matrix!K$10,xmen[costume],K$9)</f>
        <v>0</v>
      </c>
      <c r="L142">
        <f>SUMIFS(INDEX(xmen[[speech]:[depicted]],,$E$2),xmen[issue],Matrix!$B142,xmen[x],Matrix!L$10,xmen[costume],L$9)</f>
        <v>0</v>
      </c>
      <c r="M142">
        <f t="shared" ca="1" si="26"/>
        <v>151</v>
      </c>
      <c r="O142">
        <f t="shared" ca="1" si="25"/>
        <v>159</v>
      </c>
      <c r="P142">
        <f t="shared" ca="1" si="27"/>
        <v>0</v>
      </c>
      <c r="Q142">
        <f t="shared" ca="1" si="27"/>
        <v>0</v>
      </c>
      <c r="R142">
        <f t="shared" ca="1" si="27"/>
        <v>0</v>
      </c>
      <c r="S142">
        <f t="shared" ca="1" si="27"/>
        <v>0</v>
      </c>
      <c r="T142">
        <f t="shared" ca="1" si="27"/>
        <v>0</v>
      </c>
      <c r="U142">
        <f t="shared" ca="1" si="27"/>
        <v>0</v>
      </c>
      <c r="V142">
        <f t="shared" ca="1" si="27"/>
        <v>0</v>
      </c>
      <c r="W142">
        <f t="shared" ca="1" si="27"/>
        <v>0</v>
      </c>
      <c r="X142">
        <f t="shared" ca="1" si="27"/>
        <v>0</v>
      </c>
      <c r="Y142">
        <f t="shared" ca="1" si="27"/>
        <v>0</v>
      </c>
      <c r="Z142">
        <f t="shared" ca="1" si="28"/>
        <v>159</v>
      </c>
      <c r="AA142" t="e">
        <f t="shared" si="29"/>
        <v>#N/A</v>
      </c>
      <c r="AB142" t="str">
        <f t="shared" si="30"/>
        <v/>
      </c>
      <c r="AC142">
        <f t="shared" si="31"/>
        <v>0</v>
      </c>
    </row>
    <row r="143" spans="2:29" x14ac:dyDescent="0.3">
      <c r="B143">
        <v>222</v>
      </c>
      <c r="C143">
        <f>SUMIFS(INDEX(xmen[[speech]:[depicted]],,$E$2),xmen[issue],Matrix!$B143,xmen[x],Matrix!C$10,xmen[costume],C$9)</f>
        <v>0</v>
      </c>
      <c r="D143">
        <f>SUMIFS(INDEX(xmen[[speech]:[depicted]],,$E$2),xmen[issue],Matrix!$B143,xmen[x],Matrix!D$10,xmen[costume],D$9)</f>
        <v>0</v>
      </c>
      <c r="E143">
        <f>SUMIFS(INDEX(xmen[[speech]:[depicted]],,$E$2),xmen[issue],Matrix!$B143,xmen[x],Matrix!E$10,xmen[costume],E$9)</f>
        <v>0</v>
      </c>
      <c r="F143">
        <f>SUMIFS(INDEX(xmen[[speech]:[depicted]],,$E$2),xmen[issue],Matrix!$B143,xmen[x],Matrix!F$10,xmen[costume],F$9)</f>
        <v>0</v>
      </c>
      <c r="G143">
        <f>SUMIFS(INDEX(xmen[[speech]:[depicted]],,$E$2),xmen[issue],Matrix!$B143,xmen[x],Matrix!G$10,xmen[costume],G$9)</f>
        <v>0</v>
      </c>
      <c r="H143">
        <f>SUMIFS(INDEX(xmen[[speech]:[depicted]],,$E$2),xmen[issue],Matrix!$B143,xmen[x],Matrix!H$10,xmen[costume],H$9)</f>
        <v>0</v>
      </c>
      <c r="I143">
        <f>SUMIFS(INDEX(xmen[[speech]:[depicted]],,$E$2),xmen[issue],Matrix!$B143,xmen[x],Matrix!I$10,xmen[costume],I$9)</f>
        <v>0</v>
      </c>
      <c r="J143">
        <f>SUMIFS(INDEX(xmen[[speech]:[depicted]],,$E$2),xmen[issue],Matrix!$B143,xmen[x],Matrix!J$10,xmen[costume],J$9)</f>
        <v>0</v>
      </c>
      <c r="K143">
        <f>SUMIFS(INDEX(xmen[[speech]:[depicted]],,$E$2),xmen[issue],Matrix!$B143,xmen[x],Matrix!K$10,xmen[costume],K$9)</f>
        <v>0</v>
      </c>
      <c r="L143">
        <f>SUMIFS(INDEX(xmen[[speech]:[depicted]],,$E$2),xmen[issue],Matrix!$B143,xmen[x],Matrix!L$10,xmen[costume],L$9)</f>
        <v>0</v>
      </c>
      <c r="M143">
        <f t="shared" ca="1" si="26"/>
        <v>169</v>
      </c>
      <c r="O143">
        <f t="shared" ca="1" si="25"/>
        <v>158.625</v>
      </c>
      <c r="P143">
        <f t="shared" ca="1" si="27"/>
        <v>0</v>
      </c>
      <c r="Q143">
        <f t="shared" ca="1" si="27"/>
        <v>0</v>
      </c>
      <c r="R143">
        <f t="shared" ca="1" si="27"/>
        <v>0</v>
      </c>
      <c r="S143">
        <f t="shared" ca="1" si="27"/>
        <v>0</v>
      </c>
      <c r="T143">
        <f t="shared" ca="1" si="27"/>
        <v>0</v>
      </c>
      <c r="U143">
        <f t="shared" ca="1" si="27"/>
        <v>0</v>
      </c>
      <c r="V143">
        <f t="shared" ca="1" si="27"/>
        <v>0</v>
      </c>
      <c r="W143">
        <f t="shared" ca="1" si="27"/>
        <v>0</v>
      </c>
      <c r="X143">
        <f t="shared" ca="1" si="27"/>
        <v>0</v>
      </c>
      <c r="Y143">
        <f t="shared" ca="1" si="27"/>
        <v>0</v>
      </c>
      <c r="Z143">
        <f t="shared" ca="1" si="28"/>
        <v>158.625</v>
      </c>
      <c r="AA143" t="e">
        <f t="shared" si="29"/>
        <v>#N/A</v>
      </c>
      <c r="AB143" t="str">
        <f t="shared" si="30"/>
        <v/>
      </c>
      <c r="AC143">
        <f t="shared" si="31"/>
        <v>0</v>
      </c>
    </row>
    <row r="144" spans="2:29" x14ac:dyDescent="0.3">
      <c r="B144">
        <v>223</v>
      </c>
      <c r="C144">
        <f>SUMIFS(INDEX(xmen[[speech]:[depicted]],,$E$2),xmen[issue],Matrix!$B144,xmen[x],Matrix!C$10,xmen[costume],C$9)</f>
        <v>0</v>
      </c>
      <c r="D144">
        <f>SUMIFS(INDEX(xmen[[speech]:[depicted]],,$E$2),xmen[issue],Matrix!$B144,xmen[x],Matrix!D$10,xmen[costume],D$9)</f>
        <v>0</v>
      </c>
      <c r="E144">
        <f>SUMIFS(INDEX(xmen[[speech]:[depicted]],,$E$2),xmen[issue],Matrix!$B144,xmen[x],Matrix!E$10,xmen[costume],E$9)</f>
        <v>0</v>
      </c>
      <c r="F144">
        <f>SUMIFS(INDEX(xmen[[speech]:[depicted]],,$E$2),xmen[issue],Matrix!$B144,xmen[x],Matrix!F$10,xmen[costume],F$9)</f>
        <v>0</v>
      </c>
      <c r="G144">
        <f>SUMIFS(INDEX(xmen[[speech]:[depicted]],,$E$2),xmen[issue],Matrix!$B144,xmen[x],Matrix!G$10,xmen[costume],G$9)</f>
        <v>0</v>
      </c>
      <c r="H144">
        <f>SUMIFS(INDEX(xmen[[speech]:[depicted]],,$E$2),xmen[issue],Matrix!$B144,xmen[x],Matrix!H$10,xmen[costume],H$9)</f>
        <v>0</v>
      </c>
      <c r="I144">
        <f>SUMIFS(INDEX(xmen[[speech]:[depicted]],,$E$2),xmen[issue],Matrix!$B144,xmen[x],Matrix!I$10,xmen[costume],I$9)</f>
        <v>0</v>
      </c>
      <c r="J144">
        <f>SUMIFS(INDEX(xmen[[speech]:[depicted]],,$E$2),xmen[issue],Matrix!$B144,xmen[x],Matrix!J$10,xmen[costume],J$9)</f>
        <v>0</v>
      </c>
      <c r="K144">
        <f>SUMIFS(INDEX(xmen[[speech]:[depicted]],,$E$2),xmen[issue],Matrix!$B144,xmen[x],Matrix!K$10,xmen[costume],K$9)</f>
        <v>0</v>
      </c>
      <c r="L144">
        <f>SUMIFS(INDEX(xmen[[speech]:[depicted]],,$E$2),xmen[issue],Matrix!$B144,xmen[x],Matrix!L$10,xmen[costume],L$9)</f>
        <v>0</v>
      </c>
      <c r="M144">
        <f t="shared" ca="1" si="26"/>
        <v>167</v>
      </c>
      <c r="O144">
        <f t="shared" ca="1" si="25"/>
        <v>157.75</v>
      </c>
      <c r="P144">
        <f t="shared" ca="1" si="27"/>
        <v>0</v>
      </c>
      <c r="Q144">
        <f t="shared" ca="1" si="27"/>
        <v>0</v>
      </c>
      <c r="R144">
        <f t="shared" ca="1" si="27"/>
        <v>0</v>
      </c>
      <c r="S144">
        <f t="shared" ca="1" si="27"/>
        <v>0</v>
      </c>
      <c r="T144">
        <f t="shared" ca="1" si="27"/>
        <v>0</v>
      </c>
      <c r="U144">
        <f t="shared" ca="1" si="27"/>
        <v>0</v>
      </c>
      <c r="V144">
        <f t="shared" ca="1" si="27"/>
        <v>0</v>
      </c>
      <c r="W144">
        <f t="shared" ca="1" si="27"/>
        <v>0</v>
      </c>
      <c r="X144">
        <f t="shared" ca="1" si="27"/>
        <v>0</v>
      </c>
      <c r="Y144">
        <f t="shared" ca="1" si="27"/>
        <v>0</v>
      </c>
      <c r="Z144">
        <f t="shared" ca="1" si="28"/>
        <v>157.75</v>
      </c>
      <c r="AA144" t="e">
        <f t="shared" si="29"/>
        <v>#N/A</v>
      </c>
      <c r="AB144" t="str">
        <f t="shared" si="30"/>
        <v/>
      </c>
      <c r="AC144">
        <f t="shared" si="31"/>
        <v>0</v>
      </c>
    </row>
    <row r="145" spans="2:29" x14ac:dyDescent="0.3">
      <c r="B145">
        <v>224</v>
      </c>
      <c r="C145">
        <f>SUMIFS(INDEX(xmen[[speech]:[depicted]],,$E$2),xmen[issue],Matrix!$B145,xmen[x],Matrix!C$10,xmen[costume],C$9)</f>
        <v>0</v>
      </c>
      <c r="D145">
        <f>SUMIFS(INDEX(xmen[[speech]:[depicted]],,$E$2),xmen[issue],Matrix!$B145,xmen[x],Matrix!D$10,xmen[costume],D$9)</f>
        <v>0</v>
      </c>
      <c r="E145">
        <f>SUMIFS(INDEX(xmen[[speech]:[depicted]],,$E$2),xmen[issue],Matrix!$B145,xmen[x],Matrix!E$10,xmen[costume],E$9)</f>
        <v>0</v>
      </c>
      <c r="F145">
        <f>SUMIFS(INDEX(xmen[[speech]:[depicted]],,$E$2),xmen[issue],Matrix!$B145,xmen[x],Matrix!F$10,xmen[costume],F$9)</f>
        <v>0</v>
      </c>
      <c r="G145">
        <f>SUMIFS(INDEX(xmen[[speech]:[depicted]],,$E$2),xmen[issue],Matrix!$B145,xmen[x],Matrix!G$10,xmen[costume],G$9)</f>
        <v>0</v>
      </c>
      <c r="H145">
        <f>SUMIFS(INDEX(xmen[[speech]:[depicted]],,$E$2),xmen[issue],Matrix!$B145,xmen[x],Matrix!H$10,xmen[costume],H$9)</f>
        <v>0</v>
      </c>
      <c r="I145">
        <f>SUMIFS(INDEX(xmen[[speech]:[depicted]],,$E$2),xmen[issue],Matrix!$B145,xmen[x],Matrix!I$10,xmen[costume],I$9)</f>
        <v>0</v>
      </c>
      <c r="J145">
        <f>SUMIFS(INDEX(xmen[[speech]:[depicted]],,$E$2),xmen[issue],Matrix!$B145,xmen[x],Matrix!J$10,xmen[costume],J$9)</f>
        <v>0</v>
      </c>
      <c r="K145">
        <f>SUMIFS(INDEX(xmen[[speech]:[depicted]],,$E$2),xmen[issue],Matrix!$B145,xmen[x],Matrix!K$10,xmen[costume],K$9)</f>
        <v>0</v>
      </c>
      <c r="L145">
        <f>SUMIFS(INDEX(xmen[[speech]:[depicted]],,$E$2),xmen[issue],Matrix!$B145,xmen[x],Matrix!L$10,xmen[costume],L$9)</f>
        <v>0</v>
      </c>
      <c r="M145">
        <f t="shared" ca="1" si="26"/>
        <v>145</v>
      </c>
      <c r="O145">
        <f t="shared" ca="1" si="25"/>
        <v>156.875</v>
      </c>
      <c r="P145">
        <f t="shared" ca="1" si="27"/>
        <v>0</v>
      </c>
      <c r="Q145">
        <f t="shared" ca="1" si="27"/>
        <v>0</v>
      </c>
      <c r="R145">
        <f t="shared" ca="1" si="27"/>
        <v>0</v>
      </c>
      <c r="S145">
        <f t="shared" ca="1" si="27"/>
        <v>0</v>
      </c>
      <c r="T145">
        <f t="shared" ca="1" si="27"/>
        <v>0</v>
      </c>
      <c r="U145">
        <f t="shared" ca="1" si="27"/>
        <v>0</v>
      </c>
      <c r="V145">
        <f t="shared" ca="1" si="27"/>
        <v>0</v>
      </c>
      <c r="W145">
        <f t="shared" ca="1" si="27"/>
        <v>0</v>
      </c>
      <c r="X145">
        <f t="shared" ca="1" si="27"/>
        <v>0</v>
      </c>
      <c r="Y145">
        <f t="shared" ca="1" si="27"/>
        <v>0</v>
      </c>
      <c r="Z145">
        <f t="shared" ca="1" si="28"/>
        <v>156.875</v>
      </c>
      <c r="AA145" t="e">
        <f t="shared" si="29"/>
        <v>#N/A</v>
      </c>
      <c r="AB145" t="str">
        <f t="shared" si="30"/>
        <v/>
      </c>
      <c r="AC145">
        <f t="shared" si="31"/>
        <v>0</v>
      </c>
    </row>
    <row r="146" spans="2:29" x14ac:dyDescent="0.3">
      <c r="B146">
        <v>225</v>
      </c>
      <c r="C146">
        <f>SUMIFS(INDEX(xmen[[speech]:[depicted]],,$E$2),xmen[issue],Matrix!$B146,xmen[x],Matrix!C$10,xmen[costume],C$9)</f>
        <v>0</v>
      </c>
      <c r="D146">
        <f>SUMIFS(INDEX(xmen[[speech]:[depicted]],,$E$2),xmen[issue],Matrix!$B146,xmen[x],Matrix!D$10,xmen[costume],D$9)</f>
        <v>0</v>
      </c>
      <c r="E146">
        <f>SUMIFS(INDEX(xmen[[speech]:[depicted]],,$E$2),xmen[issue],Matrix!$B146,xmen[x],Matrix!E$10,xmen[costume],E$9)</f>
        <v>0</v>
      </c>
      <c r="F146">
        <f>SUMIFS(INDEX(xmen[[speech]:[depicted]],,$E$2),xmen[issue],Matrix!$B146,xmen[x],Matrix!F$10,xmen[costume],F$9)</f>
        <v>0</v>
      </c>
      <c r="G146">
        <f>SUMIFS(INDEX(xmen[[speech]:[depicted]],,$E$2),xmen[issue],Matrix!$B146,xmen[x],Matrix!G$10,xmen[costume],G$9)</f>
        <v>0</v>
      </c>
      <c r="H146">
        <f>SUMIFS(INDEX(xmen[[speech]:[depicted]],,$E$2),xmen[issue],Matrix!$B146,xmen[x],Matrix!H$10,xmen[costume],H$9)</f>
        <v>0</v>
      </c>
      <c r="I146">
        <f>SUMIFS(INDEX(xmen[[speech]:[depicted]],,$E$2),xmen[issue],Matrix!$B146,xmen[x],Matrix!I$10,xmen[costume],I$9)</f>
        <v>0</v>
      </c>
      <c r="J146">
        <f>SUMIFS(INDEX(xmen[[speech]:[depicted]],,$E$2),xmen[issue],Matrix!$B146,xmen[x],Matrix!J$10,xmen[costume],J$9)</f>
        <v>0</v>
      </c>
      <c r="K146">
        <f>SUMIFS(INDEX(xmen[[speech]:[depicted]],,$E$2),xmen[issue],Matrix!$B146,xmen[x],Matrix!K$10,xmen[costume],K$9)</f>
        <v>0</v>
      </c>
      <c r="L146">
        <f>SUMIFS(INDEX(xmen[[speech]:[depicted]],,$E$2),xmen[issue],Matrix!$B146,xmen[x],Matrix!L$10,xmen[costume],L$9)</f>
        <v>0</v>
      </c>
      <c r="M146">
        <f t="shared" ca="1" si="26"/>
        <v>171</v>
      </c>
      <c r="O146">
        <f t="shared" ca="1" si="25"/>
        <v>159.5</v>
      </c>
      <c r="P146">
        <f t="shared" ca="1" si="27"/>
        <v>0</v>
      </c>
      <c r="Q146">
        <f t="shared" ca="1" si="27"/>
        <v>0</v>
      </c>
      <c r="R146">
        <f t="shared" ca="1" si="27"/>
        <v>0</v>
      </c>
      <c r="S146">
        <f t="shared" ca="1" si="27"/>
        <v>0</v>
      </c>
      <c r="T146">
        <f t="shared" ca="1" si="27"/>
        <v>0</v>
      </c>
      <c r="U146">
        <f t="shared" ca="1" si="27"/>
        <v>0</v>
      </c>
      <c r="V146">
        <f t="shared" ca="1" si="27"/>
        <v>0</v>
      </c>
      <c r="W146">
        <f t="shared" ca="1" si="27"/>
        <v>0</v>
      </c>
      <c r="X146">
        <f t="shared" ca="1" si="27"/>
        <v>0</v>
      </c>
      <c r="Y146">
        <f t="shared" ca="1" si="27"/>
        <v>0</v>
      </c>
      <c r="Z146">
        <f t="shared" ca="1" si="28"/>
        <v>159.5</v>
      </c>
      <c r="AA146">
        <f t="shared" ca="1" si="29"/>
        <v>205</v>
      </c>
      <c r="AB146" t="str">
        <f t="shared" ca="1" si="30"/>
        <v>Issue
#225</v>
      </c>
      <c r="AC146">
        <f t="shared" ca="1" si="31"/>
        <v>0</v>
      </c>
    </row>
    <row r="147" spans="2:29" x14ac:dyDescent="0.3">
      <c r="B147">
        <v>226</v>
      </c>
      <c r="C147">
        <f>SUMIFS(INDEX(xmen[[speech]:[depicted]],,$E$2),xmen[issue],Matrix!$B147,xmen[x],Matrix!C$10,xmen[costume],C$9)</f>
        <v>0</v>
      </c>
      <c r="D147">
        <f>SUMIFS(INDEX(xmen[[speech]:[depicted]],,$E$2),xmen[issue],Matrix!$B147,xmen[x],Matrix!D$10,xmen[costume],D$9)</f>
        <v>0</v>
      </c>
      <c r="E147">
        <f>SUMIFS(INDEX(xmen[[speech]:[depicted]],,$E$2),xmen[issue],Matrix!$B147,xmen[x],Matrix!E$10,xmen[costume],E$9)</f>
        <v>0</v>
      </c>
      <c r="F147">
        <f>SUMIFS(INDEX(xmen[[speech]:[depicted]],,$E$2),xmen[issue],Matrix!$B147,xmen[x],Matrix!F$10,xmen[costume],F$9)</f>
        <v>0</v>
      </c>
      <c r="G147">
        <f>SUMIFS(INDEX(xmen[[speech]:[depicted]],,$E$2),xmen[issue],Matrix!$B147,xmen[x],Matrix!G$10,xmen[costume],G$9)</f>
        <v>0</v>
      </c>
      <c r="H147">
        <f>SUMIFS(INDEX(xmen[[speech]:[depicted]],,$E$2),xmen[issue],Matrix!$B147,xmen[x],Matrix!H$10,xmen[costume],H$9)</f>
        <v>0</v>
      </c>
      <c r="I147">
        <f>SUMIFS(INDEX(xmen[[speech]:[depicted]],,$E$2),xmen[issue],Matrix!$B147,xmen[x],Matrix!I$10,xmen[costume],I$9)</f>
        <v>0</v>
      </c>
      <c r="J147">
        <f>SUMIFS(INDEX(xmen[[speech]:[depicted]],,$E$2),xmen[issue],Matrix!$B147,xmen[x],Matrix!J$10,xmen[costume],J$9)</f>
        <v>0</v>
      </c>
      <c r="K147">
        <f>SUMIFS(INDEX(xmen[[speech]:[depicted]],,$E$2),xmen[issue],Matrix!$B147,xmen[x],Matrix!K$10,xmen[costume],K$9)</f>
        <v>0</v>
      </c>
      <c r="L147">
        <f>SUMIFS(INDEX(xmen[[speech]:[depicted]],,$E$2),xmen[issue],Matrix!$B147,xmen[x],Matrix!L$10,xmen[costume],L$9)</f>
        <v>0</v>
      </c>
      <c r="M147">
        <f t="shared" ca="1" si="26"/>
        <v>146</v>
      </c>
      <c r="O147">
        <f t="shared" ca="1" si="25"/>
        <v>161.125</v>
      </c>
      <c r="P147">
        <f t="shared" ca="1" si="27"/>
        <v>0</v>
      </c>
      <c r="Q147">
        <f t="shared" ca="1" si="27"/>
        <v>0</v>
      </c>
      <c r="R147">
        <f t="shared" ca="1" si="27"/>
        <v>0</v>
      </c>
      <c r="S147">
        <f t="shared" ca="1" si="27"/>
        <v>0</v>
      </c>
      <c r="T147">
        <f t="shared" ca="1" si="27"/>
        <v>0</v>
      </c>
      <c r="U147">
        <f t="shared" ca="1" si="27"/>
        <v>0</v>
      </c>
      <c r="V147">
        <f t="shared" ca="1" si="27"/>
        <v>0</v>
      </c>
      <c r="W147">
        <f t="shared" ca="1" si="27"/>
        <v>0</v>
      </c>
      <c r="X147">
        <f t="shared" ca="1" si="27"/>
        <v>0</v>
      </c>
      <c r="Y147">
        <f t="shared" ca="1" si="27"/>
        <v>0</v>
      </c>
      <c r="Z147">
        <f t="shared" ca="1" si="28"/>
        <v>161.125</v>
      </c>
      <c r="AA147" t="e">
        <f t="shared" si="29"/>
        <v>#N/A</v>
      </c>
      <c r="AB147" t="str">
        <f t="shared" si="30"/>
        <v/>
      </c>
      <c r="AC147">
        <f t="shared" si="31"/>
        <v>0</v>
      </c>
    </row>
    <row r="148" spans="2:29" x14ac:dyDescent="0.3">
      <c r="B148">
        <v>227</v>
      </c>
      <c r="C148">
        <f>SUMIFS(INDEX(xmen[[speech]:[depicted]],,$E$2),xmen[issue],Matrix!$B148,xmen[x],Matrix!C$10,xmen[costume],C$9)</f>
        <v>0</v>
      </c>
      <c r="D148">
        <f>SUMIFS(INDEX(xmen[[speech]:[depicted]],,$E$2),xmen[issue],Matrix!$B148,xmen[x],Matrix!D$10,xmen[costume],D$9)</f>
        <v>0</v>
      </c>
      <c r="E148">
        <f>SUMIFS(INDEX(xmen[[speech]:[depicted]],,$E$2),xmen[issue],Matrix!$B148,xmen[x],Matrix!E$10,xmen[costume],E$9)</f>
        <v>0</v>
      </c>
      <c r="F148">
        <f>SUMIFS(INDEX(xmen[[speech]:[depicted]],,$E$2),xmen[issue],Matrix!$B148,xmen[x],Matrix!F$10,xmen[costume],F$9)</f>
        <v>0</v>
      </c>
      <c r="G148">
        <f>SUMIFS(INDEX(xmen[[speech]:[depicted]],,$E$2),xmen[issue],Matrix!$B148,xmen[x],Matrix!G$10,xmen[costume],G$9)</f>
        <v>0</v>
      </c>
      <c r="H148">
        <f>SUMIFS(INDEX(xmen[[speech]:[depicted]],,$E$2),xmen[issue],Matrix!$B148,xmen[x],Matrix!H$10,xmen[costume],H$9)</f>
        <v>0</v>
      </c>
      <c r="I148">
        <f>SUMIFS(INDEX(xmen[[speech]:[depicted]],,$E$2),xmen[issue],Matrix!$B148,xmen[x],Matrix!I$10,xmen[costume],I$9)</f>
        <v>0</v>
      </c>
      <c r="J148">
        <f>SUMIFS(INDEX(xmen[[speech]:[depicted]],,$E$2),xmen[issue],Matrix!$B148,xmen[x],Matrix!J$10,xmen[costume],J$9)</f>
        <v>0</v>
      </c>
      <c r="K148">
        <f>SUMIFS(INDEX(xmen[[speech]:[depicted]],,$E$2),xmen[issue],Matrix!$B148,xmen[x],Matrix!K$10,xmen[costume],K$9)</f>
        <v>0</v>
      </c>
      <c r="L148">
        <f>SUMIFS(INDEX(xmen[[speech]:[depicted]],,$E$2),xmen[issue],Matrix!$B148,xmen[x],Matrix!L$10,xmen[costume],L$9)</f>
        <v>0</v>
      </c>
      <c r="M148">
        <f t="shared" ca="1" si="26"/>
        <v>156</v>
      </c>
      <c r="O148">
        <f t="shared" ca="1" si="25"/>
        <v>158.75</v>
      </c>
      <c r="P148">
        <f t="shared" ca="1" si="27"/>
        <v>0</v>
      </c>
      <c r="Q148">
        <f t="shared" ca="1" si="27"/>
        <v>0</v>
      </c>
      <c r="R148">
        <f t="shared" ca="1" si="27"/>
        <v>0</v>
      </c>
      <c r="S148">
        <f t="shared" ca="1" si="27"/>
        <v>0</v>
      </c>
      <c r="T148">
        <f t="shared" ca="1" si="27"/>
        <v>0</v>
      </c>
      <c r="U148">
        <f t="shared" ca="1" si="27"/>
        <v>0</v>
      </c>
      <c r="V148">
        <f t="shared" ca="1" si="27"/>
        <v>0</v>
      </c>
      <c r="W148">
        <f t="shared" ca="1" si="27"/>
        <v>0</v>
      </c>
      <c r="X148">
        <f t="shared" ca="1" si="27"/>
        <v>0.25</v>
      </c>
      <c r="Y148">
        <f t="shared" ca="1" si="27"/>
        <v>0</v>
      </c>
      <c r="Z148">
        <f t="shared" ca="1" si="28"/>
        <v>159</v>
      </c>
      <c r="AA148" t="e">
        <f t="shared" si="29"/>
        <v>#N/A</v>
      </c>
      <c r="AB148" t="str">
        <f t="shared" si="30"/>
        <v/>
      </c>
      <c r="AC148">
        <f t="shared" si="31"/>
        <v>0</v>
      </c>
    </row>
    <row r="149" spans="2:29" x14ac:dyDescent="0.3">
      <c r="B149">
        <v>228</v>
      </c>
      <c r="C149">
        <f>SUMIFS(INDEX(xmen[[speech]:[depicted]],,$E$2),xmen[issue],Matrix!$B149,xmen[x],Matrix!C$10,xmen[costume],C$9)</f>
        <v>0</v>
      </c>
      <c r="D149">
        <f>SUMIFS(INDEX(xmen[[speech]:[depicted]],,$E$2),xmen[issue],Matrix!$B149,xmen[x],Matrix!D$10,xmen[costume],D$9)</f>
        <v>0</v>
      </c>
      <c r="E149">
        <f>SUMIFS(INDEX(xmen[[speech]:[depicted]],,$E$2),xmen[issue],Matrix!$B149,xmen[x],Matrix!E$10,xmen[costume],E$9)</f>
        <v>0</v>
      </c>
      <c r="F149">
        <f>SUMIFS(INDEX(xmen[[speech]:[depicted]],,$E$2),xmen[issue],Matrix!$B149,xmen[x],Matrix!F$10,xmen[costume],F$9)</f>
        <v>0</v>
      </c>
      <c r="G149">
        <f>SUMIFS(INDEX(xmen[[speech]:[depicted]],,$E$2),xmen[issue],Matrix!$B149,xmen[x],Matrix!G$10,xmen[costume],G$9)</f>
        <v>0</v>
      </c>
      <c r="H149">
        <f>SUMIFS(INDEX(xmen[[speech]:[depicted]],,$E$2),xmen[issue],Matrix!$B149,xmen[x],Matrix!H$10,xmen[costume],H$9)</f>
        <v>0</v>
      </c>
      <c r="I149">
        <f>SUMIFS(INDEX(xmen[[speech]:[depicted]],,$E$2),xmen[issue],Matrix!$B149,xmen[x],Matrix!I$10,xmen[costume],I$9)</f>
        <v>0</v>
      </c>
      <c r="J149">
        <f>SUMIFS(INDEX(xmen[[speech]:[depicted]],,$E$2),xmen[issue],Matrix!$B149,xmen[x],Matrix!J$10,xmen[costume],J$9)</f>
        <v>0</v>
      </c>
      <c r="K149">
        <f>SUMIFS(INDEX(xmen[[speech]:[depicted]],,$E$2),xmen[issue],Matrix!$B149,xmen[x],Matrix!K$10,xmen[costume],K$9)</f>
        <v>0</v>
      </c>
      <c r="L149">
        <f>SUMIFS(INDEX(xmen[[speech]:[depicted]],,$E$2),xmen[issue],Matrix!$B149,xmen[x],Matrix!L$10,xmen[costume],L$9)</f>
        <v>0</v>
      </c>
      <c r="M149">
        <f t="shared" ca="1" si="26"/>
        <v>171</v>
      </c>
      <c r="O149">
        <f t="shared" ca="1" si="25"/>
        <v>156.25</v>
      </c>
      <c r="P149">
        <f t="shared" ca="1" si="27"/>
        <v>0</v>
      </c>
      <c r="Q149">
        <f t="shared" ca="1" si="27"/>
        <v>0</v>
      </c>
      <c r="R149">
        <f t="shared" ca="1" si="27"/>
        <v>0</v>
      </c>
      <c r="S149">
        <f t="shared" ca="1" si="27"/>
        <v>0</v>
      </c>
      <c r="T149">
        <f t="shared" ca="1" si="27"/>
        <v>0</v>
      </c>
      <c r="U149">
        <f t="shared" ca="1" si="27"/>
        <v>0</v>
      </c>
      <c r="V149">
        <f t="shared" ca="1" si="27"/>
        <v>0</v>
      </c>
      <c r="W149">
        <f t="shared" ca="1" si="27"/>
        <v>0</v>
      </c>
      <c r="X149">
        <f t="shared" ca="1" si="27"/>
        <v>0.25</v>
      </c>
      <c r="Y149">
        <f t="shared" ca="1" si="27"/>
        <v>0</v>
      </c>
      <c r="Z149">
        <f t="shared" ca="1" si="28"/>
        <v>156.5</v>
      </c>
      <c r="AA149" t="e">
        <f t="shared" si="29"/>
        <v>#N/A</v>
      </c>
      <c r="AB149" t="str">
        <f t="shared" si="30"/>
        <v/>
      </c>
      <c r="AC149">
        <f t="shared" si="31"/>
        <v>0</v>
      </c>
    </row>
    <row r="150" spans="2:29" x14ac:dyDescent="0.3">
      <c r="B150">
        <v>229</v>
      </c>
      <c r="C150">
        <f>SUMIFS(INDEX(xmen[[speech]:[depicted]],,$E$2),xmen[issue],Matrix!$B150,xmen[x],Matrix!C$10,xmen[costume],C$9)</f>
        <v>0</v>
      </c>
      <c r="D150">
        <f>SUMIFS(INDEX(xmen[[speech]:[depicted]],,$E$2),xmen[issue],Matrix!$B150,xmen[x],Matrix!D$10,xmen[costume],D$9)</f>
        <v>0</v>
      </c>
      <c r="E150">
        <f>SUMIFS(INDEX(xmen[[speech]:[depicted]],,$E$2),xmen[issue],Matrix!$B150,xmen[x],Matrix!E$10,xmen[costume],E$9)</f>
        <v>0</v>
      </c>
      <c r="F150">
        <f>SUMIFS(INDEX(xmen[[speech]:[depicted]],,$E$2),xmen[issue],Matrix!$B150,xmen[x],Matrix!F$10,xmen[costume],F$9)</f>
        <v>0</v>
      </c>
      <c r="G150">
        <f>SUMIFS(INDEX(xmen[[speech]:[depicted]],,$E$2),xmen[issue],Matrix!$B150,xmen[x],Matrix!G$10,xmen[costume],G$9)</f>
        <v>0</v>
      </c>
      <c r="H150">
        <f>SUMIFS(INDEX(xmen[[speech]:[depicted]],,$E$2),xmen[issue],Matrix!$B150,xmen[x],Matrix!H$10,xmen[costume],H$9)</f>
        <v>0</v>
      </c>
      <c r="I150">
        <f>SUMIFS(INDEX(xmen[[speech]:[depicted]],,$E$2),xmen[issue],Matrix!$B150,xmen[x],Matrix!I$10,xmen[costume],I$9)</f>
        <v>0</v>
      </c>
      <c r="J150">
        <f>SUMIFS(INDEX(xmen[[speech]:[depicted]],,$E$2),xmen[issue],Matrix!$B150,xmen[x],Matrix!J$10,xmen[costume],J$9)</f>
        <v>0</v>
      </c>
      <c r="K150">
        <f>SUMIFS(INDEX(xmen[[speech]:[depicted]],,$E$2),xmen[issue],Matrix!$B150,xmen[x],Matrix!K$10,xmen[costume],K$9)</f>
        <v>0</v>
      </c>
      <c r="L150">
        <f>SUMIFS(INDEX(xmen[[speech]:[depicted]],,$E$2),xmen[issue],Matrix!$B150,xmen[x],Matrix!L$10,xmen[costume],L$9)</f>
        <v>0</v>
      </c>
      <c r="M150">
        <f t="shared" ca="1" si="26"/>
        <v>164</v>
      </c>
      <c r="O150">
        <f t="shared" ca="1" si="25"/>
        <v>156.5</v>
      </c>
      <c r="P150">
        <f t="shared" ref="P150:Y158" ca="1" si="32">AVERAGE(OFFSET(INDEX($C150:$M150,P$9),-$P$3,,$P$2,1))</f>
        <v>0</v>
      </c>
      <c r="Q150">
        <f t="shared" ca="1" si="32"/>
        <v>0</v>
      </c>
      <c r="R150">
        <f t="shared" ca="1" si="32"/>
        <v>0</v>
      </c>
      <c r="S150">
        <f t="shared" ca="1" si="32"/>
        <v>0</v>
      </c>
      <c r="T150">
        <f t="shared" ca="1" si="32"/>
        <v>0</v>
      </c>
      <c r="U150">
        <f t="shared" ca="1" si="32"/>
        <v>0</v>
      </c>
      <c r="V150">
        <f t="shared" ca="1" si="32"/>
        <v>0</v>
      </c>
      <c r="W150">
        <f t="shared" ca="1" si="32"/>
        <v>0</v>
      </c>
      <c r="X150">
        <f t="shared" ca="1" si="32"/>
        <v>0.25</v>
      </c>
      <c r="Y150">
        <f t="shared" ca="1" si="32"/>
        <v>0</v>
      </c>
      <c r="Z150">
        <f t="shared" ca="1" si="28"/>
        <v>156.75</v>
      </c>
      <c r="AA150" t="e">
        <f t="shared" si="29"/>
        <v>#N/A</v>
      </c>
      <c r="AB150" t="str">
        <f t="shared" si="30"/>
        <v/>
      </c>
      <c r="AC150">
        <f t="shared" si="31"/>
        <v>0</v>
      </c>
    </row>
    <row r="151" spans="2:29" x14ac:dyDescent="0.3">
      <c r="B151">
        <v>230</v>
      </c>
      <c r="C151">
        <f>SUMIFS(INDEX(xmen[[speech]:[depicted]],,$E$2),xmen[issue],Matrix!$B151,xmen[x],Matrix!C$10,xmen[costume],C$9)</f>
        <v>0</v>
      </c>
      <c r="D151">
        <f>SUMIFS(INDEX(xmen[[speech]:[depicted]],,$E$2),xmen[issue],Matrix!$B151,xmen[x],Matrix!D$10,xmen[costume],D$9)</f>
        <v>0</v>
      </c>
      <c r="E151">
        <f>SUMIFS(INDEX(xmen[[speech]:[depicted]],,$E$2),xmen[issue],Matrix!$B151,xmen[x],Matrix!E$10,xmen[costume],E$9)</f>
        <v>0</v>
      </c>
      <c r="F151">
        <f>SUMIFS(INDEX(xmen[[speech]:[depicted]],,$E$2),xmen[issue],Matrix!$B151,xmen[x],Matrix!F$10,xmen[costume],F$9)</f>
        <v>0</v>
      </c>
      <c r="G151">
        <f>SUMIFS(INDEX(xmen[[speech]:[depicted]],,$E$2),xmen[issue],Matrix!$B151,xmen[x],Matrix!G$10,xmen[costume],G$9)</f>
        <v>0</v>
      </c>
      <c r="H151">
        <f>SUMIFS(INDEX(xmen[[speech]:[depicted]],,$E$2),xmen[issue],Matrix!$B151,xmen[x],Matrix!H$10,xmen[costume],H$9)</f>
        <v>0</v>
      </c>
      <c r="I151">
        <f>SUMIFS(INDEX(xmen[[speech]:[depicted]],,$E$2),xmen[issue],Matrix!$B151,xmen[x],Matrix!I$10,xmen[costume],I$9)</f>
        <v>0</v>
      </c>
      <c r="J151">
        <f>SUMIFS(INDEX(xmen[[speech]:[depicted]],,$E$2),xmen[issue],Matrix!$B151,xmen[x],Matrix!J$10,xmen[costume],J$9)</f>
        <v>0</v>
      </c>
      <c r="K151">
        <f>SUMIFS(INDEX(xmen[[speech]:[depicted]],,$E$2),xmen[issue],Matrix!$B151,xmen[x],Matrix!K$10,xmen[costume],K$9)</f>
        <v>2</v>
      </c>
      <c r="L151">
        <f>SUMIFS(INDEX(xmen[[speech]:[depicted]],,$E$2),xmen[issue],Matrix!$B151,xmen[x],Matrix!L$10,xmen[costume],L$9)</f>
        <v>0</v>
      </c>
      <c r="M151">
        <f t="shared" ca="1" si="26"/>
        <v>150</v>
      </c>
      <c r="O151">
        <f t="shared" ca="1" si="25"/>
        <v>155.625</v>
      </c>
      <c r="P151">
        <f t="shared" ca="1" si="32"/>
        <v>0</v>
      </c>
      <c r="Q151">
        <f t="shared" ca="1" si="32"/>
        <v>0</v>
      </c>
      <c r="R151">
        <f t="shared" ca="1" si="32"/>
        <v>0</v>
      </c>
      <c r="S151">
        <f t="shared" ca="1" si="32"/>
        <v>0</v>
      </c>
      <c r="T151">
        <f t="shared" ca="1" si="32"/>
        <v>0</v>
      </c>
      <c r="U151">
        <f t="shared" ca="1" si="32"/>
        <v>0</v>
      </c>
      <c r="V151">
        <f t="shared" ca="1" si="32"/>
        <v>0</v>
      </c>
      <c r="W151">
        <f t="shared" ca="1" si="32"/>
        <v>0</v>
      </c>
      <c r="X151">
        <f t="shared" ca="1" si="32"/>
        <v>0.25</v>
      </c>
      <c r="Y151">
        <f t="shared" ca="1" si="32"/>
        <v>0</v>
      </c>
      <c r="Z151">
        <f t="shared" ca="1" si="28"/>
        <v>155.875</v>
      </c>
      <c r="AA151" t="e">
        <f t="shared" si="29"/>
        <v>#N/A</v>
      </c>
      <c r="AB151" t="str">
        <f t="shared" si="30"/>
        <v/>
      </c>
      <c r="AC151">
        <f t="shared" si="31"/>
        <v>0</v>
      </c>
    </row>
    <row r="152" spans="2:29" x14ac:dyDescent="0.3">
      <c r="B152">
        <v>231</v>
      </c>
      <c r="C152">
        <f>SUMIFS(INDEX(xmen[[speech]:[depicted]],,$E$2),xmen[issue],Matrix!$B152,xmen[x],Matrix!C$10,xmen[costume],C$9)</f>
        <v>0</v>
      </c>
      <c r="D152">
        <f>SUMIFS(INDEX(xmen[[speech]:[depicted]],,$E$2),xmen[issue],Matrix!$B152,xmen[x],Matrix!D$10,xmen[costume],D$9)</f>
        <v>0</v>
      </c>
      <c r="E152">
        <f>SUMIFS(INDEX(xmen[[speech]:[depicted]],,$E$2),xmen[issue],Matrix!$B152,xmen[x],Matrix!E$10,xmen[costume],E$9)</f>
        <v>0</v>
      </c>
      <c r="F152">
        <f>SUMIFS(INDEX(xmen[[speech]:[depicted]],,$E$2),xmen[issue],Matrix!$B152,xmen[x],Matrix!F$10,xmen[costume],F$9)</f>
        <v>0</v>
      </c>
      <c r="G152">
        <f>SUMIFS(INDEX(xmen[[speech]:[depicted]],,$E$2),xmen[issue],Matrix!$B152,xmen[x],Matrix!G$10,xmen[costume],G$9)</f>
        <v>0</v>
      </c>
      <c r="H152">
        <f>SUMIFS(INDEX(xmen[[speech]:[depicted]],,$E$2),xmen[issue],Matrix!$B152,xmen[x],Matrix!H$10,xmen[costume],H$9)</f>
        <v>0</v>
      </c>
      <c r="I152">
        <f>SUMIFS(INDEX(xmen[[speech]:[depicted]],,$E$2),xmen[issue],Matrix!$B152,xmen[x],Matrix!I$10,xmen[costume],I$9)</f>
        <v>0</v>
      </c>
      <c r="J152">
        <f>SUMIFS(INDEX(xmen[[speech]:[depicted]],,$E$2),xmen[issue],Matrix!$B152,xmen[x],Matrix!J$10,xmen[costume],J$9)</f>
        <v>0</v>
      </c>
      <c r="K152">
        <f>SUMIFS(INDEX(xmen[[speech]:[depicted]],,$E$2),xmen[issue],Matrix!$B152,xmen[x],Matrix!K$10,xmen[costume],K$9)</f>
        <v>0</v>
      </c>
      <c r="L152">
        <f>SUMIFS(INDEX(xmen[[speech]:[depicted]],,$E$2),xmen[issue],Matrix!$B152,xmen[x],Matrix!L$10,xmen[costume],L$9)</f>
        <v>0</v>
      </c>
      <c r="M152">
        <f t="shared" ca="1" si="26"/>
        <v>147</v>
      </c>
      <c r="O152">
        <f t="shared" ca="1" si="25"/>
        <v>157.5625</v>
      </c>
      <c r="P152">
        <f t="shared" ca="1" si="32"/>
        <v>0.125</v>
      </c>
      <c r="Q152">
        <f t="shared" ca="1" si="32"/>
        <v>0</v>
      </c>
      <c r="R152">
        <f t="shared" ca="1" si="32"/>
        <v>0</v>
      </c>
      <c r="S152">
        <f t="shared" ca="1" si="32"/>
        <v>0</v>
      </c>
      <c r="T152">
        <f t="shared" ca="1" si="32"/>
        <v>0</v>
      </c>
      <c r="U152">
        <f t="shared" ca="1" si="32"/>
        <v>0</v>
      </c>
      <c r="V152">
        <f t="shared" ca="1" si="32"/>
        <v>0</v>
      </c>
      <c r="W152">
        <f t="shared" ca="1" si="32"/>
        <v>0</v>
      </c>
      <c r="X152">
        <f t="shared" ca="1" si="32"/>
        <v>0.25</v>
      </c>
      <c r="Y152">
        <f t="shared" ca="1" si="32"/>
        <v>0</v>
      </c>
      <c r="Z152">
        <f t="shared" ca="1" si="28"/>
        <v>157.9375</v>
      </c>
      <c r="AA152" t="e">
        <f t="shared" si="29"/>
        <v>#N/A</v>
      </c>
      <c r="AB152" t="str">
        <f t="shared" si="30"/>
        <v/>
      </c>
      <c r="AC152">
        <f t="shared" si="31"/>
        <v>0</v>
      </c>
    </row>
    <row r="153" spans="2:29" x14ac:dyDescent="0.3">
      <c r="B153">
        <v>232</v>
      </c>
      <c r="C153">
        <f>SUMIFS(INDEX(xmen[[speech]:[depicted]],,$E$2),xmen[issue],Matrix!$B153,xmen[x],Matrix!C$10,xmen[costume],C$9)</f>
        <v>0</v>
      </c>
      <c r="D153">
        <f>SUMIFS(INDEX(xmen[[speech]:[depicted]],,$E$2),xmen[issue],Matrix!$B153,xmen[x],Matrix!D$10,xmen[costume],D$9)</f>
        <v>0</v>
      </c>
      <c r="E153">
        <f>SUMIFS(INDEX(xmen[[speech]:[depicted]],,$E$2),xmen[issue],Matrix!$B153,xmen[x],Matrix!E$10,xmen[costume],E$9)</f>
        <v>0</v>
      </c>
      <c r="F153">
        <f>SUMIFS(INDEX(xmen[[speech]:[depicted]],,$E$2),xmen[issue],Matrix!$B153,xmen[x],Matrix!F$10,xmen[costume],F$9)</f>
        <v>0</v>
      </c>
      <c r="G153">
        <f>SUMIFS(INDEX(xmen[[speech]:[depicted]],,$E$2),xmen[issue],Matrix!$B153,xmen[x],Matrix!G$10,xmen[costume],G$9)</f>
        <v>0</v>
      </c>
      <c r="H153">
        <f>SUMIFS(INDEX(xmen[[speech]:[depicted]],,$E$2),xmen[issue],Matrix!$B153,xmen[x],Matrix!H$10,xmen[costume],H$9)</f>
        <v>0</v>
      </c>
      <c r="I153">
        <f>SUMIFS(INDEX(xmen[[speech]:[depicted]],,$E$2),xmen[issue],Matrix!$B153,xmen[x],Matrix!I$10,xmen[costume],I$9)</f>
        <v>0</v>
      </c>
      <c r="J153">
        <f>SUMIFS(INDEX(xmen[[speech]:[depicted]],,$E$2),xmen[issue],Matrix!$B153,xmen[x],Matrix!J$10,xmen[costume],J$9)</f>
        <v>0</v>
      </c>
      <c r="K153">
        <f>SUMIFS(INDEX(xmen[[speech]:[depicted]],,$E$2),xmen[issue],Matrix!$B153,xmen[x],Matrix!K$10,xmen[costume],K$9)</f>
        <v>0</v>
      </c>
      <c r="L153">
        <f>SUMIFS(INDEX(xmen[[speech]:[depicted]],,$E$2),xmen[issue],Matrix!$B153,xmen[x],Matrix!L$10,xmen[costume],L$9)</f>
        <v>0</v>
      </c>
      <c r="M153">
        <f t="shared" ca="1" si="26"/>
        <v>147</v>
      </c>
      <c r="O153">
        <f t="shared" ca="1" si="25"/>
        <v>157.75</v>
      </c>
      <c r="P153">
        <f t="shared" ca="1" si="32"/>
        <v>0.25</v>
      </c>
      <c r="Q153">
        <f t="shared" ca="1" si="32"/>
        <v>0</v>
      </c>
      <c r="R153">
        <f t="shared" ca="1" si="32"/>
        <v>0</v>
      </c>
      <c r="S153">
        <f t="shared" ca="1" si="32"/>
        <v>0</v>
      </c>
      <c r="T153">
        <f t="shared" ca="1" si="32"/>
        <v>0</v>
      </c>
      <c r="U153">
        <f t="shared" ca="1" si="32"/>
        <v>0</v>
      </c>
      <c r="V153">
        <f t="shared" ca="1" si="32"/>
        <v>0</v>
      </c>
      <c r="W153">
        <f t="shared" ca="1" si="32"/>
        <v>0</v>
      </c>
      <c r="X153">
        <f t="shared" ca="1" si="32"/>
        <v>0.25</v>
      </c>
      <c r="Y153">
        <f t="shared" ca="1" si="32"/>
        <v>0</v>
      </c>
      <c r="Z153">
        <f t="shared" ca="1" si="28"/>
        <v>158.25</v>
      </c>
      <c r="AA153" t="e">
        <f t="shared" si="29"/>
        <v>#N/A</v>
      </c>
      <c r="AB153" t="str">
        <f t="shared" si="30"/>
        <v/>
      </c>
      <c r="AC153">
        <f t="shared" si="31"/>
        <v>0</v>
      </c>
    </row>
    <row r="154" spans="2:29" x14ac:dyDescent="0.3">
      <c r="B154">
        <v>233</v>
      </c>
      <c r="C154">
        <f>SUMIFS(INDEX(xmen[[speech]:[depicted]],,$E$2),xmen[issue],Matrix!$B154,xmen[x],Matrix!C$10,xmen[costume],C$9)</f>
        <v>0</v>
      </c>
      <c r="D154">
        <f>SUMIFS(INDEX(xmen[[speech]:[depicted]],,$E$2),xmen[issue],Matrix!$B154,xmen[x],Matrix!D$10,xmen[costume],D$9)</f>
        <v>0</v>
      </c>
      <c r="E154">
        <f>SUMIFS(INDEX(xmen[[speech]:[depicted]],,$E$2),xmen[issue],Matrix!$B154,xmen[x],Matrix!E$10,xmen[costume],E$9)</f>
        <v>0</v>
      </c>
      <c r="F154">
        <f>SUMIFS(INDEX(xmen[[speech]:[depicted]],,$E$2),xmen[issue],Matrix!$B154,xmen[x],Matrix!F$10,xmen[costume],F$9)</f>
        <v>0</v>
      </c>
      <c r="G154">
        <f>SUMIFS(INDEX(xmen[[speech]:[depicted]],,$E$2),xmen[issue],Matrix!$B154,xmen[x],Matrix!G$10,xmen[costume],G$9)</f>
        <v>0</v>
      </c>
      <c r="H154">
        <f>SUMIFS(INDEX(xmen[[speech]:[depicted]],,$E$2),xmen[issue],Matrix!$B154,xmen[x],Matrix!H$10,xmen[costume],H$9)</f>
        <v>0</v>
      </c>
      <c r="I154">
        <f>SUMIFS(INDEX(xmen[[speech]:[depicted]],,$E$2),xmen[issue],Matrix!$B154,xmen[x],Matrix!I$10,xmen[costume],I$9)</f>
        <v>0</v>
      </c>
      <c r="J154">
        <f>SUMIFS(INDEX(xmen[[speech]:[depicted]],,$E$2),xmen[issue],Matrix!$B154,xmen[x],Matrix!J$10,xmen[costume],J$9)</f>
        <v>0</v>
      </c>
      <c r="K154">
        <f>SUMIFS(INDEX(xmen[[speech]:[depicted]],,$E$2),xmen[issue],Matrix!$B154,xmen[x],Matrix!K$10,xmen[costume],K$9)</f>
        <v>0</v>
      </c>
      <c r="L154">
        <f>SUMIFS(INDEX(xmen[[speech]:[depicted]],,$E$2),xmen[issue],Matrix!$B154,xmen[x],Matrix!L$10,xmen[costume],L$9)</f>
        <v>0</v>
      </c>
      <c r="M154">
        <f t="shared" ca="1" si="26"/>
        <v>164</v>
      </c>
      <c r="O154">
        <f t="shared" ca="1" si="25"/>
        <v>155</v>
      </c>
      <c r="P154">
        <f t="shared" ca="1" si="32"/>
        <v>0.25</v>
      </c>
      <c r="Q154">
        <f t="shared" ca="1" si="32"/>
        <v>0</v>
      </c>
      <c r="R154">
        <f t="shared" ca="1" si="32"/>
        <v>0</v>
      </c>
      <c r="S154">
        <f t="shared" ca="1" si="32"/>
        <v>0</v>
      </c>
      <c r="T154">
        <f t="shared" ca="1" si="32"/>
        <v>0</v>
      </c>
      <c r="U154">
        <f t="shared" ca="1" si="32"/>
        <v>0</v>
      </c>
      <c r="V154">
        <f t="shared" ca="1" si="32"/>
        <v>0</v>
      </c>
      <c r="W154">
        <f t="shared" ca="1" si="32"/>
        <v>0</v>
      </c>
      <c r="X154">
        <f t="shared" ca="1" si="32"/>
        <v>0.25</v>
      </c>
      <c r="Y154">
        <f t="shared" ca="1" si="32"/>
        <v>0</v>
      </c>
      <c r="Z154">
        <f t="shared" ca="1" si="28"/>
        <v>155.5</v>
      </c>
      <c r="AA154" t="e">
        <f t="shared" si="29"/>
        <v>#N/A</v>
      </c>
      <c r="AB154" t="str">
        <f t="shared" si="30"/>
        <v/>
      </c>
      <c r="AC154">
        <f t="shared" si="31"/>
        <v>0</v>
      </c>
    </row>
    <row r="155" spans="2:29" x14ac:dyDescent="0.3">
      <c r="B155">
        <v>234</v>
      </c>
      <c r="C155">
        <f>SUMIFS(INDEX(xmen[[speech]:[depicted]],,$E$2),xmen[issue],Matrix!$B155,xmen[x],Matrix!C$10,xmen[costume],C$9)</f>
        <v>0</v>
      </c>
      <c r="D155">
        <f>SUMIFS(INDEX(xmen[[speech]:[depicted]],,$E$2),xmen[issue],Matrix!$B155,xmen[x],Matrix!D$10,xmen[costume],D$9)</f>
        <v>0</v>
      </c>
      <c r="E155">
        <f>SUMIFS(INDEX(xmen[[speech]:[depicted]],,$E$2),xmen[issue],Matrix!$B155,xmen[x],Matrix!E$10,xmen[costume],E$9)</f>
        <v>0</v>
      </c>
      <c r="F155">
        <f>SUMIFS(INDEX(xmen[[speech]:[depicted]],,$E$2),xmen[issue],Matrix!$B155,xmen[x],Matrix!F$10,xmen[costume],F$9)</f>
        <v>0</v>
      </c>
      <c r="G155">
        <f>SUMIFS(INDEX(xmen[[speech]:[depicted]],,$E$2),xmen[issue],Matrix!$B155,xmen[x],Matrix!G$10,xmen[costume],G$9)</f>
        <v>0</v>
      </c>
      <c r="H155">
        <f>SUMIFS(INDEX(xmen[[speech]:[depicted]],,$E$2),xmen[issue],Matrix!$B155,xmen[x],Matrix!H$10,xmen[costume],H$9)</f>
        <v>0</v>
      </c>
      <c r="I155">
        <f>SUMIFS(INDEX(xmen[[speech]:[depicted]],,$E$2),xmen[issue],Matrix!$B155,xmen[x],Matrix!I$10,xmen[costume],I$9)</f>
        <v>1</v>
      </c>
      <c r="J155">
        <f>SUMIFS(INDEX(xmen[[speech]:[depicted]],,$E$2),xmen[issue],Matrix!$B155,xmen[x],Matrix!J$10,xmen[costume],J$9)</f>
        <v>0</v>
      </c>
      <c r="K155">
        <f>SUMIFS(INDEX(xmen[[speech]:[depicted]],,$E$2),xmen[issue],Matrix!$B155,xmen[x],Matrix!K$10,xmen[costume],K$9)</f>
        <v>0</v>
      </c>
      <c r="L155">
        <f>SUMIFS(INDEX(xmen[[speech]:[depicted]],,$E$2),xmen[issue],Matrix!$B155,xmen[x],Matrix!L$10,xmen[costume],L$9)</f>
        <v>0</v>
      </c>
      <c r="M155">
        <f t="shared" ca="1" si="26"/>
        <v>161.5</v>
      </c>
      <c r="O155">
        <f t="shared" ca="1" si="25"/>
        <v>154.625</v>
      </c>
      <c r="P155">
        <f t="shared" ca="1" si="32"/>
        <v>0.25</v>
      </c>
      <c r="Q155">
        <f t="shared" ca="1" si="32"/>
        <v>0</v>
      </c>
      <c r="R155">
        <f t="shared" ca="1" si="32"/>
        <v>0</v>
      </c>
      <c r="S155">
        <f t="shared" ca="1" si="32"/>
        <v>0</v>
      </c>
      <c r="T155">
        <f t="shared" ca="1" si="32"/>
        <v>0</v>
      </c>
      <c r="U155">
        <f t="shared" ca="1" si="32"/>
        <v>0</v>
      </c>
      <c r="V155">
        <f t="shared" ca="1" si="32"/>
        <v>0</v>
      </c>
      <c r="W155">
        <f t="shared" ca="1" si="32"/>
        <v>0</v>
      </c>
      <c r="X155">
        <f t="shared" ca="1" si="32"/>
        <v>0.25</v>
      </c>
      <c r="Y155">
        <f t="shared" ca="1" si="32"/>
        <v>0</v>
      </c>
      <c r="Z155">
        <f t="shared" ca="1" si="28"/>
        <v>155.125</v>
      </c>
      <c r="AA155" t="e">
        <f t="shared" si="29"/>
        <v>#N/A</v>
      </c>
      <c r="AB155" t="str">
        <f t="shared" si="30"/>
        <v/>
      </c>
      <c r="AC155">
        <f t="shared" si="31"/>
        <v>0</v>
      </c>
    </row>
    <row r="156" spans="2:29" x14ac:dyDescent="0.3">
      <c r="B156">
        <v>235</v>
      </c>
      <c r="C156">
        <f>SUMIFS(INDEX(xmen[[speech]:[depicted]],,$E$2),xmen[issue],Matrix!$B156,xmen[x],Matrix!C$10,xmen[costume],C$9)</f>
        <v>0</v>
      </c>
      <c r="D156">
        <f>SUMIFS(INDEX(xmen[[speech]:[depicted]],,$E$2),xmen[issue],Matrix!$B156,xmen[x],Matrix!D$10,xmen[costume],D$9)</f>
        <v>0</v>
      </c>
      <c r="E156">
        <f>SUMIFS(INDEX(xmen[[speech]:[depicted]],,$E$2),xmen[issue],Matrix!$B156,xmen[x],Matrix!E$10,xmen[costume],E$9)</f>
        <v>0</v>
      </c>
      <c r="F156">
        <f>SUMIFS(INDEX(xmen[[speech]:[depicted]],,$E$2),xmen[issue],Matrix!$B156,xmen[x],Matrix!F$10,xmen[costume],F$9)</f>
        <v>0</v>
      </c>
      <c r="G156">
        <f>SUMIFS(INDEX(xmen[[speech]:[depicted]],,$E$2),xmen[issue],Matrix!$B156,xmen[x],Matrix!G$10,xmen[costume],G$9)</f>
        <v>0</v>
      </c>
      <c r="H156">
        <f>SUMIFS(INDEX(xmen[[speech]:[depicted]],,$E$2),xmen[issue],Matrix!$B156,xmen[x],Matrix!H$10,xmen[costume],H$9)</f>
        <v>0</v>
      </c>
      <c r="I156">
        <f>SUMIFS(INDEX(xmen[[speech]:[depicted]],,$E$2),xmen[issue],Matrix!$B156,xmen[x],Matrix!I$10,xmen[costume],I$9)</f>
        <v>1</v>
      </c>
      <c r="J156">
        <f>SUMIFS(INDEX(xmen[[speech]:[depicted]],,$E$2),xmen[issue],Matrix!$B156,xmen[x],Matrix!J$10,xmen[costume],J$9)</f>
        <v>0</v>
      </c>
      <c r="K156">
        <f>SUMIFS(INDEX(xmen[[speech]:[depicted]],,$E$2),xmen[issue],Matrix!$B156,xmen[x],Matrix!K$10,xmen[costume],K$9)</f>
        <v>0</v>
      </c>
      <c r="L156">
        <f>SUMIFS(INDEX(xmen[[speech]:[depicted]],,$E$2),xmen[issue],Matrix!$B156,xmen[x],Matrix!L$10,xmen[costume],L$9)</f>
        <v>0</v>
      </c>
      <c r="M156">
        <f t="shared" ca="1" si="26"/>
        <v>157.5</v>
      </c>
      <c r="O156">
        <f t="shared" ca="1" si="25"/>
        <v>156.5</v>
      </c>
      <c r="P156">
        <f t="shared" ca="1" si="32"/>
        <v>0.5</v>
      </c>
      <c r="Q156">
        <f t="shared" ca="1" si="32"/>
        <v>0</v>
      </c>
      <c r="R156">
        <f t="shared" ca="1" si="32"/>
        <v>0</v>
      </c>
      <c r="S156">
        <f t="shared" ca="1" si="32"/>
        <v>0</v>
      </c>
      <c r="T156">
        <f t="shared" ca="1" si="32"/>
        <v>0</v>
      </c>
      <c r="U156">
        <f t="shared" ca="1" si="32"/>
        <v>0</v>
      </c>
      <c r="V156">
        <f t="shared" ca="1" si="32"/>
        <v>0</v>
      </c>
      <c r="W156">
        <f t="shared" ca="1" si="32"/>
        <v>0</v>
      </c>
      <c r="X156">
        <f t="shared" ca="1" si="32"/>
        <v>0</v>
      </c>
      <c r="Y156">
        <f t="shared" ca="1" si="32"/>
        <v>0</v>
      </c>
      <c r="Z156">
        <f t="shared" ca="1" si="28"/>
        <v>157</v>
      </c>
      <c r="AA156" t="e">
        <f t="shared" si="29"/>
        <v>#N/A</v>
      </c>
      <c r="AB156" t="str">
        <f t="shared" si="30"/>
        <v/>
      </c>
      <c r="AC156">
        <f t="shared" si="31"/>
        <v>0</v>
      </c>
    </row>
    <row r="157" spans="2:29" x14ac:dyDescent="0.3">
      <c r="B157">
        <v>236</v>
      </c>
      <c r="C157">
        <f>SUMIFS(INDEX(xmen[[speech]:[depicted]],,$E$2),xmen[issue],Matrix!$B157,xmen[x],Matrix!C$10,xmen[costume],C$9)</f>
        <v>0</v>
      </c>
      <c r="D157">
        <f>SUMIFS(INDEX(xmen[[speech]:[depicted]],,$E$2),xmen[issue],Matrix!$B157,xmen[x],Matrix!D$10,xmen[costume],D$9)</f>
        <v>0</v>
      </c>
      <c r="E157">
        <f>SUMIFS(INDEX(xmen[[speech]:[depicted]],,$E$2),xmen[issue],Matrix!$B157,xmen[x],Matrix!E$10,xmen[costume],E$9)</f>
        <v>0</v>
      </c>
      <c r="F157">
        <f>SUMIFS(INDEX(xmen[[speech]:[depicted]],,$E$2),xmen[issue],Matrix!$B157,xmen[x],Matrix!F$10,xmen[costume],F$9)</f>
        <v>0</v>
      </c>
      <c r="G157">
        <f>SUMIFS(INDEX(xmen[[speech]:[depicted]],,$E$2),xmen[issue],Matrix!$B157,xmen[x],Matrix!G$10,xmen[costume],G$9)</f>
        <v>0</v>
      </c>
      <c r="H157">
        <f>SUMIFS(INDEX(xmen[[speech]:[depicted]],,$E$2),xmen[issue],Matrix!$B157,xmen[x],Matrix!H$10,xmen[costume],H$9)</f>
        <v>0</v>
      </c>
      <c r="I157">
        <f>SUMIFS(INDEX(xmen[[speech]:[depicted]],,$E$2),xmen[issue],Matrix!$B157,xmen[x],Matrix!I$10,xmen[costume],I$9)</f>
        <v>0</v>
      </c>
      <c r="J157">
        <f>SUMIFS(INDEX(xmen[[speech]:[depicted]],,$E$2),xmen[issue],Matrix!$B157,xmen[x],Matrix!J$10,xmen[costume],J$9)</f>
        <v>0</v>
      </c>
      <c r="K157">
        <f>SUMIFS(INDEX(xmen[[speech]:[depicted]],,$E$2),xmen[issue],Matrix!$B157,xmen[x],Matrix!K$10,xmen[costume],K$9)</f>
        <v>0</v>
      </c>
      <c r="L157">
        <f>SUMIFS(INDEX(xmen[[speech]:[depicted]],,$E$2),xmen[issue],Matrix!$B157,xmen[x],Matrix!L$10,xmen[costume],L$9)</f>
        <v>0</v>
      </c>
      <c r="M157">
        <f t="shared" ca="1" si="26"/>
        <v>149</v>
      </c>
      <c r="O157">
        <f t="shared" ca="1" si="25"/>
        <v>157.25</v>
      </c>
      <c r="P157">
        <f t="shared" ca="1" si="32"/>
        <v>0.5</v>
      </c>
      <c r="Q157">
        <f t="shared" ca="1" si="32"/>
        <v>0</v>
      </c>
      <c r="R157">
        <f t="shared" ca="1" si="32"/>
        <v>0</v>
      </c>
      <c r="S157">
        <f t="shared" ca="1" si="32"/>
        <v>0</v>
      </c>
      <c r="T157">
        <f t="shared" ca="1" si="32"/>
        <v>0</v>
      </c>
      <c r="U157">
        <f t="shared" ca="1" si="32"/>
        <v>0</v>
      </c>
      <c r="V157">
        <f t="shared" ca="1" si="32"/>
        <v>0</v>
      </c>
      <c r="W157">
        <f t="shared" ca="1" si="32"/>
        <v>0</v>
      </c>
      <c r="X157">
        <f t="shared" ca="1" si="32"/>
        <v>0</v>
      </c>
      <c r="Y157">
        <f t="shared" ca="1" si="32"/>
        <v>0</v>
      </c>
      <c r="Z157">
        <f t="shared" ca="1" si="28"/>
        <v>157.75</v>
      </c>
      <c r="AA157" t="e">
        <f t="shared" si="29"/>
        <v>#N/A</v>
      </c>
      <c r="AB157" t="str">
        <f t="shared" si="30"/>
        <v/>
      </c>
      <c r="AC157">
        <f t="shared" si="31"/>
        <v>0</v>
      </c>
    </row>
    <row r="158" spans="2:29" x14ac:dyDescent="0.3">
      <c r="B158">
        <v>237</v>
      </c>
      <c r="C158">
        <f>SUMIFS(INDEX(xmen[[speech]:[depicted]],,$E$2),xmen[issue],Matrix!$B158,xmen[x],Matrix!C$10,xmen[costume],C$9)</f>
        <v>0</v>
      </c>
      <c r="D158">
        <f>SUMIFS(INDEX(xmen[[speech]:[depicted]],,$E$2),xmen[issue],Matrix!$B158,xmen[x],Matrix!D$10,xmen[costume],D$9)</f>
        <v>0</v>
      </c>
      <c r="E158">
        <f>SUMIFS(INDEX(xmen[[speech]:[depicted]],,$E$2),xmen[issue],Matrix!$B158,xmen[x],Matrix!E$10,xmen[costume],E$9)</f>
        <v>0</v>
      </c>
      <c r="F158">
        <f>SUMIFS(INDEX(xmen[[speech]:[depicted]],,$E$2),xmen[issue],Matrix!$B158,xmen[x],Matrix!F$10,xmen[costume],F$9)</f>
        <v>0</v>
      </c>
      <c r="G158">
        <f>SUMIFS(INDEX(xmen[[speech]:[depicted]],,$E$2),xmen[issue],Matrix!$B158,xmen[x],Matrix!G$10,xmen[costume],G$9)</f>
        <v>0</v>
      </c>
      <c r="H158">
        <f>SUMIFS(INDEX(xmen[[speech]:[depicted]],,$E$2),xmen[issue],Matrix!$B158,xmen[x],Matrix!H$10,xmen[costume],H$9)</f>
        <v>0</v>
      </c>
      <c r="I158">
        <f>SUMIFS(INDEX(xmen[[speech]:[depicted]],,$E$2),xmen[issue],Matrix!$B158,xmen[x],Matrix!I$10,xmen[costume],I$9)</f>
        <v>0</v>
      </c>
      <c r="J158">
        <f>SUMIFS(INDEX(xmen[[speech]:[depicted]],,$E$2),xmen[issue],Matrix!$B158,xmen[x],Matrix!J$10,xmen[costume],J$9)</f>
        <v>0</v>
      </c>
      <c r="K158">
        <f>SUMIFS(INDEX(xmen[[speech]:[depicted]],,$E$2),xmen[issue],Matrix!$B158,xmen[x],Matrix!K$10,xmen[costume],K$9)</f>
        <v>0</v>
      </c>
      <c r="L158">
        <f>SUMIFS(INDEX(xmen[[speech]:[depicted]],,$E$2),xmen[issue],Matrix!$B158,xmen[x],Matrix!L$10,xmen[costume],L$9)</f>
        <v>0</v>
      </c>
      <c r="M158">
        <f t="shared" ca="1" si="26"/>
        <v>161</v>
      </c>
      <c r="O158">
        <f t="shared" ca="1" si="25"/>
        <v>160</v>
      </c>
      <c r="P158">
        <f t="shared" ca="1" si="32"/>
        <v>0.5</v>
      </c>
      <c r="Q158">
        <f t="shared" ca="1" si="32"/>
        <v>0</v>
      </c>
      <c r="R158">
        <f t="shared" ca="1" si="32"/>
        <v>0</v>
      </c>
      <c r="S158">
        <f t="shared" ca="1" si="32"/>
        <v>0</v>
      </c>
      <c r="T158">
        <f t="shared" ca="1" si="32"/>
        <v>0</v>
      </c>
      <c r="U158">
        <f t="shared" ca="1" si="32"/>
        <v>0</v>
      </c>
      <c r="V158">
        <f t="shared" ca="1" si="32"/>
        <v>0</v>
      </c>
      <c r="W158">
        <f t="shared" ca="1" si="32"/>
        <v>0</v>
      </c>
      <c r="X158">
        <f t="shared" ca="1" si="32"/>
        <v>0</v>
      </c>
      <c r="Y158">
        <f t="shared" ca="1" si="32"/>
        <v>0</v>
      </c>
      <c r="Z158">
        <f t="shared" ca="1" si="28"/>
        <v>160.5</v>
      </c>
      <c r="AA158" t="e">
        <f t="shared" si="29"/>
        <v>#N/A</v>
      </c>
      <c r="AB158" t="str">
        <f t="shared" si="30"/>
        <v/>
      </c>
      <c r="AC158">
        <f t="shared" si="31"/>
        <v>0</v>
      </c>
    </row>
    <row r="159" spans="2:29" x14ac:dyDescent="0.3">
      <c r="B159">
        <v>238</v>
      </c>
      <c r="C159">
        <f>SUMIFS(INDEX(xmen[[speech]:[depicted]],,$E$2),xmen[issue],Matrix!$B159,xmen[x],Matrix!C$10,xmen[costume],C$9)</f>
        <v>0</v>
      </c>
      <c r="D159">
        <f>SUMIFS(INDEX(xmen[[speech]:[depicted]],,$E$2),xmen[issue],Matrix!$B159,xmen[x],Matrix!D$10,xmen[costume],D$9)</f>
        <v>0</v>
      </c>
      <c r="E159">
        <f>SUMIFS(INDEX(xmen[[speech]:[depicted]],,$E$2),xmen[issue],Matrix!$B159,xmen[x],Matrix!E$10,xmen[costume],E$9)</f>
        <v>0</v>
      </c>
      <c r="F159">
        <f>SUMIFS(INDEX(xmen[[speech]:[depicted]],,$E$2),xmen[issue],Matrix!$B159,xmen[x],Matrix!F$10,xmen[costume],F$9)</f>
        <v>0</v>
      </c>
      <c r="G159">
        <f>SUMIFS(INDEX(xmen[[speech]:[depicted]],,$E$2),xmen[issue],Matrix!$B159,xmen[x],Matrix!G$10,xmen[costume],G$9)</f>
        <v>0</v>
      </c>
      <c r="H159">
        <f>SUMIFS(INDEX(xmen[[speech]:[depicted]],,$E$2),xmen[issue],Matrix!$B159,xmen[x],Matrix!H$10,xmen[costume],H$9)</f>
        <v>0</v>
      </c>
      <c r="I159">
        <f>SUMIFS(INDEX(xmen[[speech]:[depicted]],,$E$2),xmen[issue],Matrix!$B159,xmen[x],Matrix!I$10,xmen[costume],I$9)</f>
        <v>2</v>
      </c>
      <c r="J159">
        <f>SUMIFS(INDEX(xmen[[speech]:[depicted]],,$E$2),xmen[issue],Matrix!$B159,xmen[x],Matrix!J$10,xmen[costume],J$9)</f>
        <v>0</v>
      </c>
      <c r="K159">
        <f>SUMIFS(INDEX(xmen[[speech]:[depicted]],,$E$2),xmen[issue],Matrix!$B159,xmen[x],Matrix!K$10,xmen[costume],K$9)</f>
        <v>0</v>
      </c>
      <c r="L159">
        <f>SUMIFS(INDEX(xmen[[speech]:[depicted]],,$E$2),xmen[issue],Matrix!$B159,xmen[x],Matrix!L$10,xmen[costume],L$9)</f>
        <v>0</v>
      </c>
      <c r="M159">
        <f t="shared" ca="1" si="26"/>
        <v>165</v>
      </c>
      <c r="O159">
        <f t="shared" ca="1" si="25"/>
        <v>160.875</v>
      </c>
      <c r="P159">
        <f ca="1">AVERAGE(OFFSET(INDEX($C159:$M159,P$9),-$P$3,,$P$2,1))</f>
        <v>0.5</v>
      </c>
      <c r="Q159">
        <f t="shared" ref="P159:Y174" ca="1" si="33">AVERAGE(OFFSET(INDEX($C159:$M159,Q$9),-$P$3,,$P$2,1))</f>
        <v>0</v>
      </c>
      <c r="R159">
        <f t="shared" ca="1" si="33"/>
        <v>0</v>
      </c>
      <c r="S159">
        <f t="shared" ca="1" si="33"/>
        <v>0</v>
      </c>
      <c r="T159">
        <f t="shared" ca="1" si="33"/>
        <v>0</v>
      </c>
      <c r="U159">
        <f t="shared" ca="1" si="33"/>
        <v>0</v>
      </c>
      <c r="V159">
        <f t="shared" ca="1" si="33"/>
        <v>0</v>
      </c>
      <c r="W159">
        <f t="shared" ca="1" si="33"/>
        <v>0</v>
      </c>
      <c r="X159">
        <f t="shared" ca="1" si="33"/>
        <v>0</v>
      </c>
      <c r="Y159">
        <f t="shared" ca="1" si="33"/>
        <v>0</v>
      </c>
      <c r="Z159">
        <f t="shared" ca="1" si="28"/>
        <v>161.375</v>
      </c>
      <c r="AA159" t="e">
        <f t="shared" si="29"/>
        <v>#N/A</v>
      </c>
      <c r="AB159" t="str">
        <f t="shared" si="30"/>
        <v/>
      </c>
      <c r="AC159">
        <f t="shared" si="31"/>
        <v>0</v>
      </c>
    </row>
    <row r="160" spans="2:29" x14ac:dyDescent="0.3">
      <c r="B160">
        <v>239</v>
      </c>
      <c r="C160">
        <f>SUMIFS(INDEX(xmen[[speech]:[depicted]],,$E$2),xmen[issue],Matrix!$B160,xmen[x],Matrix!C$10,xmen[costume],C$9)</f>
        <v>0</v>
      </c>
      <c r="D160">
        <f>SUMIFS(INDEX(xmen[[speech]:[depicted]],,$E$2),xmen[issue],Matrix!$B160,xmen[x],Matrix!D$10,xmen[costume],D$9)</f>
        <v>0</v>
      </c>
      <c r="E160">
        <f>SUMIFS(INDEX(xmen[[speech]:[depicted]],,$E$2),xmen[issue],Matrix!$B160,xmen[x],Matrix!E$10,xmen[costume],E$9)</f>
        <v>0</v>
      </c>
      <c r="F160">
        <f>SUMIFS(INDEX(xmen[[speech]:[depicted]],,$E$2),xmen[issue],Matrix!$B160,xmen[x],Matrix!F$10,xmen[costume],F$9)</f>
        <v>0</v>
      </c>
      <c r="G160">
        <f>SUMIFS(INDEX(xmen[[speech]:[depicted]],,$E$2),xmen[issue],Matrix!$B160,xmen[x],Matrix!G$10,xmen[costume],G$9)</f>
        <v>0</v>
      </c>
      <c r="H160">
        <f>SUMIFS(INDEX(xmen[[speech]:[depicted]],,$E$2),xmen[issue],Matrix!$B160,xmen[x],Matrix!H$10,xmen[costume],H$9)</f>
        <v>0</v>
      </c>
      <c r="I160">
        <f>SUMIFS(INDEX(xmen[[speech]:[depicted]],,$E$2),xmen[issue],Matrix!$B160,xmen[x],Matrix!I$10,xmen[costume],I$9)</f>
        <v>0</v>
      </c>
      <c r="J160">
        <f>SUMIFS(INDEX(xmen[[speech]:[depicted]],,$E$2),xmen[issue],Matrix!$B160,xmen[x],Matrix!J$10,xmen[costume],J$9)</f>
        <v>0</v>
      </c>
      <c r="K160">
        <f>SUMIFS(INDEX(xmen[[speech]:[depicted]],,$E$2),xmen[issue],Matrix!$B160,xmen[x],Matrix!K$10,xmen[costume],K$9)</f>
        <v>0</v>
      </c>
      <c r="L160">
        <f>SUMIFS(INDEX(xmen[[speech]:[depicted]],,$E$2),xmen[issue],Matrix!$B160,xmen[x],Matrix!L$10,xmen[costume],L$9)</f>
        <v>0</v>
      </c>
      <c r="M160">
        <f t="shared" ca="1" si="26"/>
        <v>153</v>
      </c>
      <c r="O160">
        <f t="shared" ca="1" si="25"/>
        <v>159.1875</v>
      </c>
      <c r="P160">
        <f t="shared" ca="1" si="33"/>
        <v>0.375</v>
      </c>
      <c r="Q160">
        <f t="shared" ca="1" si="33"/>
        <v>0</v>
      </c>
      <c r="R160">
        <f t="shared" ca="1" si="33"/>
        <v>0</v>
      </c>
      <c r="S160">
        <f t="shared" ca="1" si="33"/>
        <v>0</v>
      </c>
      <c r="T160">
        <f t="shared" ca="1" si="33"/>
        <v>0</v>
      </c>
      <c r="U160">
        <f t="shared" ca="1" si="33"/>
        <v>0</v>
      </c>
      <c r="V160">
        <f t="shared" ca="1" si="33"/>
        <v>0</v>
      </c>
      <c r="W160">
        <f t="shared" ca="1" si="33"/>
        <v>0</v>
      </c>
      <c r="X160">
        <f t="shared" ca="1" si="33"/>
        <v>0</v>
      </c>
      <c r="Y160">
        <f t="shared" ca="1" si="33"/>
        <v>0</v>
      </c>
      <c r="Z160">
        <f t="shared" ca="1" si="28"/>
        <v>159.5625</v>
      </c>
      <c r="AA160" t="e">
        <f t="shared" si="29"/>
        <v>#N/A</v>
      </c>
      <c r="AB160" t="str">
        <f t="shared" si="30"/>
        <v/>
      </c>
      <c r="AC160">
        <f t="shared" si="31"/>
        <v>0</v>
      </c>
    </row>
    <row r="161" spans="2:29" x14ac:dyDescent="0.3">
      <c r="B161">
        <v>240</v>
      </c>
      <c r="C161">
        <f>SUMIFS(INDEX(xmen[[speech]:[depicted]],,$E$2),xmen[issue],Matrix!$B161,xmen[x],Matrix!C$10,xmen[costume],C$9)</f>
        <v>0</v>
      </c>
      <c r="D161">
        <f>SUMIFS(INDEX(xmen[[speech]:[depicted]],,$E$2),xmen[issue],Matrix!$B161,xmen[x],Matrix!D$10,xmen[costume],D$9)</f>
        <v>0</v>
      </c>
      <c r="E161">
        <f>SUMIFS(INDEX(xmen[[speech]:[depicted]],,$E$2),xmen[issue],Matrix!$B161,xmen[x],Matrix!E$10,xmen[costume],E$9)</f>
        <v>0</v>
      </c>
      <c r="F161">
        <f>SUMIFS(INDEX(xmen[[speech]:[depicted]],,$E$2),xmen[issue],Matrix!$B161,xmen[x],Matrix!F$10,xmen[costume],F$9)</f>
        <v>0</v>
      </c>
      <c r="G161">
        <f>SUMIFS(INDEX(xmen[[speech]:[depicted]],,$E$2),xmen[issue],Matrix!$B161,xmen[x],Matrix!G$10,xmen[costume],G$9)</f>
        <v>0</v>
      </c>
      <c r="H161">
        <f>SUMIFS(INDEX(xmen[[speech]:[depicted]],,$E$2),xmen[issue],Matrix!$B161,xmen[x],Matrix!H$10,xmen[costume],H$9)</f>
        <v>0</v>
      </c>
      <c r="I161">
        <f>SUMIFS(INDEX(xmen[[speech]:[depicted]],,$E$2),xmen[issue],Matrix!$B161,xmen[x],Matrix!I$10,xmen[costume],I$9)</f>
        <v>0</v>
      </c>
      <c r="J161">
        <f>SUMIFS(INDEX(xmen[[speech]:[depicted]],,$E$2),xmen[issue],Matrix!$B161,xmen[x],Matrix!J$10,xmen[costume],J$9)</f>
        <v>0</v>
      </c>
      <c r="K161">
        <f>SUMIFS(INDEX(xmen[[speech]:[depicted]],,$E$2),xmen[issue],Matrix!$B161,xmen[x],Matrix!K$10,xmen[costume],K$9)</f>
        <v>0</v>
      </c>
      <c r="L161">
        <f>SUMIFS(INDEX(xmen[[speech]:[depicted]],,$E$2),xmen[issue],Matrix!$B161,xmen[x],Matrix!L$10,xmen[costume],L$9)</f>
        <v>0</v>
      </c>
      <c r="M161">
        <f t="shared" ca="1" si="26"/>
        <v>169</v>
      </c>
      <c r="O161">
        <f t="shared" ca="1" si="25"/>
        <v>158.625</v>
      </c>
      <c r="P161">
        <f t="shared" ca="1" si="33"/>
        <v>0.25</v>
      </c>
      <c r="Q161">
        <f t="shared" ca="1" si="33"/>
        <v>0</v>
      </c>
      <c r="R161">
        <f t="shared" ca="1" si="33"/>
        <v>0</v>
      </c>
      <c r="S161">
        <f t="shared" ca="1" si="33"/>
        <v>0</v>
      </c>
      <c r="T161">
        <f t="shared" ca="1" si="33"/>
        <v>0</v>
      </c>
      <c r="U161">
        <f t="shared" ca="1" si="33"/>
        <v>0</v>
      </c>
      <c r="V161">
        <f t="shared" ca="1" si="33"/>
        <v>0</v>
      </c>
      <c r="W161">
        <f t="shared" ca="1" si="33"/>
        <v>0</v>
      </c>
      <c r="X161">
        <f t="shared" ca="1" si="33"/>
        <v>0</v>
      </c>
      <c r="Y161">
        <f t="shared" ca="1" si="33"/>
        <v>0</v>
      </c>
      <c r="Z161">
        <f t="shared" ca="1" si="28"/>
        <v>158.875</v>
      </c>
      <c r="AA161" t="e">
        <f t="shared" si="29"/>
        <v>#N/A</v>
      </c>
      <c r="AB161" t="str">
        <f t="shared" si="30"/>
        <v/>
      </c>
      <c r="AC161">
        <f t="shared" si="31"/>
        <v>0</v>
      </c>
    </row>
    <row r="162" spans="2:29" x14ac:dyDescent="0.3">
      <c r="B162">
        <v>241</v>
      </c>
      <c r="C162">
        <f>SUMIFS(INDEX(xmen[[speech]:[depicted]],,$E$2),xmen[issue],Matrix!$B162,xmen[x],Matrix!C$10,xmen[costume],C$9)</f>
        <v>0</v>
      </c>
      <c r="D162">
        <f>SUMIFS(INDEX(xmen[[speech]:[depicted]],,$E$2),xmen[issue],Matrix!$B162,xmen[x],Matrix!D$10,xmen[costume],D$9)</f>
        <v>0</v>
      </c>
      <c r="E162">
        <f>SUMIFS(INDEX(xmen[[speech]:[depicted]],,$E$2),xmen[issue],Matrix!$B162,xmen[x],Matrix!E$10,xmen[costume],E$9)</f>
        <v>0</v>
      </c>
      <c r="F162">
        <f>SUMIFS(INDEX(xmen[[speech]:[depicted]],,$E$2),xmen[issue],Matrix!$B162,xmen[x],Matrix!F$10,xmen[costume],F$9)</f>
        <v>0</v>
      </c>
      <c r="G162">
        <f>SUMIFS(INDEX(xmen[[speech]:[depicted]],,$E$2),xmen[issue],Matrix!$B162,xmen[x],Matrix!G$10,xmen[costume],G$9)</f>
        <v>0</v>
      </c>
      <c r="H162">
        <f>SUMIFS(INDEX(xmen[[speech]:[depicted]],,$E$2),xmen[issue],Matrix!$B162,xmen[x],Matrix!H$10,xmen[costume],H$9)</f>
        <v>0</v>
      </c>
      <c r="I162">
        <f>SUMIFS(INDEX(xmen[[speech]:[depicted]],,$E$2),xmen[issue],Matrix!$B162,xmen[x],Matrix!I$10,xmen[costume],I$9)</f>
        <v>0</v>
      </c>
      <c r="J162">
        <f>SUMIFS(INDEX(xmen[[speech]:[depicted]],,$E$2),xmen[issue],Matrix!$B162,xmen[x],Matrix!J$10,xmen[costume],J$9)</f>
        <v>0</v>
      </c>
      <c r="K162">
        <f>SUMIFS(INDEX(xmen[[speech]:[depicted]],,$E$2),xmen[issue],Matrix!$B162,xmen[x],Matrix!K$10,xmen[costume],K$9)</f>
        <v>0</v>
      </c>
      <c r="L162">
        <f>SUMIFS(INDEX(xmen[[speech]:[depicted]],,$E$2),xmen[issue],Matrix!$B162,xmen[x],Matrix!L$10,xmen[costume],L$9)</f>
        <v>0</v>
      </c>
      <c r="M162">
        <f t="shared" ca="1" si="26"/>
        <v>171</v>
      </c>
      <c r="O162">
        <f t="shared" ca="1" si="25"/>
        <v>161.75</v>
      </c>
      <c r="P162">
        <f t="shared" ca="1" si="33"/>
        <v>0.25</v>
      </c>
      <c r="Q162">
        <f t="shared" ca="1" si="33"/>
        <v>0</v>
      </c>
      <c r="R162">
        <f t="shared" ca="1" si="33"/>
        <v>0</v>
      </c>
      <c r="S162">
        <f t="shared" ca="1" si="33"/>
        <v>0</v>
      </c>
      <c r="T162">
        <f t="shared" ca="1" si="33"/>
        <v>0</v>
      </c>
      <c r="U162">
        <f t="shared" ca="1" si="33"/>
        <v>0</v>
      </c>
      <c r="V162">
        <f t="shared" ca="1" si="33"/>
        <v>0</v>
      </c>
      <c r="W162">
        <f t="shared" ca="1" si="33"/>
        <v>0</v>
      </c>
      <c r="X162">
        <f t="shared" ca="1" si="33"/>
        <v>0</v>
      </c>
      <c r="Y162">
        <f t="shared" ca="1" si="33"/>
        <v>0</v>
      </c>
      <c r="Z162">
        <f t="shared" ca="1" si="28"/>
        <v>162</v>
      </c>
      <c r="AA162" t="e">
        <f t="shared" si="29"/>
        <v>#N/A</v>
      </c>
      <c r="AB162" t="str">
        <f t="shared" si="30"/>
        <v/>
      </c>
      <c r="AC162">
        <f t="shared" si="31"/>
        <v>0</v>
      </c>
    </row>
    <row r="163" spans="2:29" x14ac:dyDescent="0.3">
      <c r="B163">
        <v>242</v>
      </c>
      <c r="C163">
        <f>SUMIFS(INDEX(xmen[[speech]:[depicted]],,$E$2),xmen[issue],Matrix!$B163,xmen[x],Matrix!C$10,xmen[costume],C$9)</f>
        <v>0</v>
      </c>
      <c r="D163">
        <f>SUMIFS(INDEX(xmen[[speech]:[depicted]],,$E$2),xmen[issue],Matrix!$B163,xmen[x],Matrix!D$10,xmen[costume],D$9)</f>
        <v>0</v>
      </c>
      <c r="E163">
        <f>SUMIFS(INDEX(xmen[[speech]:[depicted]],,$E$2),xmen[issue],Matrix!$B163,xmen[x],Matrix!E$10,xmen[costume],E$9)</f>
        <v>0</v>
      </c>
      <c r="F163">
        <f>SUMIFS(INDEX(xmen[[speech]:[depicted]],,$E$2),xmen[issue],Matrix!$B163,xmen[x],Matrix!F$10,xmen[costume],F$9)</f>
        <v>0</v>
      </c>
      <c r="G163">
        <f>SUMIFS(INDEX(xmen[[speech]:[depicted]],,$E$2),xmen[issue],Matrix!$B163,xmen[x],Matrix!G$10,xmen[costume],G$9)</f>
        <v>0</v>
      </c>
      <c r="H163">
        <f>SUMIFS(INDEX(xmen[[speech]:[depicted]],,$E$2),xmen[issue],Matrix!$B163,xmen[x],Matrix!H$10,xmen[costume],H$9)</f>
        <v>0</v>
      </c>
      <c r="I163">
        <f>SUMIFS(INDEX(xmen[[speech]:[depicted]],,$E$2),xmen[issue],Matrix!$B163,xmen[x],Matrix!I$10,xmen[costume],I$9)</f>
        <v>0</v>
      </c>
      <c r="J163">
        <f>SUMIFS(INDEX(xmen[[speech]:[depicted]],,$E$2),xmen[issue],Matrix!$B163,xmen[x],Matrix!J$10,xmen[costume],J$9)</f>
        <v>0</v>
      </c>
      <c r="K163">
        <f>SUMIFS(INDEX(xmen[[speech]:[depicted]],,$E$2),xmen[issue],Matrix!$B163,xmen[x],Matrix!K$10,xmen[costume],K$9)</f>
        <v>0</v>
      </c>
      <c r="L163">
        <f>SUMIFS(INDEX(xmen[[speech]:[depicted]],,$E$2),xmen[issue],Matrix!$B163,xmen[x],Matrix!L$10,xmen[costume],L$9)</f>
        <v>0</v>
      </c>
      <c r="M163">
        <f t="shared" ca="1" si="26"/>
        <v>148</v>
      </c>
      <c r="O163">
        <f t="shared" ca="1" si="25"/>
        <v>161.25</v>
      </c>
      <c r="P163">
        <f t="shared" ca="1" si="33"/>
        <v>0.25</v>
      </c>
      <c r="Q163">
        <f t="shared" ca="1" si="33"/>
        <v>0</v>
      </c>
      <c r="R163">
        <f t="shared" ca="1" si="33"/>
        <v>0</v>
      </c>
      <c r="S163">
        <f t="shared" ca="1" si="33"/>
        <v>0</v>
      </c>
      <c r="T163">
        <f t="shared" ca="1" si="33"/>
        <v>0</v>
      </c>
      <c r="U163">
        <f t="shared" ca="1" si="33"/>
        <v>0</v>
      </c>
      <c r="V163">
        <f t="shared" ca="1" si="33"/>
        <v>0</v>
      </c>
      <c r="W163">
        <f t="shared" ca="1" si="33"/>
        <v>0</v>
      </c>
      <c r="X163">
        <f t="shared" ca="1" si="33"/>
        <v>0</v>
      </c>
      <c r="Y163">
        <f t="shared" ca="1" si="33"/>
        <v>0.25</v>
      </c>
      <c r="Z163">
        <f t="shared" ca="1" si="28"/>
        <v>161.75</v>
      </c>
      <c r="AA163" t="e">
        <f t="shared" si="29"/>
        <v>#N/A</v>
      </c>
      <c r="AB163" t="str">
        <f t="shared" si="30"/>
        <v/>
      </c>
      <c r="AC163">
        <f t="shared" si="31"/>
        <v>0</v>
      </c>
    </row>
    <row r="164" spans="2:29" x14ac:dyDescent="0.3">
      <c r="B164">
        <v>243</v>
      </c>
      <c r="C164">
        <f>SUMIFS(INDEX(xmen[[speech]:[depicted]],,$E$2),xmen[issue],Matrix!$B164,xmen[x],Matrix!C$10,xmen[costume],C$9)</f>
        <v>0</v>
      </c>
      <c r="D164">
        <f>SUMIFS(INDEX(xmen[[speech]:[depicted]],,$E$2),xmen[issue],Matrix!$B164,xmen[x],Matrix!D$10,xmen[costume],D$9)</f>
        <v>0</v>
      </c>
      <c r="E164">
        <f>SUMIFS(INDEX(xmen[[speech]:[depicted]],,$E$2),xmen[issue],Matrix!$B164,xmen[x],Matrix!E$10,xmen[costume],E$9)</f>
        <v>0</v>
      </c>
      <c r="F164">
        <f>SUMIFS(INDEX(xmen[[speech]:[depicted]],,$E$2),xmen[issue],Matrix!$B164,xmen[x],Matrix!F$10,xmen[costume],F$9)</f>
        <v>0</v>
      </c>
      <c r="G164">
        <f>SUMIFS(INDEX(xmen[[speech]:[depicted]],,$E$2),xmen[issue],Matrix!$B164,xmen[x],Matrix!G$10,xmen[costume],G$9)</f>
        <v>0</v>
      </c>
      <c r="H164">
        <f>SUMIFS(INDEX(xmen[[speech]:[depicted]],,$E$2),xmen[issue],Matrix!$B164,xmen[x],Matrix!H$10,xmen[costume],H$9)</f>
        <v>0</v>
      </c>
      <c r="I164">
        <f>SUMIFS(INDEX(xmen[[speech]:[depicted]],,$E$2),xmen[issue],Matrix!$B164,xmen[x],Matrix!I$10,xmen[costume],I$9)</f>
        <v>0</v>
      </c>
      <c r="J164">
        <f>SUMIFS(INDEX(xmen[[speech]:[depicted]],,$E$2),xmen[issue],Matrix!$B164,xmen[x],Matrix!J$10,xmen[costume],J$9)</f>
        <v>0</v>
      </c>
      <c r="K164">
        <f>SUMIFS(INDEX(xmen[[speech]:[depicted]],,$E$2),xmen[issue],Matrix!$B164,xmen[x],Matrix!K$10,xmen[costume],K$9)</f>
        <v>0</v>
      </c>
      <c r="L164">
        <f>SUMIFS(INDEX(xmen[[speech]:[depicted]],,$E$2),xmen[issue],Matrix!$B164,xmen[x],Matrix!L$10,xmen[costume],L$9)</f>
        <v>0</v>
      </c>
      <c r="M164">
        <f t="shared" ca="1" si="26"/>
        <v>153</v>
      </c>
      <c r="O164">
        <f t="shared" ca="1" si="25"/>
        <v>161.625</v>
      </c>
      <c r="P164">
        <f t="shared" ca="1" si="33"/>
        <v>0</v>
      </c>
      <c r="Q164">
        <f t="shared" ca="1" si="33"/>
        <v>0</v>
      </c>
      <c r="R164">
        <f t="shared" ca="1" si="33"/>
        <v>0</v>
      </c>
      <c r="S164">
        <f t="shared" ca="1" si="33"/>
        <v>0</v>
      </c>
      <c r="T164">
        <f t="shared" ca="1" si="33"/>
        <v>0</v>
      </c>
      <c r="U164">
        <f t="shared" ca="1" si="33"/>
        <v>0</v>
      </c>
      <c r="V164">
        <f t="shared" ca="1" si="33"/>
        <v>0</v>
      </c>
      <c r="W164">
        <f t="shared" ca="1" si="33"/>
        <v>0</v>
      </c>
      <c r="X164">
        <f t="shared" ca="1" si="33"/>
        <v>0</v>
      </c>
      <c r="Y164">
        <f t="shared" ca="1" si="33"/>
        <v>0.25</v>
      </c>
      <c r="Z164">
        <f t="shared" ca="1" si="28"/>
        <v>161.875</v>
      </c>
      <c r="AA164" t="e">
        <f t="shared" si="29"/>
        <v>#N/A</v>
      </c>
      <c r="AB164" t="str">
        <f t="shared" si="30"/>
        <v/>
      </c>
      <c r="AC164">
        <f t="shared" si="31"/>
        <v>0</v>
      </c>
    </row>
    <row r="165" spans="2:29" x14ac:dyDescent="0.3">
      <c r="B165">
        <v>244</v>
      </c>
      <c r="C165">
        <f>SUMIFS(INDEX(xmen[[speech]:[depicted]],,$E$2),xmen[issue],Matrix!$B165,xmen[x],Matrix!C$10,xmen[costume],C$9)</f>
        <v>0</v>
      </c>
      <c r="D165">
        <f>SUMIFS(INDEX(xmen[[speech]:[depicted]],,$E$2),xmen[issue],Matrix!$B165,xmen[x],Matrix!D$10,xmen[costume],D$9)</f>
        <v>0</v>
      </c>
      <c r="E165">
        <f>SUMIFS(INDEX(xmen[[speech]:[depicted]],,$E$2),xmen[issue],Matrix!$B165,xmen[x],Matrix!E$10,xmen[costume],E$9)</f>
        <v>0</v>
      </c>
      <c r="F165">
        <f>SUMIFS(INDEX(xmen[[speech]:[depicted]],,$E$2),xmen[issue],Matrix!$B165,xmen[x],Matrix!F$10,xmen[costume],F$9)</f>
        <v>0</v>
      </c>
      <c r="G165">
        <f>SUMIFS(INDEX(xmen[[speech]:[depicted]],,$E$2),xmen[issue],Matrix!$B165,xmen[x],Matrix!G$10,xmen[costume],G$9)</f>
        <v>0</v>
      </c>
      <c r="H165">
        <f>SUMIFS(INDEX(xmen[[speech]:[depicted]],,$E$2),xmen[issue],Matrix!$B165,xmen[x],Matrix!H$10,xmen[costume],H$9)</f>
        <v>0</v>
      </c>
      <c r="I165">
        <f>SUMIFS(INDEX(xmen[[speech]:[depicted]],,$E$2),xmen[issue],Matrix!$B165,xmen[x],Matrix!I$10,xmen[costume],I$9)</f>
        <v>0</v>
      </c>
      <c r="J165">
        <f>SUMIFS(INDEX(xmen[[speech]:[depicted]],,$E$2),xmen[issue],Matrix!$B165,xmen[x],Matrix!J$10,xmen[costume],J$9)</f>
        <v>0</v>
      </c>
      <c r="K165">
        <f>SUMIFS(INDEX(xmen[[speech]:[depicted]],,$E$2),xmen[issue],Matrix!$B165,xmen[x],Matrix!K$10,xmen[costume],K$9)</f>
        <v>0</v>
      </c>
      <c r="L165">
        <f>SUMIFS(INDEX(xmen[[speech]:[depicted]],,$E$2),xmen[issue],Matrix!$B165,xmen[x],Matrix!L$10,xmen[costume],L$9)</f>
        <v>0</v>
      </c>
      <c r="M165">
        <f t="shared" ca="1" si="26"/>
        <v>174</v>
      </c>
      <c r="O165">
        <f t="shared" ca="1" si="25"/>
        <v>162.5</v>
      </c>
      <c r="P165">
        <f t="shared" ca="1" si="33"/>
        <v>0</v>
      </c>
      <c r="Q165">
        <f t="shared" ca="1" si="33"/>
        <v>0</v>
      </c>
      <c r="R165">
        <f t="shared" ca="1" si="33"/>
        <v>0</v>
      </c>
      <c r="S165">
        <f t="shared" ca="1" si="33"/>
        <v>0</v>
      </c>
      <c r="T165">
        <f t="shared" ca="1" si="33"/>
        <v>0</v>
      </c>
      <c r="U165">
        <f t="shared" ca="1" si="33"/>
        <v>0</v>
      </c>
      <c r="V165">
        <f t="shared" ca="1" si="33"/>
        <v>0</v>
      </c>
      <c r="W165">
        <f t="shared" ca="1" si="33"/>
        <v>0</v>
      </c>
      <c r="X165">
        <f t="shared" ca="1" si="33"/>
        <v>0</v>
      </c>
      <c r="Y165">
        <f t="shared" ca="1" si="33"/>
        <v>0.25</v>
      </c>
      <c r="Z165">
        <f t="shared" ca="1" si="28"/>
        <v>162.75</v>
      </c>
      <c r="AA165" t="e">
        <f t="shared" si="29"/>
        <v>#N/A</v>
      </c>
      <c r="AB165" t="str">
        <f t="shared" si="30"/>
        <v/>
      </c>
      <c r="AC165">
        <f t="shared" si="31"/>
        <v>0</v>
      </c>
    </row>
    <row r="166" spans="2:29" x14ac:dyDescent="0.3">
      <c r="B166">
        <v>245</v>
      </c>
      <c r="C166">
        <f>SUMIFS(INDEX(xmen[[speech]:[depicted]],,$E$2),xmen[issue],Matrix!$B166,xmen[x],Matrix!C$10,xmen[costume],C$9)</f>
        <v>0</v>
      </c>
      <c r="D166">
        <f>SUMIFS(INDEX(xmen[[speech]:[depicted]],,$E$2),xmen[issue],Matrix!$B166,xmen[x],Matrix!D$10,xmen[costume],D$9)</f>
        <v>0</v>
      </c>
      <c r="E166">
        <f>SUMIFS(INDEX(xmen[[speech]:[depicted]],,$E$2),xmen[issue],Matrix!$B166,xmen[x],Matrix!E$10,xmen[costume],E$9)</f>
        <v>0</v>
      </c>
      <c r="F166">
        <f>SUMIFS(INDEX(xmen[[speech]:[depicted]],,$E$2),xmen[issue],Matrix!$B166,xmen[x],Matrix!F$10,xmen[costume],F$9)</f>
        <v>0</v>
      </c>
      <c r="G166">
        <f>SUMIFS(INDEX(xmen[[speech]:[depicted]],,$E$2),xmen[issue],Matrix!$B166,xmen[x],Matrix!G$10,xmen[costume],G$9)</f>
        <v>0</v>
      </c>
      <c r="H166">
        <f>SUMIFS(INDEX(xmen[[speech]:[depicted]],,$E$2),xmen[issue],Matrix!$B166,xmen[x],Matrix!H$10,xmen[costume],H$9)</f>
        <v>0</v>
      </c>
      <c r="I166">
        <f>SUMIFS(INDEX(xmen[[speech]:[depicted]],,$E$2),xmen[issue],Matrix!$B166,xmen[x],Matrix!I$10,xmen[costume],I$9)</f>
        <v>0</v>
      </c>
      <c r="J166">
        <f>SUMIFS(INDEX(xmen[[speech]:[depicted]],,$E$2),xmen[issue],Matrix!$B166,xmen[x],Matrix!J$10,xmen[costume],J$9)</f>
        <v>0</v>
      </c>
      <c r="K166">
        <f>SUMIFS(INDEX(xmen[[speech]:[depicted]],,$E$2),xmen[issue],Matrix!$B166,xmen[x],Matrix!K$10,xmen[costume],K$9)</f>
        <v>0</v>
      </c>
      <c r="L166">
        <f>SUMIFS(INDEX(xmen[[speech]:[depicted]],,$E$2),xmen[issue],Matrix!$B166,xmen[x],Matrix!L$10,xmen[costume],L$9)</f>
        <v>2</v>
      </c>
      <c r="M166">
        <f t="shared" ca="1" si="26"/>
        <v>157</v>
      </c>
      <c r="O166">
        <f t="shared" ca="1" si="25"/>
        <v>159.5</v>
      </c>
      <c r="P166">
        <f t="shared" ca="1" si="33"/>
        <v>0</v>
      </c>
      <c r="Q166">
        <f t="shared" ca="1" si="33"/>
        <v>0</v>
      </c>
      <c r="R166">
        <f t="shared" ca="1" si="33"/>
        <v>0</v>
      </c>
      <c r="S166">
        <f t="shared" ca="1" si="33"/>
        <v>0</v>
      </c>
      <c r="T166">
        <f t="shared" ca="1" si="33"/>
        <v>0</v>
      </c>
      <c r="U166">
        <f t="shared" ca="1" si="33"/>
        <v>0</v>
      </c>
      <c r="V166">
        <f t="shared" ca="1" si="33"/>
        <v>0</v>
      </c>
      <c r="W166">
        <f t="shared" ca="1" si="33"/>
        <v>0</v>
      </c>
      <c r="X166">
        <f t="shared" ca="1" si="33"/>
        <v>0</v>
      </c>
      <c r="Y166">
        <f t="shared" ca="1" si="33"/>
        <v>0.25</v>
      </c>
      <c r="Z166">
        <f t="shared" ca="1" si="28"/>
        <v>159.75</v>
      </c>
      <c r="AA166" t="e">
        <f t="shared" si="29"/>
        <v>#N/A</v>
      </c>
      <c r="AB166" t="str">
        <f t="shared" si="30"/>
        <v/>
      </c>
      <c r="AC166">
        <f t="shared" si="31"/>
        <v>0</v>
      </c>
    </row>
    <row r="167" spans="2:29" x14ac:dyDescent="0.3">
      <c r="B167">
        <v>246</v>
      </c>
      <c r="C167">
        <f>SUMIFS(INDEX(xmen[[speech]:[depicted]],,$E$2),xmen[issue],Matrix!$B167,xmen[x],Matrix!C$10,xmen[costume],C$9)</f>
        <v>0</v>
      </c>
      <c r="D167">
        <f>SUMIFS(INDEX(xmen[[speech]:[depicted]],,$E$2),xmen[issue],Matrix!$B167,xmen[x],Matrix!D$10,xmen[costume],D$9)</f>
        <v>0</v>
      </c>
      <c r="E167">
        <f>SUMIFS(INDEX(xmen[[speech]:[depicted]],,$E$2),xmen[issue],Matrix!$B167,xmen[x],Matrix!E$10,xmen[costume],E$9)</f>
        <v>0</v>
      </c>
      <c r="F167">
        <f>SUMIFS(INDEX(xmen[[speech]:[depicted]],,$E$2),xmen[issue],Matrix!$B167,xmen[x],Matrix!F$10,xmen[costume],F$9)</f>
        <v>0</v>
      </c>
      <c r="G167">
        <f>SUMIFS(INDEX(xmen[[speech]:[depicted]],,$E$2),xmen[issue],Matrix!$B167,xmen[x],Matrix!G$10,xmen[costume],G$9)</f>
        <v>0</v>
      </c>
      <c r="H167">
        <f>SUMIFS(INDEX(xmen[[speech]:[depicted]],,$E$2),xmen[issue],Matrix!$B167,xmen[x],Matrix!H$10,xmen[costume],H$9)</f>
        <v>0</v>
      </c>
      <c r="I167">
        <f>SUMIFS(INDEX(xmen[[speech]:[depicted]],,$E$2),xmen[issue],Matrix!$B167,xmen[x],Matrix!I$10,xmen[costume],I$9)</f>
        <v>0</v>
      </c>
      <c r="J167">
        <f>SUMIFS(INDEX(xmen[[speech]:[depicted]],,$E$2),xmen[issue],Matrix!$B167,xmen[x],Matrix!J$10,xmen[costume],J$9)</f>
        <v>0</v>
      </c>
      <c r="K167">
        <f>SUMIFS(INDEX(xmen[[speech]:[depicted]],,$E$2),xmen[issue],Matrix!$B167,xmen[x],Matrix!K$10,xmen[costume],K$9)</f>
        <v>0</v>
      </c>
      <c r="L167">
        <f>SUMIFS(INDEX(xmen[[speech]:[depicted]],,$E$2),xmen[issue],Matrix!$B167,xmen[x],Matrix!L$10,xmen[costume],L$9)</f>
        <v>0</v>
      </c>
      <c r="M167">
        <f t="shared" ca="1" si="26"/>
        <v>168</v>
      </c>
      <c r="O167">
        <f t="shared" ca="1" si="25"/>
        <v>159.375</v>
      </c>
      <c r="P167">
        <f t="shared" ca="1" si="33"/>
        <v>0</v>
      </c>
      <c r="Q167">
        <f t="shared" ca="1" si="33"/>
        <v>0</v>
      </c>
      <c r="R167">
        <f t="shared" ca="1" si="33"/>
        <v>0</v>
      </c>
      <c r="S167">
        <f t="shared" ca="1" si="33"/>
        <v>0</v>
      </c>
      <c r="T167">
        <f t="shared" ca="1" si="33"/>
        <v>0</v>
      </c>
      <c r="U167">
        <f t="shared" ca="1" si="33"/>
        <v>0</v>
      </c>
      <c r="V167">
        <f t="shared" ca="1" si="33"/>
        <v>0</v>
      </c>
      <c r="W167">
        <f t="shared" ca="1" si="33"/>
        <v>0</v>
      </c>
      <c r="X167">
        <f t="shared" ca="1" si="33"/>
        <v>0</v>
      </c>
      <c r="Y167">
        <f t="shared" ca="1" si="33"/>
        <v>0.25</v>
      </c>
      <c r="Z167">
        <f t="shared" ca="1" si="28"/>
        <v>159.625</v>
      </c>
      <c r="AA167" t="e">
        <f t="shared" si="29"/>
        <v>#N/A</v>
      </c>
      <c r="AB167" t="str">
        <f t="shared" si="30"/>
        <v/>
      </c>
      <c r="AC167">
        <f t="shared" si="31"/>
        <v>0</v>
      </c>
    </row>
    <row r="168" spans="2:29" x14ac:dyDescent="0.3">
      <c r="B168">
        <v>247</v>
      </c>
      <c r="C168">
        <f>SUMIFS(INDEX(xmen[[speech]:[depicted]],,$E$2),xmen[issue],Matrix!$B168,xmen[x],Matrix!C$10,xmen[costume],C$9)</f>
        <v>0</v>
      </c>
      <c r="D168">
        <f>SUMIFS(INDEX(xmen[[speech]:[depicted]],,$E$2),xmen[issue],Matrix!$B168,xmen[x],Matrix!D$10,xmen[costume],D$9)</f>
        <v>0</v>
      </c>
      <c r="E168">
        <f>SUMIFS(INDEX(xmen[[speech]:[depicted]],,$E$2),xmen[issue],Matrix!$B168,xmen[x],Matrix!E$10,xmen[costume],E$9)</f>
        <v>0</v>
      </c>
      <c r="F168">
        <f>SUMIFS(INDEX(xmen[[speech]:[depicted]],,$E$2),xmen[issue],Matrix!$B168,xmen[x],Matrix!F$10,xmen[costume],F$9)</f>
        <v>0</v>
      </c>
      <c r="G168">
        <f>SUMIFS(INDEX(xmen[[speech]:[depicted]],,$E$2),xmen[issue],Matrix!$B168,xmen[x],Matrix!G$10,xmen[costume],G$9)</f>
        <v>0</v>
      </c>
      <c r="H168">
        <f>SUMIFS(INDEX(xmen[[speech]:[depicted]],,$E$2),xmen[issue],Matrix!$B168,xmen[x],Matrix!H$10,xmen[costume],H$9)</f>
        <v>0</v>
      </c>
      <c r="I168">
        <f>SUMIFS(INDEX(xmen[[speech]:[depicted]],,$E$2),xmen[issue],Matrix!$B168,xmen[x],Matrix!I$10,xmen[costume],I$9)</f>
        <v>0</v>
      </c>
      <c r="J168">
        <f>SUMIFS(INDEX(xmen[[speech]:[depicted]],,$E$2),xmen[issue],Matrix!$B168,xmen[x],Matrix!J$10,xmen[costume],J$9)</f>
        <v>0</v>
      </c>
      <c r="K168">
        <f>SUMIFS(INDEX(xmen[[speech]:[depicted]],,$E$2),xmen[issue],Matrix!$B168,xmen[x],Matrix!K$10,xmen[costume],K$9)</f>
        <v>0</v>
      </c>
      <c r="L168">
        <f>SUMIFS(INDEX(xmen[[speech]:[depicted]],,$E$2),xmen[issue],Matrix!$B168,xmen[x],Matrix!L$10,xmen[costume],L$9)</f>
        <v>0</v>
      </c>
      <c r="M168">
        <f t="shared" ca="1" si="26"/>
        <v>160</v>
      </c>
      <c r="O168">
        <f t="shared" ca="1" si="25"/>
        <v>159.375</v>
      </c>
      <c r="P168">
        <f t="shared" ca="1" si="33"/>
        <v>0</v>
      </c>
      <c r="Q168">
        <f t="shared" ca="1" si="33"/>
        <v>0</v>
      </c>
      <c r="R168">
        <f t="shared" ca="1" si="33"/>
        <v>0</v>
      </c>
      <c r="S168">
        <f t="shared" ca="1" si="33"/>
        <v>0</v>
      </c>
      <c r="T168">
        <f t="shared" ca="1" si="33"/>
        <v>0</v>
      </c>
      <c r="U168">
        <f t="shared" ca="1" si="33"/>
        <v>0</v>
      </c>
      <c r="V168">
        <f t="shared" ca="1" si="33"/>
        <v>0</v>
      </c>
      <c r="W168">
        <f t="shared" ca="1" si="33"/>
        <v>0</v>
      </c>
      <c r="X168">
        <f t="shared" ca="1" si="33"/>
        <v>0</v>
      </c>
      <c r="Y168">
        <f t="shared" ca="1" si="33"/>
        <v>0.25</v>
      </c>
      <c r="Z168">
        <f t="shared" ca="1" si="28"/>
        <v>159.625</v>
      </c>
      <c r="AA168" t="e">
        <f t="shared" si="29"/>
        <v>#N/A</v>
      </c>
      <c r="AB168" t="str">
        <f t="shared" si="30"/>
        <v/>
      </c>
      <c r="AC168">
        <f t="shared" si="31"/>
        <v>0</v>
      </c>
    </row>
    <row r="169" spans="2:29" x14ac:dyDescent="0.3">
      <c r="B169">
        <v>248</v>
      </c>
      <c r="C169">
        <f>SUMIFS(INDEX(xmen[[speech]:[depicted]],,$E$2),xmen[issue],Matrix!$B169,xmen[x],Matrix!C$10,xmen[costume],C$9)</f>
        <v>0</v>
      </c>
      <c r="D169">
        <f>SUMIFS(INDEX(xmen[[speech]:[depicted]],,$E$2),xmen[issue],Matrix!$B169,xmen[x],Matrix!D$10,xmen[costume],D$9)</f>
        <v>0</v>
      </c>
      <c r="E169">
        <f>SUMIFS(INDEX(xmen[[speech]:[depicted]],,$E$2),xmen[issue],Matrix!$B169,xmen[x],Matrix!E$10,xmen[costume],E$9)</f>
        <v>0</v>
      </c>
      <c r="F169">
        <f>SUMIFS(INDEX(xmen[[speech]:[depicted]],,$E$2),xmen[issue],Matrix!$B169,xmen[x],Matrix!F$10,xmen[costume],F$9)</f>
        <v>0</v>
      </c>
      <c r="G169">
        <f>SUMIFS(INDEX(xmen[[speech]:[depicted]],,$E$2),xmen[issue],Matrix!$B169,xmen[x],Matrix!G$10,xmen[costume],G$9)</f>
        <v>0</v>
      </c>
      <c r="H169">
        <f>SUMIFS(INDEX(xmen[[speech]:[depicted]],,$E$2),xmen[issue],Matrix!$B169,xmen[x],Matrix!H$10,xmen[costume],H$9)</f>
        <v>0</v>
      </c>
      <c r="I169">
        <f>SUMIFS(INDEX(xmen[[speech]:[depicted]],,$E$2),xmen[issue],Matrix!$B169,xmen[x],Matrix!I$10,xmen[costume],I$9)</f>
        <v>0</v>
      </c>
      <c r="J169">
        <f>SUMIFS(INDEX(xmen[[speech]:[depicted]],,$E$2),xmen[issue],Matrix!$B169,xmen[x],Matrix!J$10,xmen[costume],J$9)</f>
        <v>0</v>
      </c>
      <c r="K169">
        <f>SUMIFS(INDEX(xmen[[speech]:[depicted]],,$E$2),xmen[issue],Matrix!$B169,xmen[x],Matrix!K$10,xmen[costume],K$9)</f>
        <v>0</v>
      </c>
      <c r="L169">
        <f>SUMIFS(INDEX(xmen[[speech]:[depicted]],,$E$2),xmen[issue],Matrix!$B169,xmen[x],Matrix!L$10,xmen[costume],L$9)</f>
        <v>0</v>
      </c>
      <c r="M169">
        <f t="shared" ca="1" si="26"/>
        <v>145</v>
      </c>
      <c r="O169">
        <f t="shared" ca="1" si="25"/>
        <v>156.5</v>
      </c>
      <c r="P169">
        <f t="shared" ca="1" si="33"/>
        <v>0</v>
      </c>
      <c r="Q169">
        <f t="shared" ca="1" si="33"/>
        <v>0</v>
      </c>
      <c r="R169">
        <f t="shared" ca="1" si="33"/>
        <v>0</v>
      </c>
      <c r="S169">
        <f t="shared" ca="1" si="33"/>
        <v>0</v>
      </c>
      <c r="T169">
        <f t="shared" ca="1" si="33"/>
        <v>0</v>
      </c>
      <c r="U169">
        <f t="shared" ca="1" si="33"/>
        <v>0</v>
      </c>
      <c r="V169">
        <f t="shared" ca="1" si="33"/>
        <v>0</v>
      </c>
      <c r="W169">
        <f t="shared" ca="1" si="33"/>
        <v>0</v>
      </c>
      <c r="X169">
        <f t="shared" ca="1" si="33"/>
        <v>0</v>
      </c>
      <c r="Y169">
        <f t="shared" ca="1" si="33"/>
        <v>6.25</v>
      </c>
      <c r="Z169">
        <f t="shared" ca="1" si="28"/>
        <v>162.75</v>
      </c>
      <c r="AA169" t="e">
        <f t="shared" si="29"/>
        <v>#N/A</v>
      </c>
      <c r="AB169" t="str">
        <f t="shared" si="30"/>
        <v/>
      </c>
      <c r="AC169">
        <f t="shared" si="31"/>
        <v>0</v>
      </c>
    </row>
    <row r="170" spans="2:29" x14ac:dyDescent="0.3">
      <c r="B170">
        <v>249</v>
      </c>
      <c r="C170">
        <f>SUMIFS(INDEX(xmen[[speech]:[depicted]],,$E$2),xmen[issue],Matrix!$B170,xmen[x],Matrix!C$10,xmen[costume],C$9)</f>
        <v>0</v>
      </c>
      <c r="D170">
        <f>SUMIFS(INDEX(xmen[[speech]:[depicted]],,$E$2),xmen[issue],Matrix!$B170,xmen[x],Matrix!D$10,xmen[costume],D$9)</f>
        <v>0</v>
      </c>
      <c r="E170">
        <f>SUMIFS(INDEX(xmen[[speech]:[depicted]],,$E$2),xmen[issue],Matrix!$B170,xmen[x],Matrix!E$10,xmen[costume],E$9)</f>
        <v>0</v>
      </c>
      <c r="F170">
        <f>SUMIFS(INDEX(xmen[[speech]:[depicted]],,$E$2),xmen[issue],Matrix!$B170,xmen[x],Matrix!F$10,xmen[costume],F$9)</f>
        <v>0</v>
      </c>
      <c r="G170">
        <f>SUMIFS(INDEX(xmen[[speech]:[depicted]],,$E$2),xmen[issue],Matrix!$B170,xmen[x],Matrix!G$10,xmen[costume],G$9)</f>
        <v>0</v>
      </c>
      <c r="H170">
        <f>SUMIFS(INDEX(xmen[[speech]:[depicted]],,$E$2),xmen[issue],Matrix!$B170,xmen[x],Matrix!H$10,xmen[costume],H$9)</f>
        <v>0</v>
      </c>
      <c r="I170">
        <f>SUMIFS(INDEX(xmen[[speech]:[depicted]],,$E$2),xmen[issue],Matrix!$B170,xmen[x],Matrix!I$10,xmen[costume],I$9)</f>
        <v>0</v>
      </c>
      <c r="J170">
        <f>SUMIFS(INDEX(xmen[[speech]:[depicted]],,$E$2),xmen[issue],Matrix!$B170,xmen[x],Matrix!J$10,xmen[costume],J$9)</f>
        <v>0</v>
      </c>
      <c r="K170">
        <f>SUMIFS(INDEX(xmen[[speech]:[depicted]],,$E$2),xmen[issue],Matrix!$B170,xmen[x],Matrix!K$10,xmen[costume],K$9)</f>
        <v>0</v>
      </c>
      <c r="L170">
        <f>SUMIFS(INDEX(xmen[[speech]:[depicted]],,$E$2),xmen[issue],Matrix!$B170,xmen[x],Matrix!L$10,xmen[costume],L$9)</f>
        <v>0</v>
      </c>
      <c r="M170">
        <f t="shared" ca="1" si="26"/>
        <v>170</v>
      </c>
      <c r="O170">
        <f t="shared" ca="1" si="25"/>
        <v>153.25</v>
      </c>
      <c r="P170">
        <f t="shared" ca="1" si="33"/>
        <v>0</v>
      </c>
      <c r="Q170">
        <f t="shared" ca="1" si="33"/>
        <v>0</v>
      </c>
      <c r="R170">
        <f t="shared" ca="1" si="33"/>
        <v>0</v>
      </c>
      <c r="S170">
        <f t="shared" ca="1" si="33"/>
        <v>0</v>
      </c>
      <c r="T170">
        <f t="shared" ca="1" si="33"/>
        <v>0</v>
      </c>
      <c r="U170">
        <f t="shared" ca="1" si="33"/>
        <v>0</v>
      </c>
      <c r="V170">
        <f t="shared" ca="1" si="33"/>
        <v>0</v>
      </c>
      <c r="W170">
        <f t="shared" ca="1" si="33"/>
        <v>0</v>
      </c>
      <c r="X170">
        <f t="shared" ca="1" si="33"/>
        <v>0</v>
      </c>
      <c r="Y170">
        <f t="shared" ca="1" si="33"/>
        <v>6.25</v>
      </c>
      <c r="Z170">
        <f t="shared" ca="1" si="28"/>
        <v>159.5</v>
      </c>
      <c r="AA170" t="e">
        <f t="shared" si="29"/>
        <v>#N/A</v>
      </c>
      <c r="AB170" t="str">
        <f t="shared" si="30"/>
        <v/>
      </c>
      <c r="AC170">
        <f t="shared" si="31"/>
        <v>0</v>
      </c>
    </row>
    <row r="171" spans="2:29" x14ac:dyDescent="0.3">
      <c r="B171">
        <v>250</v>
      </c>
      <c r="C171">
        <f>SUMIFS(INDEX(xmen[[speech]:[depicted]],,$E$2),xmen[issue],Matrix!$B171,xmen[x],Matrix!C$10,xmen[costume],C$9)</f>
        <v>0</v>
      </c>
      <c r="D171">
        <f>SUMIFS(INDEX(xmen[[speech]:[depicted]],,$E$2),xmen[issue],Matrix!$B171,xmen[x],Matrix!D$10,xmen[costume],D$9)</f>
        <v>0</v>
      </c>
      <c r="E171">
        <f>SUMIFS(INDEX(xmen[[speech]:[depicted]],,$E$2),xmen[issue],Matrix!$B171,xmen[x],Matrix!E$10,xmen[costume],E$9)</f>
        <v>0</v>
      </c>
      <c r="F171">
        <f>SUMIFS(INDEX(xmen[[speech]:[depicted]],,$E$2),xmen[issue],Matrix!$B171,xmen[x],Matrix!F$10,xmen[costume],F$9)</f>
        <v>0</v>
      </c>
      <c r="G171">
        <f>SUMIFS(INDEX(xmen[[speech]:[depicted]],,$E$2),xmen[issue],Matrix!$B171,xmen[x],Matrix!G$10,xmen[costume],G$9)</f>
        <v>0</v>
      </c>
      <c r="H171">
        <f>SUMIFS(INDEX(xmen[[speech]:[depicted]],,$E$2),xmen[issue],Matrix!$B171,xmen[x],Matrix!H$10,xmen[costume],H$9)</f>
        <v>0</v>
      </c>
      <c r="I171">
        <f>SUMIFS(INDEX(xmen[[speech]:[depicted]],,$E$2),xmen[issue],Matrix!$B171,xmen[x],Matrix!I$10,xmen[costume],I$9)</f>
        <v>0</v>
      </c>
      <c r="J171">
        <f>SUMIFS(INDEX(xmen[[speech]:[depicted]],,$E$2),xmen[issue],Matrix!$B171,xmen[x],Matrix!J$10,xmen[costume],J$9)</f>
        <v>0</v>
      </c>
      <c r="K171">
        <f>SUMIFS(INDEX(xmen[[speech]:[depicted]],,$E$2),xmen[issue],Matrix!$B171,xmen[x],Matrix!K$10,xmen[costume],K$9)</f>
        <v>0</v>
      </c>
      <c r="L171">
        <f>SUMIFS(INDEX(xmen[[speech]:[depicted]],,$E$2),xmen[issue],Matrix!$B171,xmen[x],Matrix!L$10,xmen[costume],L$9)</f>
        <v>0</v>
      </c>
      <c r="M171">
        <f t="shared" ca="1" si="26"/>
        <v>148</v>
      </c>
      <c r="O171">
        <f t="shared" ref="O171:O203" ca="1" si="34">AVERAGE(OFFSET(INDEX($C171:$M171,O$9),-$P$3,,$P$2,1))</f>
        <v>152.875</v>
      </c>
      <c r="P171">
        <f t="shared" ca="1" si="33"/>
        <v>0</v>
      </c>
      <c r="Q171">
        <f t="shared" ca="1" si="33"/>
        <v>0</v>
      </c>
      <c r="R171">
        <f t="shared" ca="1" si="33"/>
        <v>0</v>
      </c>
      <c r="S171">
        <f t="shared" ca="1" si="33"/>
        <v>0</v>
      </c>
      <c r="T171">
        <f t="shared" ca="1" si="33"/>
        <v>0</v>
      </c>
      <c r="U171">
        <f t="shared" ca="1" si="33"/>
        <v>0</v>
      </c>
      <c r="V171">
        <f t="shared" ca="1" si="33"/>
        <v>0</v>
      </c>
      <c r="W171">
        <f t="shared" ca="1" si="33"/>
        <v>0</v>
      </c>
      <c r="X171">
        <f t="shared" ca="1" si="33"/>
        <v>0</v>
      </c>
      <c r="Y171">
        <f t="shared" ca="1" si="33"/>
        <v>6</v>
      </c>
      <c r="Z171">
        <f t="shared" ca="1" si="28"/>
        <v>158.875</v>
      </c>
      <c r="AA171">
        <f t="shared" ca="1" si="29"/>
        <v>205</v>
      </c>
      <c r="AB171" t="str">
        <f t="shared" ca="1" si="30"/>
        <v>Issue
#250</v>
      </c>
      <c r="AC171">
        <f t="shared" ca="1" si="31"/>
        <v>6</v>
      </c>
    </row>
    <row r="172" spans="2:29" x14ac:dyDescent="0.3">
      <c r="B172">
        <v>251</v>
      </c>
      <c r="C172">
        <f>SUMIFS(INDEX(xmen[[speech]:[depicted]],,$E$2),xmen[issue],Matrix!$B172,xmen[x],Matrix!C$10,xmen[costume],C$9)</f>
        <v>0</v>
      </c>
      <c r="D172">
        <f>SUMIFS(INDEX(xmen[[speech]:[depicted]],,$E$2),xmen[issue],Matrix!$B172,xmen[x],Matrix!D$10,xmen[costume],D$9)</f>
        <v>0</v>
      </c>
      <c r="E172">
        <f>SUMIFS(INDEX(xmen[[speech]:[depicted]],,$E$2),xmen[issue],Matrix!$B172,xmen[x],Matrix!E$10,xmen[costume],E$9)</f>
        <v>0</v>
      </c>
      <c r="F172">
        <f>SUMIFS(INDEX(xmen[[speech]:[depicted]],,$E$2),xmen[issue],Matrix!$B172,xmen[x],Matrix!F$10,xmen[costume],F$9)</f>
        <v>0</v>
      </c>
      <c r="G172">
        <f>SUMIFS(INDEX(xmen[[speech]:[depicted]],,$E$2),xmen[issue],Matrix!$B172,xmen[x],Matrix!G$10,xmen[costume],G$9)</f>
        <v>0</v>
      </c>
      <c r="H172">
        <f>SUMIFS(INDEX(xmen[[speech]:[depicted]],,$E$2),xmen[issue],Matrix!$B172,xmen[x],Matrix!H$10,xmen[costume],H$9)</f>
        <v>0</v>
      </c>
      <c r="I172">
        <f>SUMIFS(INDEX(xmen[[speech]:[depicted]],,$E$2),xmen[issue],Matrix!$B172,xmen[x],Matrix!I$10,xmen[costume],I$9)</f>
        <v>0</v>
      </c>
      <c r="J172">
        <f>SUMIFS(INDEX(xmen[[speech]:[depicted]],,$E$2),xmen[issue],Matrix!$B172,xmen[x],Matrix!J$10,xmen[costume],J$9)</f>
        <v>0</v>
      </c>
      <c r="K172">
        <f>SUMIFS(INDEX(xmen[[speech]:[depicted]],,$E$2),xmen[issue],Matrix!$B172,xmen[x],Matrix!K$10,xmen[costume],K$9)</f>
        <v>0</v>
      </c>
      <c r="L172">
        <f>SUMIFS(INDEX(xmen[[speech]:[depicted]],,$E$2),xmen[issue],Matrix!$B172,xmen[x],Matrix!L$10,xmen[costume],L$9)</f>
        <v>48</v>
      </c>
      <c r="M172">
        <f t="shared" ca="1" si="26"/>
        <v>130</v>
      </c>
      <c r="O172">
        <f t="shared" ca="1" si="34"/>
        <v>150.125</v>
      </c>
      <c r="P172">
        <f t="shared" ca="1" si="33"/>
        <v>0</v>
      </c>
      <c r="Q172">
        <f t="shared" ca="1" si="33"/>
        <v>0</v>
      </c>
      <c r="R172">
        <f t="shared" ca="1" si="33"/>
        <v>0</v>
      </c>
      <c r="S172">
        <f t="shared" ca="1" si="33"/>
        <v>0</v>
      </c>
      <c r="T172">
        <f t="shared" ca="1" si="33"/>
        <v>0</v>
      </c>
      <c r="U172">
        <f t="shared" ca="1" si="33"/>
        <v>0</v>
      </c>
      <c r="V172">
        <f t="shared" ca="1" si="33"/>
        <v>0</v>
      </c>
      <c r="W172">
        <f t="shared" ca="1" si="33"/>
        <v>0</v>
      </c>
      <c r="X172">
        <f t="shared" ca="1" si="33"/>
        <v>0</v>
      </c>
      <c r="Y172">
        <f t="shared" ca="1" si="33"/>
        <v>6</v>
      </c>
      <c r="Z172">
        <f t="shared" ca="1" si="28"/>
        <v>156.125</v>
      </c>
      <c r="AA172" t="e">
        <f t="shared" si="29"/>
        <v>#N/A</v>
      </c>
      <c r="AB172" t="str">
        <f t="shared" si="30"/>
        <v/>
      </c>
      <c r="AC172">
        <f t="shared" si="31"/>
        <v>0</v>
      </c>
    </row>
    <row r="173" spans="2:29" x14ac:dyDescent="0.3">
      <c r="B173">
        <v>252</v>
      </c>
      <c r="C173">
        <f>SUMIFS(INDEX(xmen[[speech]:[depicted]],,$E$2),xmen[issue],Matrix!$B173,xmen[x],Matrix!C$10,xmen[costume],C$9)</f>
        <v>0</v>
      </c>
      <c r="D173">
        <f>SUMIFS(INDEX(xmen[[speech]:[depicted]],,$E$2),xmen[issue],Matrix!$B173,xmen[x],Matrix!D$10,xmen[costume],D$9)</f>
        <v>0</v>
      </c>
      <c r="E173">
        <f>SUMIFS(INDEX(xmen[[speech]:[depicted]],,$E$2),xmen[issue],Matrix!$B173,xmen[x],Matrix!E$10,xmen[costume],E$9)</f>
        <v>0</v>
      </c>
      <c r="F173">
        <f>SUMIFS(INDEX(xmen[[speech]:[depicted]],,$E$2),xmen[issue],Matrix!$B173,xmen[x],Matrix!F$10,xmen[costume],F$9)</f>
        <v>0</v>
      </c>
      <c r="G173">
        <f>SUMIFS(INDEX(xmen[[speech]:[depicted]],,$E$2),xmen[issue],Matrix!$B173,xmen[x],Matrix!G$10,xmen[costume],G$9)</f>
        <v>0</v>
      </c>
      <c r="H173">
        <f>SUMIFS(INDEX(xmen[[speech]:[depicted]],,$E$2),xmen[issue],Matrix!$B173,xmen[x],Matrix!H$10,xmen[costume],H$9)</f>
        <v>0</v>
      </c>
      <c r="I173">
        <f>SUMIFS(INDEX(xmen[[speech]:[depicted]],,$E$2),xmen[issue],Matrix!$B173,xmen[x],Matrix!I$10,xmen[costume],I$9)</f>
        <v>0</v>
      </c>
      <c r="J173">
        <f>SUMIFS(INDEX(xmen[[speech]:[depicted]],,$E$2),xmen[issue],Matrix!$B173,xmen[x],Matrix!J$10,xmen[costume],J$9)</f>
        <v>0</v>
      </c>
      <c r="K173">
        <f>SUMIFS(INDEX(xmen[[speech]:[depicted]],,$E$2),xmen[issue],Matrix!$B173,xmen[x],Matrix!K$10,xmen[costume],K$9)</f>
        <v>0</v>
      </c>
      <c r="L173">
        <f>SUMIFS(INDEX(xmen[[speech]:[depicted]],,$E$2),xmen[issue],Matrix!$B173,xmen[x],Matrix!L$10,xmen[costume],L$9)</f>
        <v>0</v>
      </c>
      <c r="M173">
        <f t="shared" ca="1" si="26"/>
        <v>148</v>
      </c>
      <c r="O173">
        <f t="shared" ca="1" si="34"/>
        <v>151.25</v>
      </c>
      <c r="P173">
        <f t="shared" ca="1" si="33"/>
        <v>0</v>
      </c>
      <c r="Q173">
        <f t="shared" ca="1" si="33"/>
        <v>0</v>
      </c>
      <c r="R173">
        <f t="shared" ca="1" si="33"/>
        <v>0</v>
      </c>
      <c r="S173">
        <f t="shared" ca="1" si="33"/>
        <v>0</v>
      </c>
      <c r="T173">
        <f t="shared" ca="1" si="33"/>
        <v>0</v>
      </c>
      <c r="U173">
        <f t="shared" ca="1" si="33"/>
        <v>0</v>
      </c>
      <c r="V173">
        <f t="shared" ca="1" si="33"/>
        <v>0</v>
      </c>
      <c r="W173">
        <f t="shared" ca="1" si="33"/>
        <v>0</v>
      </c>
      <c r="X173">
        <f t="shared" ca="1" si="33"/>
        <v>0</v>
      </c>
      <c r="Y173">
        <f t="shared" ca="1" si="33"/>
        <v>6</v>
      </c>
      <c r="Z173">
        <f t="shared" ca="1" si="28"/>
        <v>157.25</v>
      </c>
      <c r="AA173" t="e">
        <f t="shared" si="29"/>
        <v>#N/A</v>
      </c>
      <c r="AB173" t="str">
        <f t="shared" si="30"/>
        <v/>
      </c>
      <c r="AC173">
        <f t="shared" si="31"/>
        <v>0</v>
      </c>
    </row>
    <row r="174" spans="2:29" x14ac:dyDescent="0.3">
      <c r="B174">
        <v>253</v>
      </c>
      <c r="C174">
        <f>SUMIFS(INDEX(xmen[[speech]:[depicted]],,$E$2),xmen[issue],Matrix!$B174,xmen[x],Matrix!C$10,xmen[costume],C$9)</f>
        <v>0</v>
      </c>
      <c r="D174">
        <f>SUMIFS(INDEX(xmen[[speech]:[depicted]],,$E$2),xmen[issue],Matrix!$B174,xmen[x],Matrix!D$10,xmen[costume],D$9)</f>
        <v>0</v>
      </c>
      <c r="E174">
        <f>SUMIFS(INDEX(xmen[[speech]:[depicted]],,$E$2),xmen[issue],Matrix!$B174,xmen[x],Matrix!E$10,xmen[costume],E$9)</f>
        <v>0</v>
      </c>
      <c r="F174">
        <f>SUMIFS(INDEX(xmen[[speech]:[depicted]],,$E$2),xmen[issue],Matrix!$B174,xmen[x],Matrix!F$10,xmen[costume],F$9)</f>
        <v>0</v>
      </c>
      <c r="G174">
        <f>SUMIFS(INDEX(xmen[[speech]:[depicted]],,$E$2),xmen[issue],Matrix!$B174,xmen[x],Matrix!G$10,xmen[costume],G$9)</f>
        <v>0</v>
      </c>
      <c r="H174">
        <f>SUMIFS(INDEX(xmen[[speech]:[depicted]],,$E$2),xmen[issue],Matrix!$B174,xmen[x],Matrix!H$10,xmen[costume],H$9)</f>
        <v>0</v>
      </c>
      <c r="I174">
        <f>SUMIFS(INDEX(xmen[[speech]:[depicted]],,$E$2),xmen[issue],Matrix!$B174,xmen[x],Matrix!I$10,xmen[costume],I$9)</f>
        <v>0</v>
      </c>
      <c r="J174">
        <f>SUMIFS(INDEX(xmen[[speech]:[depicted]],,$E$2),xmen[issue],Matrix!$B174,xmen[x],Matrix!J$10,xmen[costume],J$9)</f>
        <v>0</v>
      </c>
      <c r="K174">
        <f>SUMIFS(INDEX(xmen[[speech]:[depicted]],,$E$2),xmen[issue],Matrix!$B174,xmen[x],Matrix!K$10,xmen[costume],K$9)</f>
        <v>0</v>
      </c>
      <c r="L174">
        <f>SUMIFS(INDEX(xmen[[speech]:[depicted]],,$E$2),xmen[issue],Matrix!$B174,xmen[x],Matrix!L$10,xmen[costume],L$9)</f>
        <v>0</v>
      </c>
      <c r="M174">
        <f t="shared" ca="1" si="26"/>
        <v>154</v>
      </c>
      <c r="O174">
        <f t="shared" ca="1" si="34"/>
        <v>154.875</v>
      </c>
      <c r="P174">
        <f t="shared" ca="1" si="33"/>
        <v>0</v>
      </c>
      <c r="Q174">
        <f t="shared" ca="1" si="33"/>
        <v>0</v>
      </c>
      <c r="R174">
        <f t="shared" ca="1" si="33"/>
        <v>0</v>
      </c>
      <c r="S174">
        <f t="shared" ca="1" si="33"/>
        <v>0</v>
      </c>
      <c r="T174">
        <f t="shared" ca="1" si="33"/>
        <v>0</v>
      </c>
      <c r="U174">
        <f t="shared" ca="1" si="33"/>
        <v>0</v>
      </c>
      <c r="V174">
        <f t="shared" ca="1" si="33"/>
        <v>0</v>
      </c>
      <c r="W174">
        <f t="shared" ca="1" si="33"/>
        <v>0</v>
      </c>
      <c r="X174">
        <f t="shared" ca="1" si="33"/>
        <v>0</v>
      </c>
      <c r="Y174">
        <f t="shared" ca="1" si="33"/>
        <v>6</v>
      </c>
      <c r="Z174">
        <f t="shared" ca="1" si="28"/>
        <v>160.875</v>
      </c>
      <c r="AA174" t="e">
        <f t="shared" si="29"/>
        <v>#N/A</v>
      </c>
      <c r="AB174" t="str">
        <f t="shared" si="30"/>
        <v/>
      </c>
      <c r="AC174">
        <f t="shared" si="31"/>
        <v>0</v>
      </c>
    </row>
    <row r="175" spans="2:29" x14ac:dyDescent="0.3">
      <c r="B175">
        <v>254</v>
      </c>
      <c r="C175">
        <f>SUMIFS(INDEX(xmen[[speech]:[depicted]],,$E$2),xmen[issue],Matrix!$B175,xmen[x],Matrix!C$10,xmen[costume],C$9)</f>
        <v>0</v>
      </c>
      <c r="D175">
        <f>SUMIFS(INDEX(xmen[[speech]:[depicted]],,$E$2),xmen[issue],Matrix!$B175,xmen[x],Matrix!D$10,xmen[costume],D$9)</f>
        <v>0</v>
      </c>
      <c r="E175">
        <f>SUMIFS(INDEX(xmen[[speech]:[depicted]],,$E$2),xmen[issue],Matrix!$B175,xmen[x],Matrix!E$10,xmen[costume],E$9)</f>
        <v>0</v>
      </c>
      <c r="F175">
        <f>SUMIFS(INDEX(xmen[[speech]:[depicted]],,$E$2),xmen[issue],Matrix!$B175,xmen[x],Matrix!F$10,xmen[costume],F$9)</f>
        <v>0</v>
      </c>
      <c r="G175">
        <f>SUMIFS(INDEX(xmen[[speech]:[depicted]],,$E$2),xmen[issue],Matrix!$B175,xmen[x],Matrix!G$10,xmen[costume],G$9)</f>
        <v>0</v>
      </c>
      <c r="H175">
        <f>SUMIFS(INDEX(xmen[[speech]:[depicted]],,$E$2),xmen[issue],Matrix!$B175,xmen[x],Matrix!H$10,xmen[costume],H$9)</f>
        <v>0</v>
      </c>
      <c r="I175">
        <f>SUMIFS(INDEX(xmen[[speech]:[depicted]],,$E$2),xmen[issue],Matrix!$B175,xmen[x],Matrix!I$10,xmen[costume],I$9)</f>
        <v>0</v>
      </c>
      <c r="J175">
        <f>SUMIFS(INDEX(xmen[[speech]:[depicted]],,$E$2),xmen[issue],Matrix!$B175,xmen[x],Matrix!J$10,xmen[costume],J$9)</f>
        <v>0</v>
      </c>
      <c r="K175">
        <f>SUMIFS(INDEX(xmen[[speech]:[depicted]],,$E$2),xmen[issue],Matrix!$B175,xmen[x],Matrix!K$10,xmen[costume],K$9)</f>
        <v>0</v>
      </c>
      <c r="L175">
        <f>SUMIFS(INDEX(xmen[[speech]:[depicted]],,$E$2),xmen[issue],Matrix!$B175,xmen[x],Matrix!L$10,xmen[costume],L$9)</f>
        <v>0</v>
      </c>
      <c r="M175">
        <f t="shared" ca="1" si="26"/>
        <v>146</v>
      </c>
      <c r="O175">
        <f t="shared" ca="1" si="34"/>
        <v>154.875</v>
      </c>
      <c r="P175">
        <f t="shared" ref="P175:Y190" ca="1" si="35">AVERAGE(OFFSET(INDEX($C175:$M175,P$9),-$P$3,,$P$2,1))</f>
        <v>0</v>
      </c>
      <c r="Q175">
        <f t="shared" ca="1" si="35"/>
        <v>0</v>
      </c>
      <c r="R175">
        <f t="shared" ca="1" si="35"/>
        <v>0</v>
      </c>
      <c r="S175">
        <f t="shared" ca="1" si="35"/>
        <v>0</v>
      </c>
      <c r="T175">
        <f t="shared" ca="1" si="35"/>
        <v>0</v>
      </c>
      <c r="U175">
        <f t="shared" ca="1" si="35"/>
        <v>0</v>
      </c>
      <c r="V175">
        <f t="shared" ca="1" si="35"/>
        <v>0</v>
      </c>
      <c r="W175">
        <f t="shared" ca="1" si="35"/>
        <v>0</v>
      </c>
      <c r="X175">
        <f t="shared" ca="1" si="35"/>
        <v>0</v>
      </c>
      <c r="Y175">
        <f t="shared" ca="1" si="35"/>
        <v>6</v>
      </c>
      <c r="Z175">
        <f t="shared" ca="1" si="28"/>
        <v>160.875</v>
      </c>
      <c r="AA175" t="e">
        <f t="shared" si="29"/>
        <v>#N/A</v>
      </c>
      <c r="AB175" t="str">
        <f t="shared" si="30"/>
        <v/>
      </c>
      <c r="AC175">
        <f t="shared" si="31"/>
        <v>0</v>
      </c>
    </row>
    <row r="176" spans="2:29" x14ac:dyDescent="0.3">
      <c r="B176">
        <v>255</v>
      </c>
      <c r="C176">
        <f>SUMIFS(INDEX(xmen[[speech]:[depicted]],,$E$2),xmen[issue],Matrix!$B176,xmen[x],Matrix!C$10,xmen[costume],C$9)</f>
        <v>0</v>
      </c>
      <c r="D176">
        <f>SUMIFS(INDEX(xmen[[speech]:[depicted]],,$E$2),xmen[issue],Matrix!$B176,xmen[x],Matrix!D$10,xmen[costume],D$9)</f>
        <v>0</v>
      </c>
      <c r="E176">
        <f>SUMIFS(INDEX(xmen[[speech]:[depicted]],,$E$2),xmen[issue],Matrix!$B176,xmen[x],Matrix!E$10,xmen[costume],E$9)</f>
        <v>0</v>
      </c>
      <c r="F176">
        <f>SUMIFS(INDEX(xmen[[speech]:[depicted]],,$E$2),xmen[issue],Matrix!$B176,xmen[x],Matrix!F$10,xmen[costume],F$9)</f>
        <v>0</v>
      </c>
      <c r="G176">
        <f>SUMIFS(INDEX(xmen[[speech]:[depicted]],,$E$2),xmen[issue],Matrix!$B176,xmen[x],Matrix!G$10,xmen[costume],G$9)</f>
        <v>0</v>
      </c>
      <c r="H176">
        <f>SUMIFS(INDEX(xmen[[speech]:[depicted]],,$E$2),xmen[issue],Matrix!$B176,xmen[x],Matrix!H$10,xmen[costume],H$9)</f>
        <v>0</v>
      </c>
      <c r="I176">
        <f>SUMIFS(INDEX(xmen[[speech]:[depicted]],,$E$2),xmen[issue],Matrix!$B176,xmen[x],Matrix!I$10,xmen[costume],I$9)</f>
        <v>0</v>
      </c>
      <c r="J176">
        <f>SUMIFS(INDEX(xmen[[speech]:[depicted]],,$E$2),xmen[issue],Matrix!$B176,xmen[x],Matrix!J$10,xmen[costume],J$9)</f>
        <v>0</v>
      </c>
      <c r="K176">
        <f>SUMIFS(INDEX(xmen[[speech]:[depicted]],,$E$2),xmen[issue],Matrix!$B176,xmen[x],Matrix!K$10,xmen[costume],K$9)</f>
        <v>0</v>
      </c>
      <c r="L176">
        <f>SUMIFS(INDEX(xmen[[speech]:[depicted]],,$E$2),xmen[issue],Matrix!$B176,xmen[x],Matrix!L$10,xmen[costume],L$9)</f>
        <v>0</v>
      </c>
      <c r="M176">
        <f t="shared" ca="1" si="26"/>
        <v>169</v>
      </c>
      <c r="O176">
        <f t="shared" ca="1" si="34"/>
        <v>156.25</v>
      </c>
      <c r="P176">
        <f t="shared" ca="1" si="35"/>
        <v>0</v>
      </c>
      <c r="Q176">
        <f t="shared" ca="1" si="35"/>
        <v>0</v>
      </c>
      <c r="R176">
        <f t="shared" ca="1" si="35"/>
        <v>0</v>
      </c>
      <c r="S176">
        <f t="shared" ca="1" si="35"/>
        <v>0</v>
      </c>
      <c r="T176">
        <f t="shared" ca="1" si="35"/>
        <v>0</v>
      </c>
      <c r="U176">
        <f t="shared" ca="1" si="35"/>
        <v>0</v>
      </c>
      <c r="V176">
        <f t="shared" ca="1" si="35"/>
        <v>0</v>
      </c>
      <c r="W176">
        <f t="shared" ca="1" si="35"/>
        <v>0</v>
      </c>
      <c r="X176">
        <f t="shared" ca="1" si="35"/>
        <v>0</v>
      </c>
      <c r="Y176">
        <f t="shared" ca="1" si="35"/>
        <v>7</v>
      </c>
      <c r="Z176">
        <f t="shared" ca="1" si="28"/>
        <v>163.25</v>
      </c>
      <c r="AA176" t="e">
        <f t="shared" si="29"/>
        <v>#N/A</v>
      </c>
      <c r="AB176" t="str">
        <f t="shared" si="30"/>
        <v/>
      </c>
      <c r="AC176">
        <f t="shared" si="31"/>
        <v>0</v>
      </c>
    </row>
    <row r="177" spans="2:29" x14ac:dyDescent="0.3">
      <c r="B177">
        <v>256</v>
      </c>
      <c r="C177">
        <f>SUMIFS(INDEX(xmen[[speech]:[depicted]],,$E$2),xmen[issue],Matrix!$B177,xmen[x],Matrix!C$10,xmen[costume],C$9)</f>
        <v>0</v>
      </c>
      <c r="D177">
        <f>SUMIFS(INDEX(xmen[[speech]:[depicted]],,$E$2),xmen[issue],Matrix!$B177,xmen[x],Matrix!D$10,xmen[costume],D$9)</f>
        <v>0</v>
      </c>
      <c r="E177">
        <f>SUMIFS(INDEX(xmen[[speech]:[depicted]],,$E$2),xmen[issue],Matrix!$B177,xmen[x],Matrix!E$10,xmen[costume],E$9)</f>
        <v>0</v>
      </c>
      <c r="F177">
        <f>SUMIFS(INDEX(xmen[[speech]:[depicted]],,$E$2),xmen[issue],Matrix!$B177,xmen[x],Matrix!F$10,xmen[costume],F$9)</f>
        <v>0</v>
      </c>
      <c r="G177">
        <f>SUMIFS(INDEX(xmen[[speech]:[depicted]],,$E$2),xmen[issue],Matrix!$B177,xmen[x],Matrix!G$10,xmen[costume],G$9)</f>
        <v>0</v>
      </c>
      <c r="H177">
        <f>SUMIFS(INDEX(xmen[[speech]:[depicted]],,$E$2),xmen[issue],Matrix!$B177,xmen[x],Matrix!H$10,xmen[costume],H$9)</f>
        <v>0</v>
      </c>
      <c r="I177">
        <f>SUMIFS(INDEX(xmen[[speech]:[depicted]],,$E$2),xmen[issue],Matrix!$B177,xmen[x],Matrix!I$10,xmen[costume],I$9)</f>
        <v>0</v>
      </c>
      <c r="J177">
        <f>SUMIFS(INDEX(xmen[[speech]:[depicted]],,$E$2),xmen[issue],Matrix!$B177,xmen[x],Matrix!J$10,xmen[costume],J$9)</f>
        <v>0</v>
      </c>
      <c r="K177">
        <f>SUMIFS(INDEX(xmen[[speech]:[depicted]],,$E$2),xmen[issue],Matrix!$B177,xmen[x],Matrix!K$10,xmen[costume],K$9)</f>
        <v>0</v>
      </c>
      <c r="L177">
        <f>SUMIFS(INDEX(xmen[[speech]:[depicted]],,$E$2),xmen[issue],Matrix!$B177,xmen[x],Matrix!L$10,xmen[costume],L$9)</f>
        <v>0</v>
      </c>
      <c r="M177">
        <f t="shared" ca="1" si="26"/>
        <v>174</v>
      </c>
      <c r="O177">
        <f t="shared" ca="1" si="34"/>
        <v>159.875</v>
      </c>
      <c r="P177">
        <f t="shared" ca="1" si="35"/>
        <v>0</v>
      </c>
      <c r="Q177">
        <f t="shared" ca="1" si="35"/>
        <v>0</v>
      </c>
      <c r="R177">
        <f t="shared" ca="1" si="35"/>
        <v>0</v>
      </c>
      <c r="S177">
        <f t="shared" ca="1" si="35"/>
        <v>0</v>
      </c>
      <c r="T177">
        <f t="shared" ca="1" si="35"/>
        <v>0</v>
      </c>
      <c r="U177">
        <f t="shared" ca="1" si="35"/>
        <v>0</v>
      </c>
      <c r="V177">
        <f t="shared" ca="1" si="35"/>
        <v>0</v>
      </c>
      <c r="W177">
        <f t="shared" ca="1" si="35"/>
        <v>0</v>
      </c>
      <c r="X177">
        <f t="shared" ca="1" si="35"/>
        <v>0</v>
      </c>
      <c r="Y177">
        <f t="shared" ca="1" si="35"/>
        <v>1</v>
      </c>
      <c r="Z177">
        <f t="shared" ca="1" si="28"/>
        <v>160.875</v>
      </c>
      <c r="AA177" t="e">
        <f t="shared" si="29"/>
        <v>#N/A</v>
      </c>
      <c r="AB177" t="str">
        <f t="shared" si="30"/>
        <v/>
      </c>
      <c r="AC177">
        <f t="shared" si="31"/>
        <v>0</v>
      </c>
    </row>
    <row r="178" spans="2:29" x14ac:dyDescent="0.3">
      <c r="B178">
        <v>257</v>
      </c>
      <c r="C178">
        <f>SUMIFS(INDEX(xmen[[speech]:[depicted]],,$E$2),xmen[issue],Matrix!$B178,xmen[x],Matrix!C$10,xmen[costume],C$9)</f>
        <v>0</v>
      </c>
      <c r="D178">
        <f>SUMIFS(INDEX(xmen[[speech]:[depicted]],,$E$2),xmen[issue],Matrix!$B178,xmen[x],Matrix!D$10,xmen[costume],D$9)</f>
        <v>0</v>
      </c>
      <c r="E178">
        <f>SUMIFS(INDEX(xmen[[speech]:[depicted]],,$E$2),xmen[issue],Matrix!$B178,xmen[x],Matrix!E$10,xmen[costume],E$9)</f>
        <v>0</v>
      </c>
      <c r="F178">
        <f>SUMIFS(INDEX(xmen[[speech]:[depicted]],,$E$2),xmen[issue],Matrix!$B178,xmen[x],Matrix!F$10,xmen[costume],F$9)</f>
        <v>0</v>
      </c>
      <c r="G178">
        <f>SUMIFS(INDEX(xmen[[speech]:[depicted]],,$E$2),xmen[issue],Matrix!$B178,xmen[x],Matrix!G$10,xmen[costume],G$9)</f>
        <v>0</v>
      </c>
      <c r="H178">
        <f>SUMIFS(INDEX(xmen[[speech]:[depicted]],,$E$2),xmen[issue],Matrix!$B178,xmen[x],Matrix!H$10,xmen[costume],H$9)</f>
        <v>0</v>
      </c>
      <c r="I178">
        <f>SUMIFS(INDEX(xmen[[speech]:[depicted]],,$E$2),xmen[issue],Matrix!$B178,xmen[x],Matrix!I$10,xmen[costume],I$9)</f>
        <v>0</v>
      </c>
      <c r="J178">
        <f>SUMIFS(INDEX(xmen[[speech]:[depicted]],,$E$2),xmen[issue],Matrix!$B178,xmen[x],Matrix!J$10,xmen[costume],J$9)</f>
        <v>0</v>
      </c>
      <c r="K178">
        <f>SUMIFS(INDEX(xmen[[speech]:[depicted]],,$E$2),xmen[issue],Matrix!$B178,xmen[x],Matrix!K$10,xmen[costume],K$9)</f>
        <v>0</v>
      </c>
      <c r="L178">
        <f>SUMIFS(INDEX(xmen[[speech]:[depicted]],,$E$2),xmen[issue],Matrix!$B178,xmen[x],Matrix!L$10,xmen[costume],L$9)</f>
        <v>0</v>
      </c>
      <c r="M178">
        <f t="shared" ca="1" si="26"/>
        <v>170</v>
      </c>
      <c r="O178">
        <f t="shared" ca="1" si="34"/>
        <v>162</v>
      </c>
      <c r="P178">
        <f t="shared" ca="1" si="35"/>
        <v>0</v>
      </c>
      <c r="Q178">
        <f t="shared" ca="1" si="35"/>
        <v>0</v>
      </c>
      <c r="R178">
        <f t="shared" ca="1" si="35"/>
        <v>0</v>
      </c>
      <c r="S178">
        <f t="shared" ca="1" si="35"/>
        <v>0</v>
      </c>
      <c r="T178">
        <f t="shared" ca="1" si="35"/>
        <v>0</v>
      </c>
      <c r="U178">
        <f t="shared" ca="1" si="35"/>
        <v>0</v>
      </c>
      <c r="V178">
        <f t="shared" ca="1" si="35"/>
        <v>0</v>
      </c>
      <c r="W178">
        <f t="shared" ca="1" si="35"/>
        <v>0</v>
      </c>
      <c r="X178">
        <f t="shared" ca="1" si="35"/>
        <v>0</v>
      </c>
      <c r="Y178">
        <f t="shared" ca="1" si="35"/>
        <v>1</v>
      </c>
      <c r="Z178">
        <f t="shared" ca="1" si="28"/>
        <v>163</v>
      </c>
      <c r="AA178" t="e">
        <f t="shared" si="29"/>
        <v>#N/A</v>
      </c>
      <c r="AB178" t="str">
        <f t="shared" si="30"/>
        <v/>
      </c>
      <c r="AC178">
        <f t="shared" si="31"/>
        <v>0</v>
      </c>
    </row>
    <row r="179" spans="2:29" x14ac:dyDescent="0.3">
      <c r="B179">
        <v>258</v>
      </c>
      <c r="C179">
        <f>SUMIFS(INDEX(xmen[[speech]:[depicted]],,$E$2),xmen[issue],Matrix!$B179,xmen[x],Matrix!C$10,xmen[costume],C$9)</f>
        <v>0</v>
      </c>
      <c r="D179">
        <f>SUMIFS(INDEX(xmen[[speech]:[depicted]],,$E$2),xmen[issue],Matrix!$B179,xmen[x],Matrix!D$10,xmen[costume],D$9)</f>
        <v>0</v>
      </c>
      <c r="E179">
        <f>SUMIFS(INDEX(xmen[[speech]:[depicted]],,$E$2),xmen[issue],Matrix!$B179,xmen[x],Matrix!E$10,xmen[costume],E$9)</f>
        <v>0</v>
      </c>
      <c r="F179">
        <f>SUMIFS(INDEX(xmen[[speech]:[depicted]],,$E$2),xmen[issue],Matrix!$B179,xmen[x],Matrix!F$10,xmen[costume],F$9)</f>
        <v>0</v>
      </c>
      <c r="G179">
        <f>SUMIFS(INDEX(xmen[[speech]:[depicted]],,$E$2),xmen[issue],Matrix!$B179,xmen[x],Matrix!G$10,xmen[costume],G$9)</f>
        <v>0</v>
      </c>
      <c r="H179">
        <f>SUMIFS(INDEX(xmen[[speech]:[depicted]],,$E$2),xmen[issue],Matrix!$B179,xmen[x],Matrix!H$10,xmen[costume],H$9)</f>
        <v>0</v>
      </c>
      <c r="I179">
        <f>SUMIFS(INDEX(xmen[[speech]:[depicted]],,$E$2),xmen[issue],Matrix!$B179,xmen[x],Matrix!I$10,xmen[costume],I$9)</f>
        <v>0</v>
      </c>
      <c r="J179">
        <f>SUMIFS(INDEX(xmen[[speech]:[depicted]],,$E$2),xmen[issue],Matrix!$B179,xmen[x],Matrix!J$10,xmen[costume],J$9)</f>
        <v>0</v>
      </c>
      <c r="K179">
        <f>SUMIFS(INDEX(xmen[[speech]:[depicted]],,$E$2),xmen[issue],Matrix!$B179,xmen[x],Matrix!K$10,xmen[costume],K$9)</f>
        <v>0</v>
      </c>
      <c r="L179">
        <f>SUMIFS(INDEX(xmen[[speech]:[depicted]],,$E$2),xmen[issue],Matrix!$B179,xmen[x],Matrix!L$10,xmen[costume],L$9)</f>
        <v>8</v>
      </c>
      <c r="M179">
        <f t="shared" ca="1" si="26"/>
        <v>159</v>
      </c>
      <c r="O179">
        <f t="shared" ca="1" si="34"/>
        <v>162.375</v>
      </c>
      <c r="P179">
        <f t="shared" ca="1" si="35"/>
        <v>0</v>
      </c>
      <c r="Q179">
        <f t="shared" ca="1" si="35"/>
        <v>0</v>
      </c>
      <c r="R179">
        <f t="shared" ca="1" si="35"/>
        <v>0</v>
      </c>
      <c r="S179">
        <f t="shared" ca="1" si="35"/>
        <v>0</v>
      </c>
      <c r="T179">
        <f t="shared" ca="1" si="35"/>
        <v>0</v>
      </c>
      <c r="U179">
        <f t="shared" ca="1" si="35"/>
        <v>0</v>
      </c>
      <c r="V179">
        <f t="shared" ca="1" si="35"/>
        <v>0</v>
      </c>
      <c r="W179">
        <f t="shared" ca="1" si="35"/>
        <v>0</v>
      </c>
      <c r="X179">
        <f t="shared" ca="1" si="35"/>
        <v>0</v>
      </c>
      <c r="Y179">
        <f t="shared" ca="1" si="35"/>
        <v>1</v>
      </c>
      <c r="Z179">
        <f t="shared" ca="1" si="28"/>
        <v>163.375</v>
      </c>
      <c r="AA179" t="e">
        <f t="shared" si="29"/>
        <v>#N/A</v>
      </c>
      <c r="AB179" t="str">
        <f t="shared" si="30"/>
        <v/>
      </c>
      <c r="AC179">
        <f t="shared" si="31"/>
        <v>0</v>
      </c>
    </row>
    <row r="180" spans="2:29" x14ac:dyDescent="0.3">
      <c r="B180">
        <v>259</v>
      </c>
      <c r="C180">
        <f>SUMIFS(INDEX(xmen[[speech]:[depicted]],,$E$2),xmen[issue],Matrix!$B180,xmen[x],Matrix!C$10,xmen[costume],C$9)</f>
        <v>0</v>
      </c>
      <c r="D180">
        <f>SUMIFS(INDEX(xmen[[speech]:[depicted]],,$E$2),xmen[issue],Matrix!$B180,xmen[x],Matrix!D$10,xmen[costume],D$9)</f>
        <v>0</v>
      </c>
      <c r="E180">
        <f>SUMIFS(INDEX(xmen[[speech]:[depicted]],,$E$2),xmen[issue],Matrix!$B180,xmen[x],Matrix!E$10,xmen[costume],E$9)</f>
        <v>0</v>
      </c>
      <c r="F180">
        <f>SUMIFS(INDEX(xmen[[speech]:[depicted]],,$E$2),xmen[issue],Matrix!$B180,xmen[x],Matrix!F$10,xmen[costume],F$9)</f>
        <v>0</v>
      </c>
      <c r="G180">
        <f>SUMIFS(INDEX(xmen[[speech]:[depicted]],,$E$2),xmen[issue],Matrix!$B180,xmen[x],Matrix!G$10,xmen[costume],G$9)</f>
        <v>0</v>
      </c>
      <c r="H180">
        <f>SUMIFS(INDEX(xmen[[speech]:[depicted]],,$E$2),xmen[issue],Matrix!$B180,xmen[x],Matrix!H$10,xmen[costume],H$9)</f>
        <v>0</v>
      </c>
      <c r="I180">
        <f>SUMIFS(INDEX(xmen[[speech]:[depicted]],,$E$2),xmen[issue],Matrix!$B180,xmen[x],Matrix!I$10,xmen[costume],I$9)</f>
        <v>0</v>
      </c>
      <c r="J180">
        <f>SUMIFS(INDEX(xmen[[speech]:[depicted]],,$E$2),xmen[issue],Matrix!$B180,xmen[x],Matrix!J$10,xmen[costume],J$9)</f>
        <v>0</v>
      </c>
      <c r="K180">
        <f>SUMIFS(INDEX(xmen[[speech]:[depicted]],,$E$2),xmen[issue],Matrix!$B180,xmen[x],Matrix!K$10,xmen[costume],K$9)</f>
        <v>0</v>
      </c>
      <c r="L180">
        <f>SUMIFS(INDEX(xmen[[speech]:[depicted]],,$E$2),xmen[issue],Matrix!$B180,xmen[x],Matrix!L$10,xmen[costume],L$9)</f>
        <v>0</v>
      </c>
      <c r="M180">
        <f t="shared" ca="1" si="26"/>
        <v>159</v>
      </c>
      <c r="O180">
        <f t="shared" ca="1" si="34"/>
        <v>162.25</v>
      </c>
      <c r="P180">
        <f t="shared" ca="1" si="35"/>
        <v>0</v>
      </c>
      <c r="Q180">
        <f t="shared" ca="1" si="35"/>
        <v>0</v>
      </c>
      <c r="R180">
        <f t="shared" ca="1" si="35"/>
        <v>0</v>
      </c>
      <c r="S180">
        <f t="shared" ca="1" si="35"/>
        <v>0</v>
      </c>
      <c r="T180">
        <f t="shared" ca="1" si="35"/>
        <v>0</v>
      </c>
      <c r="U180">
        <f t="shared" ca="1" si="35"/>
        <v>0</v>
      </c>
      <c r="V180">
        <f t="shared" ca="1" si="35"/>
        <v>0</v>
      </c>
      <c r="W180">
        <f t="shared" ca="1" si="35"/>
        <v>0</v>
      </c>
      <c r="X180">
        <f t="shared" ca="1" si="35"/>
        <v>0</v>
      </c>
      <c r="Y180">
        <f t="shared" ca="1" si="35"/>
        <v>1</v>
      </c>
      <c r="Z180">
        <f t="shared" ca="1" si="28"/>
        <v>163.25</v>
      </c>
      <c r="AA180" t="e">
        <f t="shared" si="29"/>
        <v>#N/A</v>
      </c>
      <c r="AB180" t="str">
        <f t="shared" si="30"/>
        <v/>
      </c>
      <c r="AC180">
        <f t="shared" si="31"/>
        <v>0</v>
      </c>
    </row>
    <row r="181" spans="2:29" x14ac:dyDescent="0.3">
      <c r="B181">
        <v>260</v>
      </c>
      <c r="C181">
        <f>SUMIFS(INDEX(xmen[[speech]:[depicted]],,$E$2),xmen[issue],Matrix!$B181,xmen[x],Matrix!C$10,xmen[costume],C$9)</f>
        <v>0</v>
      </c>
      <c r="D181">
        <f>SUMIFS(INDEX(xmen[[speech]:[depicted]],,$E$2),xmen[issue],Matrix!$B181,xmen[x],Matrix!D$10,xmen[costume],D$9)</f>
        <v>0</v>
      </c>
      <c r="E181">
        <f>SUMIFS(INDEX(xmen[[speech]:[depicted]],,$E$2),xmen[issue],Matrix!$B181,xmen[x],Matrix!E$10,xmen[costume],E$9)</f>
        <v>0</v>
      </c>
      <c r="F181">
        <f>SUMIFS(INDEX(xmen[[speech]:[depicted]],,$E$2),xmen[issue],Matrix!$B181,xmen[x],Matrix!F$10,xmen[costume],F$9)</f>
        <v>0</v>
      </c>
      <c r="G181">
        <f>SUMIFS(INDEX(xmen[[speech]:[depicted]],,$E$2),xmen[issue],Matrix!$B181,xmen[x],Matrix!G$10,xmen[costume],G$9)</f>
        <v>0</v>
      </c>
      <c r="H181">
        <f>SUMIFS(INDEX(xmen[[speech]:[depicted]],,$E$2),xmen[issue],Matrix!$B181,xmen[x],Matrix!H$10,xmen[costume],H$9)</f>
        <v>0</v>
      </c>
      <c r="I181">
        <f>SUMIFS(INDEX(xmen[[speech]:[depicted]],,$E$2),xmen[issue],Matrix!$B181,xmen[x],Matrix!I$10,xmen[costume],I$9)</f>
        <v>0</v>
      </c>
      <c r="J181">
        <f>SUMIFS(INDEX(xmen[[speech]:[depicted]],,$E$2),xmen[issue],Matrix!$B181,xmen[x],Matrix!J$10,xmen[costume],J$9)</f>
        <v>0</v>
      </c>
      <c r="K181">
        <f>SUMIFS(INDEX(xmen[[speech]:[depicted]],,$E$2),xmen[issue],Matrix!$B181,xmen[x],Matrix!K$10,xmen[costume],K$9)</f>
        <v>0</v>
      </c>
      <c r="L181">
        <f>SUMIFS(INDEX(xmen[[speech]:[depicted]],,$E$2),xmen[issue],Matrix!$B181,xmen[x],Matrix!L$10,xmen[costume],L$9)</f>
        <v>0</v>
      </c>
      <c r="M181">
        <f t="shared" ca="1" si="26"/>
        <v>165</v>
      </c>
      <c r="O181">
        <f t="shared" ca="1" si="34"/>
        <v>160.625</v>
      </c>
      <c r="P181">
        <f t="shared" ca="1" si="35"/>
        <v>0</v>
      </c>
      <c r="Q181">
        <f t="shared" ca="1" si="35"/>
        <v>0</v>
      </c>
      <c r="R181">
        <f t="shared" ca="1" si="35"/>
        <v>0</v>
      </c>
      <c r="S181">
        <f t="shared" ca="1" si="35"/>
        <v>0</v>
      </c>
      <c r="T181">
        <f t="shared" ca="1" si="35"/>
        <v>0</v>
      </c>
      <c r="U181">
        <f t="shared" ca="1" si="35"/>
        <v>0</v>
      </c>
      <c r="V181">
        <f t="shared" ca="1" si="35"/>
        <v>0</v>
      </c>
      <c r="W181">
        <f t="shared" ca="1" si="35"/>
        <v>0</v>
      </c>
      <c r="X181">
        <f t="shared" ca="1" si="35"/>
        <v>0</v>
      </c>
      <c r="Y181">
        <f t="shared" ca="1" si="35"/>
        <v>1</v>
      </c>
      <c r="Z181">
        <f t="shared" ca="1" si="28"/>
        <v>161.625</v>
      </c>
      <c r="AA181" t="e">
        <f t="shared" si="29"/>
        <v>#N/A</v>
      </c>
      <c r="AB181" t="str">
        <f t="shared" si="30"/>
        <v/>
      </c>
      <c r="AC181">
        <f t="shared" si="31"/>
        <v>0</v>
      </c>
    </row>
    <row r="182" spans="2:29" x14ac:dyDescent="0.3">
      <c r="B182">
        <v>261</v>
      </c>
      <c r="C182">
        <f>SUMIFS(INDEX(xmen[[speech]:[depicted]],,$E$2),xmen[issue],Matrix!$B182,xmen[x],Matrix!C$10,xmen[costume],C$9)</f>
        <v>0</v>
      </c>
      <c r="D182">
        <f>SUMIFS(INDEX(xmen[[speech]:[depicted]],,$E$2),xmen[issue],Matrix!$B182,xmen[x],Matrix!D$10,xmen[costume],D$9)</f>
        <v>0</v>
      </c>
      <c r="E182">
        <f>SUMIFS(INDEX(xmen[[speech]:[depicted]],,$E$2),xmen[issue],Matrix!$B182,xmen[x],Matrix!E$10,xmen[costume],E$9)</f>
        <v>0</v>
      </c>
      <c r="F182">
        <f>SUMIFS(INDEX(xmen[[speech]:[depicted]],,$E$2),xmen[issue],Matrix!$B182,xmen[x],Matrix!F$10,xmen[costume],F$9)</f>
        <v>0</v>
      </c>
      <c r="G182">
        <f>SUMIFS(INDEX(xmen[[speech]:[depicted]],,$E$2),xmen[issue],Matrix!$B182,xmen[x],Matrix!G$10,xmen[costume],G$9)</f>
        <v>0</v>
      </c>
      <c r="H182">
        <f>SUMIFS(INDEX(xmen[[speech]:[depicted]],,$E$2),xmen[issue],Matrix!$B182,xmen[x],Matrix!H$10,xmen[costume],H$9)</f>
        <v>0</v>
      </c>
      <c r="I182">
        <f>SUMIFS(INDEX(xmen[[speech]:[depicted]],,$E$2),xmen[issue],Matrix!$B182,xmen[x],Matrix!I$10,xmen[costume],I$9)</f>
        <v>0</v>
      </c>
      <c r="J182">
        <f>SUMIFS(INDEX(xmen[[speech]:[depicted]],,$E$2),xmen[issue],Matrix!$B182,xmen[x],Matrix!J$10,xmen[costume],J$9)</f>
        <v>0</v>
      </c>
      <c r="K182">
        <f>SUMIFS(INDEX(xmen[[speech]:[depicted]],,$E$2),xmen[issue],Matrix!$B182,xmen[x],Matrix!K$10,xmen[costume],K$9)</f>
        <v>0</v>
      </c>
      <c r="L182">
        <f>SUMIFS(INDEX(xmen[[speech]:[depicted]],,$E$2),xmen[issue],Matrix!$B182,xmen[x],Matrix!L$10,xmen[costume],L$9)</f>
        <v>0</v>
      </c>
      <c r="M182">
        <f t="shared" ca="1" si="26"/>
        <v>157</v>
      </c>
      <c r="O182">
        <f t="shared" ca="1" si="34"/>
        <v>159.375</v>
      </c>
      <c r="P182">
        <f t="shared" ca="1" si="35"/>
        <v>0</v>
      </c>
      <c r="Q182">
        <f t="shared" ca="1" si="35"/>
        <v>0</v>
      </c>
      <c r="R182">
        <f t="shared" ca="1" si="35"/>
        <v>0</v>
      </c>
      <c r="S182">
        <f t="shared" ca="1" si="35"/>
        <v>0</v>
      </c>
      <c r="T182">
        <f t="shared" ca="1" si="35"/>
        <v>0</v>
      </c>
      <c r="U182">
        <f t="shared" ca="1" si="35"/>
        <v>0</v>
      </c>
      <c r="V182">
        <f t="shared" ca="1" si="35"/>
        <v>0</v>
      </c>
      <c r="W182">
        <f t="shared" ca="1" si="35"/>
        <v>0</v>
      </c>
      <c r="X182">
        <f t="shared" ca="1" si="35"/>
        <v>0</v>
      </c>
      <c r="Y182">
        <f t="shared" ca="1" si="35"/>
        <v>1</v>
      </c>
      <c r="Z182">
        <f t="shared" ca="1" si="28"/>
        <v>160.375</v>
      </c>
      <c r="AA182" t="e">
        <f t="shared" si="29"/>
        <v>#N/A</v>
      </c>
      <c r="AB182" t="str">
        <f t="shared" si="30"/>
        <v/>
      </c>
      <c r="AC182">
        <f t="shared" si="31"/>
        <v>0</v>
      </c>
    </row>
    <row r="183" spans="2:29" x14ac:dyDescent="0.3">
      <c r="B183">
        <v>262</v>
      </c>
      <c r="C183">
        <f>SUMIFS(INDEX(xmen[[speech]:[depicted]],,$E$2),xmen[issue],Matrix!$B183,xmen[x],Matrix!C$10,xmen[costume],C$9)</f>
        <v>0</v>
      </c>
      <c r="D183">
        <f>SUMIFS(INDEX(xmen[[speech]:[depicted]],,$E$2),xmen[issue],Matrix!$B183,xmen[x],Matrix!D$10,xmen[costume],D$9)</f>
        <v>0</v>
      </c>
      <c r="E183">
        <f>SUMIFS(INDEX(xmen[[speech]:[depicted]],,$E$2),xmen[issue],Matrix!$B183,xmen[x],Matrix!E$10,xmen[costume],E$9)</f>
        <v>0</v>
      </c>
      <c r="F183">
        <f>SUMIFS(INDEX(xmen[[speech]:[depicted]],,$E$2),xmen[issue],Matrix!$B183,xmen[x],Matrix!F$10,xmen[costume],F$9)</f>
        <v>0</v>
      </c>
      <c r="G183">
        <f>SUMIFS(INDEX(xmen[[speech]:[depicted]],,$E$2),xmen[issue],Matrix!$B183,xmen[x],Matrix!G$10,xmen[costume],G$9)</f>
        <v>0</v>
      </c>
      <c r="H183">
        <f>SUMIFS(INDEX(xmen[[speech]:[depicted]],,$E$2),xmen[issue],Matrix!$B183,xmen[x],Matrix!H$10,xmen[costume],H$9)</f>
        <v>0</v>
      </c>
      <c r="I183">
        <f>SUMIFS(INDEX(xmen[[speech]:[depicted]],,$E$2),xmen[issue],Matrix!$B183,xmen[x],Matrix!I$10,xmen[costume],I$9)</f>
        <v>0</v>
      </c>
      <c r="J183">
        <f>SUMIFS(INDEX(xmen[[speech]:[depicted]],,$E$2),xmen[issue],Matrix!$B183,xmen[x],Matrix!J$10,xmen[costume],J$9)</f>
        <v>0</v>
      </c>
      <c r="K183">
        <f>SUMIFS(INDEX(xmen[[speech]:[depicted]],,$E$2),xmen[issue],Matrix!$B183,xmen[x],Matrix!K$10,xmen[costume],K$9)</f>
        <v>0</v>
      </c>
      <c r="L183">
        <f>SUMIFS(INDEX(xmen[[speech]:[depicted]],,$E$2),xmen[issue],Matrix!$B183,xmen[x],Matrix!L$10,xmen[costume],L$9)</f>
        <v>0</v>
      </c>
      <c r="M183">
        <f t="shared" ca="1" si="26"/>
        <v>145</v>
      </c>
      <c r="O183">
        <f t="shared" ca="1" si="34"/>
        <v>157.375</v>
      </c>
      <c r="P183">
        <f t="shared" ca="1" si="35"/>
        <v>0</v>
      </c>
      <c r="Q183">
        <f t="shared" ca="1" si="35"/>
        <v>0</v>
      </c>
      <c r="R183">
        <f t="shared" ca="1" si="35"/>
        <v>0</v>
      </c>
      <c r="S183">
        <f t="shared" ca="1" si="35"/>
        <v>0</v>
      </c>
      <c r="T183">
        <f t="shared" ca="1" si="35"/>
        <v>0</v>
      </c>
      <c r="U183">
        <f t="shared" ca="1" si="35"/>
        <v>0</v>
      </c>
      <c r="V183">
        <f t="shared" ca="1" si="35"/>
        <v>0</v>
      </c>
      <c r="W183">
        <f t="shared" ca="1" si="35"/>
        <v>0</v>
      </c>
      <c r="X183">
        <f t="shared" ca="1" si="35"/>
        <v>0</v>
      </c>
      <c r="Y183">
        <f t="shared" ca="1" si="35"/>
        <v>1</v>
      </c>
      <c r="Z183">
        <f t="shared" ca="1" si="28"/>
        <v>158.375</v>
      </c>
      <c r="AA183" t="e">
        <f t="shared" si="29"/>
        <v>#N/A</v>
      </c>
      <c r="AB183" t="str">
        <f t="shared" si="30"/>
        <v/>
      </c>
      <c r="AC183">
        <f t="shared" si="31"/>
        <v>0</v>
      </c>
    </row>
    <row r="184" spans="2:29" x14ac:dyDescent="0.3">
      <c r="B184">
        <v>263</v>
      </c>
      <c r="C184">
        <f>SUMIFS(INDEX(xmen[[speech]:[depicted]],,$E$2),xmen[issue],Matrix!$B184,xmen[x],Matrix!C$10,xmen[costume],C$9)</f>
        <v>0</v>
      </c>
      <c r="D184">
        <f>SUMIFS(INDEX(xmen[[speech]:[depicted]],,$E$2),xmen[issue],Matrix!$B184,xmen[x],Matrix!D$10,xmen[costume],D$9)</f>
        <v>0</v>
      </c>
      <c r="E184">
        <f>SUMIFS(INDEX(xmen[[speech]:[depicted]],,$E$2),xmen[issue],Matrix!$B184,xmen[x],Matrix!E$10,xmen[costume],E$9)</f>
        <v>0</v>
      </c>
      <c r="F184">
        <f>SUMIFS(INDEX(xmen[[speech]:[depicted]],,$E$2),xmen[issue],Matrix!$B184,xmen[x],Matrix!F$10,xmen[costume],F$9)</f>
        <v>0</v>
      </c>
      <c r="G184">
        <f>SUMIFS(INDEX(xmen[[speech]:[depicted]],,$E$2),xmen[issue],Matrix!$B184,xmen[x],Matrix!G$10,xmen[costume],G$9)</f>
        <v>0</v>
      </c>
      <c r="H184">
        <f>SUMIFS(INDEX(xmen[[speech]:[depicted]],,$E$2),xmen[issue],Matrix!$B184,xmen[x],Matrix!H$10,xmen[costume],H$9)</f>
        <v>0</v>
      </c>
      <c r="I184">
        <f>SUMIFS(INDEX(xmen[[speech]:[depicted]],,$E$2),xmen[issue],Matrix!$B184,xmen[x],Matrix!I$10,xmen[costume],I$9)</f>
        <v>0</v>
      </c>
      <c r="J184">
        <f>SUMIFS(INDEX(xmen[[speech]:[depicted]],,$E$2),xmen[issue],Matrix!$B184,xmen[x],Matrix!J$10,xmen[costume],J$9)</f>
        <v>0</v>
      </c>
      <c r="K184">
        <f>SUMIFS(INDEX(xmen[[speech]:[depicted]],,$E$2),xmen[issue],Matrix!$B184,xmen[x],Matrix!K$10,xmen[costume],K$9)</f>
        <v>0</v>
      </c>
      <c r="L184">
        <f>SUMIFS(INDEX(xmen[[speech]:[depicted]],,$E$2),xmen[issue],Matrix!$B184,xmen[x],Matrix!L$10,xmen[costume],L$9)</f>
        <v>0</v>
      </c>
      <c r="M184">
        <f t="shared" ca="1" si="26"/>
        <v>156</v>
      </c>
      <c r="O184">
        <f t="shared" ca="1" si="34"/>
        <v>156.125</v>
      </c>
      <c r="P184">
        <f t="shared" ca="1" si="35"/>
        <v>0</v>
      </c>
      <c r="Q184">
        <f t="shared" ca="1" si="35"/>
        <v>0</v>
      </c>
      <c r="R184">
        <f t="shared" ca="1" si="35"/>
        <v>0</v>
      </c>
      <c r="S184">
        <f t="shared" ca="1" si="35"/>
        <v>0</v>
      </c>
      <c r="T184">
        <f t="shared" ca="1" si="35"/>
        <v>0</v>
      </c>
      <c r="U184">
        <f t="shared" ca="1" si="35"/>
        <v>0</v>
      </c>
      <c r="V184">
        <f t="shared" ca="1" si="35"/>
        <v>0</v>
      </c>
      <c r="W184">
        <f t="shared" ca="1" si="35"/>
        <v>0</v>
      </c>
      <c r="X184">
        <f t="shared" ca="1" si="35"/>
        <v>0</v>
      </c>
      <c r="Y184">
        <f t="shared" ca="1" si="35"/>
        <v>0</v>
      </c>
      <c r="Z184">
        <f t="shared" ca="1" si="28"/>
        <v>156.125</v>
      </c>
      <c r="AA184" t="e">
        <f t="shared" si="29"/>
        <v>#N/A</v>
      </c>
      <c r="AB184" t="str">
        <f t="shared" si="30"/>
        <v/>
      </c>
      <c r="AC184">
        <f t="shared" si="31"/>
        <v>0</v>
      </c>
    </row>
    <row r="185" spans="2:29" x14ac:dyDescent="0.3">
      <c r="B185">
        <v>264</v>
      </c>
      <c r="C185">
        <f>SUMIFS(INDEX(xmen[[speech]:[depicted]],,$E$2),xmen[issue],Matrix!$B185,xmen[x],Matrix!C$10,xmen[costume],C$9)</f>
        <v>0</v>
      </c>
      <c r="D185">
        <f>SUMIFS(INDEX(xmen[[speech]:[depicted]],,$E$2),xmen[issue],Matrix!$B185,xmen[x],Matrix!D$10,xmen[costume],D$9)</f>
        <v>0</v>
      </c>
      <c r="E185">
        <f>SUMIFS(INDEX(xmen[[speech]:[depicted]],,$E$2),xmen[issue],Matrix!$B185,xmen[x],Matrix!E$10,xmen[costume],E$9)</f>
        <v>0</v>
      </c>
      <c r="F185">
        <f>SUMIFS(INDEX(xmen[[speech]:[depicted]],,$E$2),xmen[issue],Matrix!$B185,xmen[x],Matrix!F$10,xmen[costume],F$9)</f>
        <v>0</v>
      </c>
      <c r="G185">
        <f>SUMIFS(INDEX(xmen[[speech]:[depicted]],,$E$2),xmen[issue],Matrix!$B185,xmen[x],Matrix!G$10,xmen[costume],G$9)</f>
        <v>0</v>
      </c>
      <c r="H185">
        <f>SUMIFS(INDEX(xmen[[speech]:[depicted]],,$E$2),xmen[issue],Matrix!$B185,xmen[x],Matrix!H$10,xmen[costume],H$9)</f>
        <v>0</v>
      </c>
      <c r="I185">
        <f>SUMIFS(INDEX(xmen[[speech]:[depicted]],,$E$2),xmen[issue],Matrix!$B185,xmen[x],Matrix!I$10,xmen[costume],I$9)</f>
        <v>0</v>
      </c>
      <c r="J185">
        <f>SUMIFS(INDEX(xmen[[speech]:[depicted]],,$E$2),xmen[issue],Matrix!$B185,xmen[x],Matrix!J$10,xmen[costume],J$9)</f>
        <v>0</v>
      </c>
      <c r="K185">
        <f>SUMIFS(INDEX(xmen[[speech]:[depicted]],,$E$2),xmen[issue],Matrix!$B185,xmen[x],Matrix!K$10,xmen[costume],K$9)</f>
        <v>0</v>
      </c>
      <c r="L185">
        <f>SUMIFS(INDEX(xmen[[speech]:[depicted]],,$E$2),xmen[issue],Matrix!$B185,xmen[x],Matrix!L$10,xmen[costume],L$9)</f>
        <v>0</v>
      </c>
      <c r="M185">
        <f t="shared" ca="1" si="26"/>
        <v>164</v>
      </c>
      <c r="O185">
        <f t="shared" ca="1" si="34"/>
        <v>155.5</v>
      </c>
      <c r="P185">
        <f t="shared" ca="1" si="35"/>
        <v>0</v>
      </c>
      <c r="Q185">
        <f t="shared" ca="1" si="35"/>
        <v>0</v>
      </c>
      <c r="R185">
        <f t="shared" ca="1" si="35"/>
        <v>0</v>
      </c>
      <c r="S185">
        <f t="shared" ca="1" si="35"/>
        <v>0</v>
      </c>
      <c r="T185">
        <f t="shared" ca="1" si="35"/>
        <v>0</v>
      </c>
      <c r="U185">
        <f t="shared" ca="1" si="35"/>
        <v>0</v>
      </c>
      <c r="V185">
        <f t="shared" ca="1" si="35"/>
        <v>0</v>
      </c>
      <c r="W185">
        <f t="shared" ca="1" si="35"/>
        <v>0</v>
      </c>
      <c r="X185">
        <f t="shared" ca="1" si="35"/>
        <v>0</v>
      </c>
      <c r="Y185">
        <f t="shared" ca="1" si="35"/>
        <v>0</v>
      </c>
      <c r="Z185">
        <f t="shared" ca="1" si="28"/>
        <v>155.5</v>
      </c>
      <c r="AA185" t="e">
        <f t="shared" si="29"/>
        <v>#N/A</v>
      </c>
      <c r="AB185" t="str">
        <f t="shared" si="30"/>
        <v/>
      </c>
      <c r="AC185">
        <f t="shared" si="31"/>
        <v>0</v>
      </c>
    </row>
    <row r="186" spans="2:29" x14ac:dyDescent="0.3">
      <c r="B186">
        <v>265</v>
      </c>
      <c r="C186">
        <f>SUMIFS(INDEX(xmen[[speech]:[depicted]],,$E$2),xmen[issue],Matrix!$B186,xmen[x],Matrix!C$10,xmen[costume],C$9)</f>
        <v>0</v>
      </c>
      <c r="D186">
        <f>SUMIFS(INDEX(xmen[[speech]:[depicted]],,$E$2),xmen[issue],Matrix!$B186,xmen[x],Matrix!D$10,xmen[costume],D$9)</f>
        <v>0</v>
      </c>
      <c r="E186">
        <f>SUMIFS(INDEX(xmen[[speech]:[depicted]],,$E$2),xmen[issue],Matrix!$B186,xmen[x],Matrix!E$10,xmen[costume],E$9)</f>
        <v>0</v>
      </c>
      <c r="F186">
        <f>SUMIFS(INDEX(xmen[[speech]:[depicted]],,$E$2),xmen[issue],Matrix!$B186,xmen[x],Matrix!F$10,xmen[costume],F$9)</f>
        <v>0</v>
      </c>
      <c r="G186">
        <f>SUMIFS(INDEX(xmen[[speech]:[depicted]],,$E$2),xmen[issue],Matrix!$B186,xmen[x],Matrix!G$10,xmen[costume],G$9)</f>
        <v>0</v>
      </c>
      <c r="H186">
        <f>SUMIFS(INDEX(xmen[[speech]:[depicted]],,$E$2),xmen[issue],Matrix!$B186,xmen[x],Matrix!H$10,xmen[costume],H$9)</f>
        <v>0</v>
      </c>
      <c r="I186">
        <f>SUMIFS(INDEX(xmen[[speech]:[depicted]],,$E$2),xmen[issue],Matrix!$B186,xmen[x],Matrix!I$10,xmen[costume],I$9)</f>
        <v>0</v>
      </c>
      <c r="J186">
        <f>SUMIFS(INDEX(xmen[[speech]:[depicted]],,$E$2),xmen[issue],Matrix!$B186,xmen[x],Matrix!J$10,xmen[costume],J$9)</f>
        <v>0</v>
      </c>
      <c r="K186">
        <f>SUMIFS(INDEX(xmen[[speech]:[depicted]],,$E$2),xmen[issue],Matrix!$B186,xmen[x],Matrix!K$10,xmen[costume],K$9)</f>
        <v>0</v>
      </c>
      <c r="L186">
        <f>SUMIFS(INDEX(xmen[[speech]:[depicted]],,$E$2),xmen[issue],Matrix!$B186,xmen[x],Matrix!L$10,xmen[costume],L$9)</f>
        <v>0</v>
      </c>
      <c r="M186">
        <f t="shared" ca="1" si="26"/>
        <v>154</v>
      </c>
      <c r="O186">
        <f t="shared" ca="1" si="34"/>
        <v>153.875</v>
      </c>
      <c r="P186">
        <f t="shared" ca="1" si="35"/>
        <v>0</v>
      </c>
      <c r="Q186">
        <f t="shared" ca="1" si="35"/>
        <v>0</v>
      </c>
      <c r="R186">
        <f t="shared" ca="1" si="35"/>
        <v>0</v>
      </c>
      <c r="S186">
        <f t="shared" ca="1" si="35"/>
        <v>0</v>
      </c>
      <c r="T186">
        <f t="shared" ca="1" si="35"/>
        <v>0</v>
      </c>
      <c r="U186">
        <f t="shared" ca="1" si="35"/>
        <v>0</v>
      </c>
      <c r="V186">
        <f t="shared" ca="1" si="35"/>
        <v>0</v>
      </c>
      <c r="W186">
        <f t="shared" ca="1" si="35"/>
        <v>0</v>
      </c>
      <c r="X186">
        <f t="shared" ca="1" si="35"/>
        <v>0</v>
      </c>
      <c r="Y186">
        <f t="shared" ca="1" si="35"/>
        <v>0</v>
      </c>
      <c r="Z186">
        <f t="shared" ca="1" si="28"/>
        <v>153.875</v>
      </c>
      <c r="AA186" t="e">
        <f t="shared" si="29"/>
        <v>#N/A</v>
      </c>
      <c r="AB186" t="str">
        <f t="shared" si="30"/>
        <v/>
      </c>
      <c r="AC186">
        <f t="shared" si="31"/>
        <v>0</v>
      </c>
    </row>
    <row r="187" spans="2:29" x14ac:dyDescent="0.3">
      <c r="B187">
        <v>266</v>
      </c>
      <c r="C187">
        <f>SUMIFS(INDEX(xmen[[speech]:[depicted]],,$E$2),xmen[issue],Matrix!$B187,xmen[x],Matrix!C$10,xmen[costume],C$9)</f>
        <v>0</v>
      </c>
      <c r="D187">
        <f>SUMIFS(INDEX(xmen[[speech]:[depicted]],,$E$2),xmen[issue],Matrix!$B187,xmen[x],Matrix!D$10,xmen[costume],D$9)</f>
        <v>0</v>
      </c>
      <c r="E187">
        <f>SUMIFS(INDEX(xmen[[speech]:[depicted]],,$E$2),xmen[issue],Matrix!$B187,xmen[x],Matrix!E$10,xmen[costume],E$9)</f>
        <v>0</v>
      </c>
      <c r="F187">
        <f>SUMIFS(INDEX(xmen[[speech]:[depicted]],,$E$2),xmen[issue],Matrix!$B187,xmen[x],Matrix!F$10,xmen[costume],F$9)</f>
        <v>0</v>
      </c>
      <c r="G187">
        <f>SUMIFS(INDEX(xmen[[speech]:[depicted]],,$E$2),xmen[issue],Matrix!$B187,xmen[x],Matrix!G$10,xmen[costume],G$9)</f>
        <v>0</v>
      </c>
      <c r="H187">
        <f>SUMIFS(INDEX(xmen[[speech]:[depicted]],,$E$2),xmen[issue],Matrix!$B187,xmen[x],Matrix!H$10,xmen[costume],H$9)</f>
        <v>0</v>
      </c>
      <c r="I187">
        <f>SUMIFS(INDEX(xmen[[speech]:[depicted]],,$E$2),xmen[issue],Matrix!$B187,xmen[x],Matrix!I$10,xmen[costume],I$9)</f>
        <v>0</v>
      </c>
      <c r="J187">
        <f>SUMIFS(INDEX(xmen[[speech]:[depicted]],,$E$2),xmen[issue],Matrix!$B187,xmen[x],Matrix!J$10,xmen[costume],J$9)</f>
        <v>0</v>
      </c>
      <c r="K187">
        <f>SUMIFS(INDEX(xmen[[speech]:[depicted]],,$E$2),xmen[issue],Matrix!$B187,xmen[x],Matrix!K$10,xmen[costume],K$9)</f>
        <v>0</v>
      </c>
      <c r="L187">
        <f>SUMIFS(INDEX(xmen[[speech]:[depicted]],,$E$2),xmen[issue],Matrix!$B187,xmen[x],Matrix!L$10,xmen[costume],L$9)</f>
        <v>0</v>
      </c>
      <c r="M187">
        <f t="shared" ca="1" si="26"/>
        <v>149</v>
      </c>
      <c r="O187">
        <f t="shared" ca="1" si="34"/>
        <v>154.25</v>
      </c>
      <c r="P187">
        <f t="shared" ca="1" si="35"/>
        <v>0</v>
      </c>
      <c r="Q187">
        <f t="shared" ca="1" si="35"/>
        <v>0</v>
      </c>
      <c r="R187">
        <f t="shared" ca="1" si="35"/>
        <v>0</v>
      </c>
      <c r="S187">
        <f t="shared" ca="1" si="35"/>
        <v>0</v>
      </c>
      <c r="T187">
        <f t="shared" ca="1" si="35"/>
        <v>0</v>
      </c>
      <c r="U187">
        <f t="shared" ca="1" si="35"/>
        <v>0</v>
      </c>
      <c r="V187">
        <f t="shared" ca="1" si="35"/>
        <v>0</v>
      </c>
      <c r="W187">
        <f t="shared" ca="1" si="35"/>
        <v>0</v>
      </c>
      <c r="X187">
        <f t="shared" ca="1" si="35"/>
        <v>0</v>
      </c>
      <c r="Y187">
        <f t="shared" ca="1" si="35"/>
        <v>0</v>
      </c>
      <c r="Z187">
        <f t="shared" ca="1" si="28"/>
        <v>154.25</v>
      </c>
      <c r="AA187" t="e">
        <f t="shared" si="29"/>
        <v>#N/A</v>
      </c>
      <c r="AB187" t="str">
        <f t="shared" si="30"/>
        <v/>
      </c>
      <c r="AC187">
        <f t="shared" si="31"/>
        <v>0</v>
      </c>
    </row>
    <row r="188" spans="2:29" x14ac:dyDescent="0.3">
      <c r="B188">
        <v>267</v>
      </c>
      <c r="C188">
        <f>SUMIFS(INDEX(xmen[[speech]:[depicted]],,$E$2),xmen[issue],Matrix!$B188,xmen[x],Matrix!C$10,xmen[costume],C$9)</f>
        <v>0</v>
      </c>
      <c r="D188">
        <f>SUMIFS(INDEX(xmen[[speech]:[depicted]],,$E$2),xmen[issue],Matrix!$B188,xmen[x],Matrix!D$10,xmen[costume],D$9)</f>
        <v>0</v>
      </c>
      <c r="E188">
        <f>SUMIFS(INDEX(xmen[[speech]:[depicted]],,$E$2),xmen[issue],Matrix!$B188,xmen[x],Matrix!E$10,xmen[costume],E$9)</f>
        <v>0</v>
      </c>
      <c r="F188">
        <f>SUMIFS(INDEX(xmen[[speech]:[depicted]],,$E$2),xmen[issue],Matrix!$B188,xmen[x],Matrix!F$10,xmen[costume],F$9)</f>
        <v>0</v>
      </c>
      <c r="G188">
        <f>SUMIFS(INDEX(xmen[[speech]:[depicted]],,$E$2),xmen[issue],Matrix!$B188,xmen[x],Matrix!G$10,xmen[costume],G$9)</f>
        <v>0</v>
      </c>
      <c r="H188">
        <f>SUMIFS(INDEX(xmen[[speech]:[depicted]],,$E$2),xmen[issue],Matrix!$B188,xmen[x],Matrix!H$10,xmen[costume],H$9)</f>
        <v>0</v>
      </c>
      <c r="I188">
        <f>SUMIFS(INDEX(xmen[[speech]:[depicted]],,$E$2),xmen[issue],Matrix!$B188,xmen[x],Matrix!I$10,xmen[costume],I$9)</f>
        <v>0</v>
      </c>
      <c r="J188">
        <f>SUMIFS(INDEX(xmen[[speech]:[depicted]],,$E$2),xmen[issue],Matrix!$B188,xmen[x],Matrix!J$10,xmen[costume],J$9)</f>
        <v>0</v>
      </c>
      <c r="K188">
        <f>SUMIFS(INDEX(xmen[[speech]:[depicted]],,$E$2),xmen[issue],Matrix!$B188,xmen[x],Matrix!K$10,xmen[costume],K$9)</f>
        <v>0</v>
      </c>
      <c r="L188">
        <f>SUMIFS(INDEX(xmen[[speech]:[depicted]],,$E$2),xmen[issue],Matrix!$B188,xmen[x],Matrix!L$10,xmen[costume],L$9)</f>
        <v>0</v>
      </c>
      <c r="M188">
        <f t="shared" ca="1" si="26"/>
        <v>154</v>
      </c>
      <c r="O188">
        <f t="shared" ca="1" si="34"/>
        <v>156.125</v>
      </c>
      <c r="P188">
        <f t="shared" ca="1" si="35"/>
        <v>0</v>
      </c>
      <c r="Q188">
        <f t="shared" ca="1" si="35"/>
        <v>0</v>
      </c>
      <c r="R188">
        <f t="shared" ca="1" si="35"/>
        <v>0</v>
      </c>
      <c r="S188">
        <f t="shared" ca="1" si="35"/>
        <v>0</v>
      </c>
      <c r="T188">
        <f t="shared" ca="1" si="35"/>
        <v>0</v>
      </c>
      <c r="U188">
        <f t="shared" ca="1" si="35"/>
        <v>0</v>
      </c>
      <c r="V188">
        <f t="shared" ca="1" si="35"/>
        <v>0</v>
      </c>
      <c r="W188">
        <f t="shared" ca="1" si="35"/>
        <v>0</v>
      </c>
      <c r="X188">
        <f t="shared" ca="1" si="35"/>
        <v>0</v>
      </c>
      <c r="Y188">
        <f t="shared" ca="1" si="35"/>
        <v>0</v>
      </c>
      <c r="Z188">
        <f t="shared" ca="1" si="28"/>
        <v>156.125</v>
      </c>
      <c r="AA188" t="e">
        <f t="shared" si="29"/>
        <v>#N/A</v>
      </c>
      <c r="AB188" t="str">
        <f t="shared" si="30"/>
        <v/>
      </c>
      <c r="AC188">
        <f t="shared" si="31"/>
        <v>0</v>
      </c>
    </row>
    <row r="189" spans="2:29" x14ac:dyDescent="0.3">
      <c r="B189">
        <v>268</v>
      </c>
      <c r="C189">
        <f>SUMIFS(INDEX(xmen[[speech]:[depicted]],,$E$2),xmen[issue],Matrix!$B189,xmen[x],Matrix!C$10,xmen[costume],C$9)</f>
        <v>0</v>
      </c>
      <c r="D189">
        <f>SUMIFS(INDEX(xmen[[speech]:[depicted]],,$E$2),xmen[issue],Matrix!$B189,xmen[x],Matrix!D$10,xmen[costume],D$9)</f>
        <v>0</v>
      </c>
      <c r="E189">
        <f>SUMIFS(INDEX(xmen[[speech]:[depicted]],,$E$2),xmen[issue],Matrix!$B189,xmen[x],Matrix!E$10,xmen[costume],E$9)</f>
        <v>0</v>
      </c>
      <c r="F189">
        <f>SUMIFS(INDEX(xmen[[speech]:[depicted]],,$E$2),xmen[issue],Matrix!$B189,xmen[x],Matrix!F$10,xmen[costume],F$9)</f>
        <v>0</v>
      </c>
      <c r="G189">
        <f>SUMIFS(INDEX(xmen[[speech]:[depicted]],,$E$2),xmen[issue],Matrix!$B189,xmen[x],Matrix!G$10,xmen[costume],G$9)</f>
        <v>0</v>
      </c>
      <c r="H189">
        <f>SUMIFS(INDEX(xmen[[speech]:[depicted]],,$E$2),xmen[issue],Matrix!$B189,xmen[x],Matrix!H$10,xmen[costume],H$9)</f>
        <v>0</v>
      </c>
      <c r="I189">
        <f>SUMIFS(INDEX(xmen[[speech]:[depicted]],,$E$2),xmen[issue],Matrix!$B189,xmen[x],Matrix!I$10,xmen[costume],I$9)</f>
        <v>0</v>
      </c>
      <c r="J189">
        <f>SUMIFS(INDEX(xmen[[speech]:[depicted]],,$E$2),xmen[issue],Matrix!$B189,xmen[x],Matrix!J$10,xmen[costume],J$9)</f>
        <v>0</v>
      </c>
      <c r="K189">
        <f>SUMIFS(INDEX(xmen[[speech]:[depicted]],,$E$2),xmen[issue],Matrix!$B189,xmen[x],Matrix!K$10,xmen[costume],K$9)</f>
        <v>0</v>
      </c>
      <c r="L189">
        <f>SUMIFS(INDEX(xmen[[speech]:[depicted]],,$E$2),xmen[issue],Matrix!$B189,xmen[x],Matrix!L$10,xmen[costume],L$9)</f>
        <v>0</v>
      </c>
      <c r="M189">
        <f t="shared" ca="1" si="26"/>
        <v>152</v>
      </c>
      <c r="O189">
        <f t="shared" ca="1" si="34"/>
        <v>157</v>
      </c>
      <c r="P189">
        <f t="shared" ca="1" si="35"/>
        <v>0</v>
      </c>
      <c r="Q189">
        <f t="shared" ca="1" si="35"/>
        <v>0</v>
      </c>
      <c r="R189">
        <f t="shared" ca="1" si="35"/>
        <v>0</v>
      </c>
      <c r="S189">
        <f t="shared" ca="1" si="35"/>
        <v>0</v>
      </c>
      <c r="T189">
        <f t="shared" ca="1" si="35"/>
        <v>0</v>
      </c>
      <c r="U189">
        <f t="shared" ca="1" si="35"/>
        <v>0</v>
      </c>
      <c r="V189">
        <f t="shared" ca="1" si="35"/>
        <v>0</v>
      </c>
      <c r="W189">
        <f t="shared" ca="1" si="35"/>
        <v>0</v>
      </c>
      <c r="X189">
        <f t="shared" ca="1" si="35"/>
        <v>0</v>
      </c>
      <c r="Y189">
        <f t="shared" ca="1" si="35"/>
        <v>0</v>
      </c>
      <c r="Z189">
        <f t="shared" ca="1" si="28"/>
        <v>157</v>
      </c>
      <c r="AA189" t="e">
        <f t="shared" si="29"/>
        <v>#N/A</v>
      </c>
      <c r="AB189" t="str">
        <f t="shared" si="30"/>
        <v/>
      </c>
      <c r="AC189">
        <f t="shared" si="31"/>
        <v>0</v>
      </c>
    </row>
    <row r="190" spans="2:29" x14ac:dyDescent="0.3">
      <c r="B190">
        <v>269</v>
      </c>
      <c r="C190">
        <f>SUMIFS(INDEX(xmen[[speech]:[depicted]],,$E$2),xmen[issue],Matrix!$B190,xmen[x],Matrix!C$10,xmen[costume],C$9)</f>
        <v>0</v>
      </c>
      <c r="D190">
        <f>SUMIFS(INDEX(xmen[[speech]:[depicted]],,$E$2),xmen[issue],Matrix!$B190,xmen[x],Matrix!D$10,xmen[costume],D$9)</f>
        <v>0</v>
      </c>
      <c r="E190">
        <f>SUMIFS(INDEX(xmen[[speech]:[depicted]],,$E$2),xmen[issue],Matrix!$B190,xmen[x],Matrix!E$10,xmen[costume],E$9)</f>
        <v>0</v>
      </c>
      <c r="F190">
        <f>SUMIFS(INDEX(xmen[[speech]:[depicted]],,$E$2),xmen[issue],Matrix!$B190,xmen[x],Matrix!F$10,xmen[costume],F$9)</f>
        <v>0</v>
      </c>
      <c r="G190">
        <f>SUMIFS(INDEX(xmen[[speech]:[depicted]],,$E$2),xmen[issue],Matrix!$B190,xmen[x],Matrix!G$10,xmen[costume],G$9)</f>
        <v>0</v>
      </c>
      <c r="H190">
        <f>SUMIFS(INDEX(xmen[[speech]:[depicted]],,$E$2),xmen[issue],Matrix!$B190,xmen[x],Matrix!H$10,xmen[costume],H$9)</f>
        <v>0</v>
      </c>
      <c r="I190">
        <f>SUMIFS(INDEX(xmen[[speech]:[depicted]],,$E$2),xmen[issue],Matrix!$B190,xmen[x],Matrix!I$10,xmen[costume],I$9)</f>
        <v>0</v>
      </c>
      <c r="J190">
        <f>SUMIFS(INDEX(xmen[[speech]:[depicted]],,$E$2),xmen[issue],Matrix!$B190,xmen[x],Matrix!J$10,xmen[costume],J$9)</f>
        <v>0</v>
      </c>
      <c r="K190">
        <f>SUMIFS(INDEX(xmen[[speech]:[depicted]],,$E$2),xmen[issue],Matrix!$B190,xmen[x],Matrix!K$10,xmen[costume],K$9)</f>
        <v>0</v>
      </c>
      <c r="L190">
        <f>SUMIFS(INDEX(xmen[[speech]:[depicted]],,$E$2),xmen[issue],Matrix!$B190,xmen[x],Matrix!L$10,xmen[costume],L$9)</f>
        <v>0</v>
      </c>
      <c r="M190">
        <f t="shared" ca="1" si="26"/>
        <v>160</v>
      </c>
      <c r="O190">
        <f t="shared" ca="1" si="34"/>
        <v>155.875</v>
      </c>
      <c r="P190">
        <f t="shared" ca="1" si="35"/>
        <v>0</v>
      </c>
      <c r="Q190">
        <f t="shared" ca="1" si="35"/>
        <v>0</v>
      </c>
      <c r="R190">
        <f t="shared" ca="1" si="35"/>
        <v>0</v>
      </c>
      <c r="S190">
        <f t="shared" ca="1" si="35"/>
        <v>0</v>
      </c>
      <c r="T190">
        <f t="shared" ca="1" si="35"/>
        <v>0</v>
      </c>
      <c r="U190">
        <f t="shared" ca="1" si="35"/>
        <v>0</v>
      </c>
      <c r="V190">
        <f t="shared" ca="1" si="35"/>
        <v>0</v>
      </c>
      <c r="W190">
        <f t="shared" ca="1" si="35"/>
        <v>0</v>
      </c>
      <c r="X190">
        <f t="shared" ca="1" si="35"/>
        <v>0</v>
      </c>
      <c r="Y190">
        <f t="shared" ca="1" si="35"/>
        <v>0</v>
      </c>
      <c r="Z190">
        <f t="shared" ca="1" si="28"/>
        <v>155.875</v>
      </c>
      <c r="AA190" t="e">
        <f t="shared" si="29"/>
        <v>#N/A</v>
      </c>
      <c r="AB190" t="str">
        <f t="shared" si="30"/>
        <v/>
      </c>
      <c r="AC190">
        <f t="shared" si="31"/>
        <v>0</v>
      </c>
    </row>
    <row r="191" spans="2:29" x14ac:dyDescent="0.3">
      <c r="B191">
        <v>270</v>
      </c>
      <c r="C191">
        <f>SUMIFS(INDEX(xmen[[speech]:[depicted]],,$E$2),xmen[issue],Matrix!$B191,xmen[x],Matrix!C$10,xmen[costume],C$9)</f>
        <v>0</v>
      </c>
      <c r="D191">
        <f>SUMIFS(INDEX(xmen[[speech]:[depicted]],,$E$2),xmen[issue],Matrix!$B191,xmen[x],Matrix!D$10,xmen[costume],D$9)</f>
        <v>0</v>
      </c>
      <c r="E191">
        <f>SUMIFS(INDEX(xmen[[speech]:[depicted]],,$E$2),xmen[issue],Matrix!$B191,xmen[x],Matrix!E$10,xmen[costume],E$9)</f>
        <v>0</v>
      </c>
      <c r="F191">
        <f>SUMIFS(INDEX(xmen[[speech]:[depicted]],,$E$2),xmen[issue],Matrix!$B191,xmen[x],Matrix!F$10,xmen[costume],F$9)</f>
        <v>0</v>
      </c>
      <c r="G191">
        <f>SUMIFS(INDEX(xmen[[speech]:[depicted]],,$E$2),xmen[issue],Matrix!$B191,xmen[x],Matrix!G$10,xmen[costume],G$9)</f>
        <v>0</v>
      </c>
      <c r="H191">
        <f>SUMIFS(INDEX(xmen[[speech]:[depicted]],,$E$2),xmen[issue],Matrix!$B191,xmen[x],Matrix!H$10,xmen[costume],H$9)</f>
        <v>0</v>
      </c>
      <c r="I191">
        <f>SUMIFS(INDEX(xmen[[speech]:[depicted]],,$E$2),xmen[issue],Matrix!$B191,xmen[x],Matrix!I$10,xmen[costume],I$9)</f>
        <v>0</v>
      </c>
      <c r="J191">
        <f>SUMIFS(INDEX(xmen[[speech]:[depicted]],,$E$2),xmen[issue],Matrix!$B191,xmen[x],Matrix!J$10,xmen[costume],J$9)</f>
        <v>0</v>
      </c>
      <c r="K191">
        <f>SUMIFS(INDEX(xmen[[speech]:[depicted]],,$E$2),xmen[issue],Matrix!$B191,xmen[x],Matrix!K$10,xmen[costume],K$9)</f>
        <v>0</v>
      </c>
      <c r="L191">
        <f>SUMIFS(INDEX(xmen[[speech]:[depicted]],,$E$2),xmen[issue],Matrix!$B191,xmen[x],Matrix!L$10,xmen[costume],L$9)</f>
        <v>0</v>
      </c>
      <c r="M191">
        <f t="shared" ca="1" si="26"/>
        <v>160</v>
      </c>
      <c r="O191">
        <f t="shared" ca="1" si="34"/>
        <v>157.625</v>
      </c>
      <c r="P191">
        <f t="shared" ref="P191:Y203" ca="1" si="36">AVERAGE(OFFSET(INDEX($C191:$M191,P$9),-$P$3,,$P$2,1))</f>
        <v>0</v>
      </c>
      <c r="Q191">
        <f t="shared" ca="1" si="36"/>
        <v>0</v>
      </c>
      <c r="R191">
        <f t="shared" ca="1" si="36"/>
        <v>0</v>
      </c>
      <c r="S191">
        <f t="shared" ca="1" si="36"/>
        <v>0</v>
      </c>
      <c r="T191">
        <f t="shared" ca="1" si="36"/>
        <v>0</v>
      </c>
      <c r="U191">
        <f t="shared" ca="1" si="36"/>
        <v>0</v>
      </c>
      <c r="V191">
        <f t="shared" ca="1" si="36"/>
        <v>0</v>
      </c>
      <c r="W191">
        <f t="shared" ca="1" si="36"/>
        <v>0</v>
      </c>
      <c r="X191">
        <f t="shared" ca="1" si="36"/>
        <v>0</v>
      </c>
      <c r="Y191">
        <f t="shared" ca="1" si="36"/>
        <v>0</v>
      </c>
      <c r="Z191">
        <f t="shared" ca="1" si="28"/>
        <v>157.625</v>
      </c>
      <c r="AA191" t="e">
        <f t="shared" si="29"/>
        <v>#N/A</v>
      </c>
      <c r="AB191" t="str">
        <f t="shared" si="30"/>
        <v/>
      </c>
      <c r="AC191">
        <f t="shared" si="31"/>
        <v>0</v>
      </c>
    </row>
    <row r="192" spans="2:29" x14ac:dyDescent="0.3">
      <c r="B192">
        <v>271</v>
      </c>
      <c r="C192">
        <f>SUMIFS(INDEX(xmen[[speech]:[depicted]],,$E$2),xmen[issue],Matrix!$B192,xmen[x],Matrix!C$10,xmen[costume],C$9)</f>
        <v>0</v>
      </c>
      <c r="D192">
        <f>SUMIFS(INDEX(xmen[[speech]:[depicted]],,$E$2),xmen[issue],Matrix!$B192,xmen[x],Matrix!D$10,xmen[costume],D$9)</f>
        <v>0</v>
      </c>
      <c r="E192">
        <f>SUMIFS(INDEX(xmen[[speech]:[depicted]],,$E$2),xmen[issue],Matrix!$B192,xmen[x],Matrix!E$10,xmen[costume],E$9)</f>
        <v>0</v>
      </c>
      <c r="F192">
        <f>SUMIFS(INDEX(xmen[[speech]:[depicted]],,$E$2),xmen[issue],Matrix!$B192,xmen[x],Matrix!F$10,xmen[costume],F$9)</f>
        <v>0</v>
      </c>
      <c r="G192">
        <f>SUMIFS(INDEX(xmen[[speech]:[depicted]],,$E$2),xmen[issue],Matrix!$B192,xmen[x],Matrix!G$10,xmen[costume],G$9)</f>
        <v>0</v>
      </c>
      <c r="H192">
        <f>SUMIFS(INDEX(xmen[[speech]:[depicted]],,$E$2),xmen[issue],Matrix!$B192,xmen[x],Matrix!H$10,xmen[costume],H$9)</f>
        <v>0</v>
      </c>
      <c r="I192">
        <f>SUMIFS(INDEX(xmen[[speech]:[depicted]],,$E$2),xmen[issue],Matrix!$B192,xmen[x],Matrix!I$10,xmen[costume],I$9)</f>
        <v>0</v>
      </c>
      <c r="J192">
        <f>SUMIFS(INDEX(xmen[[speech]:[depicted]],,$E$2),xmen[issue],Matrix!$B192,xmen[x],Matrix!J$10,xmen[costume],J$9)</f>
        <v>0</v>
      </c>
      <c r="K192">
        <f>SUMIFS(INDEX(xmen[[speech]:[depicted]],,$E$2),xmen[issue],Matrix!$B192,xmen[x],Matrix!K$10,xmen[costume],K$9)</f>
        <v>0</v>
      </c>
      <c r="L192">
        <f>SUMIFS(INDEX(xmen[[speech]:[depicted]],,$E$2),xmen[issue],Matrix!$B192,xmen[x],Matrix!L$10,xmen[costume],L$9)</f>
        <v>0</v>
      </c>
      <c r="M192">
        <f t="shared" ca="1" si="26"/>
        <v>163</v>
      </c>
      <c r="O192">
        <f t="shared" ca="1" si="34"/>
        <v>153.625</v>
      </c>
      <c r="P192">
        <f t="shared" ca="1" si="36"/>
        <v>0</v>
      </c>
      <c r="Q192">
        <f t="shared" ca="1" si="36"/>
        <v>0</v>
      </c>
      <c r="R192">
        <f t="shared" ca="1" si="36"/>
        <v>0</v>
      </c>
      <c r="S192">
        <f t="shared" ca="1" si="36"/>
        <v>0</v>
      </c>
      <c r="T192">
        <f t="shared" ca="1" si="36"/>
        <v>0</v>
      </c>
      <c r="U192">
        <f t="shared" ca="1" si="36"/>
        <v>0</v>
      </c>
      <c r="V192">
        <f t="shared" ca="1" si="36"/>
        <v>11.25</v>
      </c>
      <c r="W192">
        <f t="shared" ca="1" si="36"/>
        <v>2.75</v>
      </c>
      <c r="X192">
        <f t="shared" ca="1" si="36"/>
        <v>0</v>
      </c>
      <c r="Y192">
        <f t="shared" ca="1" si="36"/>
        <v>0</v>
      </c>
      <c r="Z192">
        <f t="shared" ca="1" si="28"/>
        <v>167.625</v>
      </c>
      <c r="AA192" t="e">
        <f t="shared" si="29"/>
        <v>#N/A</v>
      </c>
      <c r="AB192" t="str">
        <f t="shared" si="30"/>
        <v/>
      </c>
      <c r="AC192">
        <f t="shared" si="31"/>
        <v>0</v>
      </c>
    </row>
    <row r="193" spans="2:29" x14ac:dyDescent="0.3">
      <c r="B193">
        <v>272</v>
      </c>
      <c r="C193">
        <f>SUMIFS(INDEX(xmen[[speech]:[depicted]],,$E$2),xmen[issue],Matrix!$B193,xmen[x],Matrix!C$10,xmen[costume],C$9)</f>
        <v>0</v>
      </c>
      <c r="D193">
        <f>SUMIFS(INDEX(xmen[[speech]:[depicted]],,$E$2),xmen[issue],Matrix!$B193,xmen[x],Matrix!D$10,xmen[costume],D$9)</f>
        <v>0</v>
      </c>
      <c r="E193">
        <f>SUMIFS(INDEX(xmen[[speech]:[depicted]],,$E$2),xmen[issue],Matrix!$B193,xmen[x],Matrix!E$10,xmen[costume],E$9)</f>
        <v>0</v>
      </c>
      <c r="F193">
        <f>SUMIFS(INDEX(xmen[[speech]:[depicted]],,$E$2),xmen[issue],Matrix!$B193,xmen[x],Matrix!F$10,xmen[costume],F$9)</f>
        <v>0</v>
      </c>
      <c r="G193">
        <f>SUMIFS(INDEX(xmen[[speech]:[depicted]],,$E$2),xmen[issue],Matrix!$B193,xmen[x],Matrix!G$10,xmen[costume],G$9)</f>
        <v>0</v>
      </c>
      <c r="H193">
        <f>SUMIFS(INDEX(xmen[[speech]:[depicted]],,$E$2),xmen[issue],Matrix!$B193,xmen[x],Matrix!H$10,xmen[costume],H$9)</f>
        <v>0</v>
      </c>
      <c r="I193">
        <f>SUMIFS(INDEX(xmen[[speech]:[depicted]],,$E$2),xmen[issue],Matrix!$B193,xmen[x],Matrix!I$10,xmen[costume],I$9)</f>
        <v>0</v>
      </c>
      <c r="J193">
        <f>SUMIFS(INDEX(xmen[[speech]:[depicted]],,$E$2),xmen[issue],Matrix!$B193,xmen[x],Matrix!J$10,xmen[costume],J$9)</f>
        <v>0</v>
      </c>
      <c r="K193">
        <f>SUMIFS(INDEX(xmen[[speech]:[depicted]],,$E$2),xmen[issue],Matrix!$B193,xmen[x],Matrix!K$10,xmen[costume],K$9)</f>
        <v>0</v>
      </c>
      <c r="L193">
        <f>SUMIFS(INDEX(xmen[[speech]:[depicted]],,$E$2),xmen[issue],Matrix!$B193,xmen[x],Matrix!L$10,xmen[costume],L$9)</f>
        <v>0</v>
      </c>
      <c r="M193">
        <f t="shared" ca="1" si="26"/>
        <v>155</v>
      </c>
      <c r="O193">
        <f t="shared" ca="1" si="34"/>
        <v>150</v>
      </c>
      <c r="P193">
        <f t="shared" ca="1" si="36"/>
        <v>0</v>
      </c>
      <c r="Q193">
        <f t="shared" ca="1" si="36"/>
        <v>0</v>
      </c>
      <c r="R193">
        <f t="shared" ca="1" si="36"/>
        <v>0</v>
      </c>
      <c r="S193">
        <f t="shared" ca="1" si="36"/>
        <v>0</v>
      </c>
      <c r="T193">
        <f t="shared" ca="1" si="36"/>
        <v>0</v>
      </c>
      <c r="U193">
        <f t="shared" ca="1" si="36"/>
        <v>0</v>
      </c>
      <c r="V193">
        <f t="shared" ca="1" si="36"/>
        <v>12.625</v>
      </c>
      <c r="W193">
        <f t="shared" ca="1" si="36"/>
        <v>8.875</v>
      </c>
      <c r="X193">
        <f t="shared" ca="1" si="36"/>
        <v>0</v>
      </c>
      <c r="Y193">
        <f t="shared" ca="1" si="36"/>
        <v>0</v>
      </c>
      <c r="Z193">
        <f t="shared" ca="1" si="28"/>
        <v>171.5</v>
      </c>
      <c r="AA193" t="e">
        <f t="shared" si="29"/>
        <v>#N/A</v>
      </c>
      <c r="AB193" t="str">
        <f t="shared" si="30"/>
        <v/>
      </c>
      <c r="AC193">
        <f t="shared" si="31"/>
        <v>0</v>
      </c>
    </row>
    <row r="194" spans="2:29" x14ac:dyDescent="0.3">
      <c r="B194">
        <v>273</v>
      </c>
      <c r="C194">
        <f>SUMIFS(INDEX(xmen[[speech]:[depicted]],,$E$2),xmen[issue],Matrix!$B194,xmen[x],Matrix!C$10,xmen[costume],C$9)</f>
        <v>0</v>
      </c>
      <c r="D194">
        <f>SUMIFS(INDEX(xmen[[speech]:[depicted]],,$E$2),xmen[issue],Matrix!$B194,xmen[x],Matrix!D$10,xmen[costume],D$9)</f>
        <v>0</v>
      </c>
      <c r="E194">
        <f>SUMIFS(INDEX(xmen[[speech]:[depicted]],,$E$2),xmen[issue],Matrix!$B194,xmen[x],Matrix!E$10,xmen[costume],E$9)</f>
        <v>0</v>
      </c>
      <c r="F194">
        <f>SUMIFS(INDEX(xmen[[speech]:[depicted]],,$E$2),xmen[issue],Matrix!$B194,xmen[x],Matrix!F$10,xmen[costume],F$9)</f>
        <v>0</v>
      </c>
      <c r="G194">
        <f>SUMIFS(INDEX(xmen[[speech]:[depicted]],,$E$2),xmen[issue],Matrix!$B194,xmen[x],Matrix!G$10,xmen[costume],G$9)</f>
        <v>0</v>
      </c>
      <c r="H194">
        <f>SUMIFS(INDEX(xmen[[speech]:[depicted]],,$E$2),xmen[issue],Matrix!$B194,xmen[x],Matrix!H$10,xmen[costume],H$9)</f>
        <v>0</v>
      </c>
      <c r="I194">
        <f>SUMIFS(INDEX(xmen[[speech]:[depicted]],,$E$2),xmen[issue],Matrix!$B194,xmen[x],Matrix!I$10,xmen[costume],I$9)</f>
        <v>0</v>
      </c>
      <c r="J194">
        <f>SUMIFS(INDEX(xmen[[speech]:[depicted]],,$E$2),xmen[issue],Matrix!$B194,xmen[x],Matrix!J$10,xmen[costume],J$9)</f>
        <v>0</v>
      </c>
      <c r="K194">
        <f>SUMIFS(INDEX(xmen[[speech]:[depicted]],,$E$2),xmen[issue],Matrix!$B194,xmen[x],Matrix!K$10,xmen[costume],K$9)</f>
        <v>0</v>
      </c>
      <c r="L194">
        <f>SUMIFS(INDEX(xmen[[speech]:[depicted]],,$E$2),xmen[issue],Matrix!$B194,xmen[x],Matrix!L$10,xmen[costume],L$9)</f>
        <v>0</v>
      </c>
      <c r="M194">
        <f t="shared" ca="1" si="26"/>
        <v>168</v>
      </c>
      <c r="O194">
        <f t="shared" ca="1" si="34"/>
        <v>152.375</v>
      </c>
      <c r="P194">
        <f t="shared" ca="1" si="36"/>
        <v>0</v>
      </c>
      <c r="Q194">
        <f t="shared" ca="1" si="36"/>
        <v>0</v>
      </c>
      <c r="R194">
        <f t="shared" ca="1" si="36"/>
        <v>0</v>
      </c>
      <c r="S194">
        <f t="shared" ca="1" si="36"/>
        <v>0</v>
      </c>
      <c r="T194">
        <f t="shared" ca="1" si="36"/>
        <v>0</v>
      </c>
      <c r="U194">
        <f t="shared" ca="1" si="36"/>
        <v>0</v>
      </c>
      <c r="V194">
        <f t="shared" ca="1" si="36"/>
        <v>12.625</v>
      </c>
      <c r="W194">
        <f t="shared" ca="1" si="36"/>
        <v>8.875</v>
      </c>
      <c r="X194">
        <f t="shared" ca="1" si="36"/>
        <v>0</v>
      </c>
      <c r="Y194">
        <f t="shared" ca="1" si="36"/>
        <v>0</v>
      </c>
      <c r="Z194">
        <f t="shared" ca="1" si="28"/>
        <v>173.875</v>
      </c>
      <c r="AA194" t="e">
        <f t="shared" si="29"/>
        <v>#N/A</v>
      </c>
      <c r="AB194" t="str">
        <f t="shared" si="30"/>
        <v/>
      </c>
      <c r="AC194">
        <f t="shared" si="31"/>
        <v>0</v>
      </c>
    </row>
    <row r="195" spans="2:29" x14ac:dyDescent="0.3">
      <c r="B195">
        <v>274</v>
      </c>
      <c r="C195">
        <f>SUMIFS(INDEX(xmen[[speech]:[depicted]],,$E$2),xmen[issue],Matrix!$B195,xmen[x],Matrix!C$10,xmen[costume],C$9)</f>
        <v>0</v>
      </c>
      <c r="D195">
        <f>SUMIFS(INDEX(xmen[[speech]:[depicted]],,$E$2),xmen[issue],Matrix!$B195,xmen[x],Matrix!D$10,xmen[costume],D$9)</f>
        <v>0</v>
      </c>
      <c r="E195">
        <f>SUMIFS(INDEX(xmen[[speech]:[depicted]],,$E$2),xmen[issue],Matrix!$B195,xmen[x],Matrix!E$10,xmen[costume],E$9)</f>
        <v>90</v>
      </c>
      <c r="F195">
        <f>SUMIFS(INDEX(xmen[[speech]:[depicted]],,$E$2),xmen[issue],Matrix!$B195,xmen[x],Matrix!F$10,xmen[costume],F$9)</f>
        <v>22</v>
      </c>
      <c r="G195">
        <f>SUMIFS(INDEX(xmen[[speech]:[depicted]],,$E$2),xmen[issue],Matrix!$B195,xmen[x],Matrix!G$10,xmen[costume],G$9)</f>
        <v>0</v>
      </c>
      <c r="H195">
        <f>SUMIFS(INDEX(xmen[[speech]:[depicted]],,$E$2),xmen[issue],Matrix!$B195,xmen[x],Matrix!H$10,xmen[costume],H$9)</f>
        <v>0</v>
      </c>
      <c r="I195">
        <f>SUMIFS(INDEX(xmen[[speech]:[depicted]],,$E$2),xmen[issue],Matrix!$B195,xmen[x],Matrix!I$10,xmen[costume],I$9)</f>
        <v>0</v>
      </c>
      <c r="J195">
        <f>SUMIFS(INDEX(xmen[[speech]:[depicted]],,$E$2),xmen[issue],Matrix!$B195,xmen[x],Matrix!J$10,xmen[costume],J$9)</f>
        <v>0</v>
      </c>
      <c r="K195">
        <f>SUMIFS(INDEX(xmen[[speech]:[depicted]],,$E$2),xmen[issue],Matrix!$B195,xmen[x],Matrix!K$10,xmen[costume],K$9)</f>
        <v>0</v>
      </c>
      <c r="L195">
        <f>SUMIFS(INDEX(xmen[[speech]:[depicted]],,$E$2),xmen[issue],Matrix!$B195,xmen[x],Matrix!L$10,xmen[costume],L$9)</f>
        <v>0</v>
      </c>
      <c r="M195">
        <f t="shared" ca="1" si="26"/>
        <v>117</v>
      </c>
      <c r="O195">
        <f t="shared" ca="1" si="34"/>
        <v>151</v>
      </c>
      <c r="P195">
        <f t="shared" ca="1" si="36"/>
        <v>0</v>
      </c>
      <c r="Q195">
        <f t="shared" ca="1" si="36"/>
        <v>0</v>
      </c>
      <c r="R195">
        <f t="shared" ca="1" si="36"/>
        <v>0</v>
      </c>
      <c r="S195">
        <f t="shared" ca="1" si="36"/>
        <v>0</v>
      </c>
      <c r="T195">
        <f t="shared" ca="1" si="36"/>
        <v>0</v>
      </c>
      <c r="U195">
        <f t="shared" ca="1" si="36"/>
        <v>0</v>
      </c>
      <c r="V195">
        <f t="shared" ca="1" si="36"/>
        <v>12.625</v>
      </c>
      <c r="W195">
        <f t="shared" ca="1" si="36"/>
        <v>8.875</v>
      </c>
      <c r="X195">
        <f t="shared" ca="1" si="36"/>
        <v>0</v>
      </c>
      <c r="Y195">
        <f t="shared" ca="1" si="36"/>
        <v>0</v>
      </c>
      <c r="Z195">
        <f t="shared" ca="1" si="28"/>
        <v>172.5</v>
      </c>
      <c r="AA195" t="e">
        <f t="shared" si="29"/>
        <v>#N/A</v>
      </c>
      <c r="AB195" t="str">
        <f t="shared" si="30"/>
        <v/>
      </c>
      <c r="AC195">
        <f t="shared" si="31"/>
        <v>0</v>
      </c>
    </row>
    <row r="196" spans="2:29" x14ac:dyDescent="0.3">
      <c r="B196">
        <v>275</v>
      </c>
      <c r="C196">
        <f>SUMIFS(INDEX(xmen[[speech]:[depicted]],,$E$2),xmen[issue],Matrix!$B196,xmen[x],Matrix!C$10,xmen[costume],C$9)</f>
        <v>0</v>
      </c>
      <c r="D196">
        <f>SUMIFS(INDEX(xmen[[speech]:[depicted]],,$E$2),xmen[issue],Matrix!$B196,xmen[x],Matrix!D$10,xmen[costume],D$9)</f>
        <v>0</v>
      </c>
      <c r="E196">
        <f>SUMIFS(INDEX(xmen[[speech]:[depicted]],,$E$2),xmen[issue],Matrix!$B196,xmen[x],Matrix!E$10,xmen[costume],E$9)</f>
        <v>11</v>
      </c>
      <c r="F196">
        <f>SUMIFS(INDEX(xmen[[speech]:[depicted]],,$E$2),xmen[issue],Matrix!$B196,xmen[x],Matrix!F$10,xmen[costume],F$9)</f>
        <v>49</v>
      </c>
      <c r="G196">
        <f>SUMIFS(INDEX(xmen[[speech]:[depicted]],,$E$2),xmen[issue],Matrix!$B196,xmen[x],Matrix!G$10,xmen[costume],G$9)</f>
        <v>0</v>
      </c>
      <c r="H196">
        <f>SUMIFS(INDEX(xmen[[speech]:[depicted]],,$E$2),xmen[issue],Matrix!$B196,xmen[x],Matrix!H$10,xmen[costume],H$9)</f>
        <v>0</v>
      </c>
      <c r="I196">
        <f>SUMIFS(INDEX(xmen[[speech]:[depicted]],,$E$2),xmen[issue],Matrix!$B196,xmen[x],Matrix!I$10,xmen[costume],I$9)</f>
        <v>0</v>
      </c>
      <c r="J196">
        <f>SUMIFS(INDEX(xmen[[speech]:[depicted]],,$E$2),xmen[issue],Matrix!$B196,xmen[x],Matrix!J$10,xmen[costume],J$9)</f>
        <v>0</v>
      </c>
      <c r="K196">
        <f>SUMIFS(INDEX(xmen[[speech]:[depicted]],,$E$2),xmen[issue],Matrix!$B196,xmen[x],Matrix!K$10,xmen[costume],K$9)</f>
        <v>0</v>
      </c>
      <c r="L196">
        <f>SUMIFS(INDEX(xmen[[speech]:[depicted]],,$E$2),xmen[issue],Matrix!$B196,xmen[x],Matrix!L$10,xmen[costume],L$9)</f>
        <v>0</v>
      </c>
      <c r="M196">
        <f t="shared" ca="1" si="26"/>
        <v>125</v>
      </c>
      <c r="O196">
        <f t="shared" ca="1" si="34"/>
        <v>152.25</v>
      </c>
      <c r="P196">
        <f t="shared" ca="1" si="36"/>
        <v>0</v>
      </c>
      <c r="Q196">
        <f t="shared" ca="1" si="36"/>
        <v>0</v>
      </c>
      <c r="R196">
        <f t="shared" ca="1" si="36"/>
        <v>0</v>
      </c>
      <c r="S196">
        <f t="shared" ca="1" si="36"/>
        <v>0</v>
      </c>
      <c r="T196">
        <f t="shared" ca="1" si="36"/>
        <v>0</v>
      </c>
      <c r="U196">
        <f t="shared" ca="1" si="36"/>
        <v>0</v>
      </c>
      <c r="V196">
        <f t="shared" ca="1" si="36"/>
        <v>12.625</v>
      </c>
      <c r="W196">
        <f t="shared" ca="1" si="36"/>
        <v>8.875</v>
      </c>
      <c r="X196">
        <f t="shared" ca="1" si="36"/>
        <v>0</v>
      </c>
      <c r="Y196">
        <f t="shared" ca="1" si="36"/>
        <v>0</v>
      </c>
      <c r="Z196">
        <f t="shared" ca="1" si="28"/>
        <v>173.75</v>
      </c>
      <c r="AA196" t="e">
        <f t="shared" si="29"/>
        <v>#N/A</v>
      </c>
      <c r="AB196" t="str">
        <f t="shared" si="30"/>
        <v/>
      </c>
      <c r="AC196">
        <f t="shared" si="31"/>
        <v>0</v>
      </c>
    </row>
    <row r="197" spans="2:29" x14ac:dyDescent="0.3">
      <c r="B197">
        <v>276</v>
      </c>
      <c r="C197">
        <f>SUMIFS(INDEX(xmen[[speech]:[depicted]],,$E$2),xmen[issue],Matrix!$B197,xmen[x],Matrix!C$10,xmen[costume],C$9)</f>
        <v>0</v>
      </c>
      <c r="D197">
        <f>SUMIFS(INDEX(xmen[[speech]:[depicted]],,$E$2),xmen[issue],Matrix!$B197,xmen[x],Matrix!D$10,xmen[costume],D$9)</f>
        <v>0</v>
      </c>
      <c r="E197">
        <f>SUMIFS(INDEX(xmen[[speech]:[depicted]],,$E$2),xmen[issue],Matrix!$B197,xmen[x],Matrix!E$10,xmen[costume],E$9)</f>
        <v>0</v>
      </c>
      <c r="F197">
        <f>SUMIFS(INDEX(xmen[[speech]:[depicted]],,$E$2),xmen[issue],Matrix!$B197,xmen[x],Matrix!F$10,xmen[costume],F$9)</f>
        <v>0</v>
      </c>
      <c r="G197">
        <f>SUMIFS(INDEX(xmen[[speech]:[depicted]],,$E$2),xmen[issue],Matrix!$B197,xmen[x],Matrix!G$10,xmen[costume],G$9)</f>
        <v>0</v>
      </c>
      <c r="H197">
        <f>SUMIFS(INDEX(xmen[[speech]:[depicted]],,$E$2),xmen[issue],Matrix!$B197,xmen[x],Matrix!H$10,xmen[costume],H$9)</f>
        <v>0</v>
      </c>
      <c r="I197">
        <f>SUMIFS(INDEX(xmen[[speech]:[depicted]],,$E$2),xmen[issue],Matrix!$B197,xmen[x],Matrix!I$10,xmen[costume],I$9)</f>
        <v>0</v>
      </c>
      <c r="J197">
        <f>SUMIFS(INDEX(xmen[[speech]:[depicted]],,$E$2),xmen[issue],Matrix!$B197,xmen[x],Matrix!J$10,xmen[costume],J$9)</f>
        <v>0</v>
      </c>
      <c r="K197">
        <f>SUMIFS(INDEX(xmen[[speech]:[depicted]],,$E$2),xmen[issue],Matrix!$B197,xmen[x],Matrix!K$10,xmen[costume],K$9)</f>
        <v>0</v>
      </c>
      <c r="L197">
        <f>SUMIFS(INDEX(xmen[[speech]:[depicted]],,$E$2),xmen[issue],Matrix!$B197,xmen[x],Matrix!L$10,xmen[costume],L$9)</f>
        <v>0</v>
      </c>
      <c r="M197">
        <f t="shared" ca="1" si="26"/>
        <v>171</v>
      </c>
      <c r="O197">
        <f t="shared" ca="1" si="34"/>
        <v>153.375</v>
      </c>
      <c r="P197">
        <f t="shared" ca="1" si="36"/>
        <v>0</v>
      </c>
      <c r="Q197">
        <f t="shared" ca="1" si="36"/>
        <v>0</v>
      </c>
      <c r="R197">
        <f t="shared" ca="1" si="36"/>
        <v>0</v>
      </c>
      <c r="S197">
        <f t="shared" ca="1" si="36"/>
        <v>0</v>
      </c>
      <c r="T197">
        <f t="shared" ca="1" si="36"/>
        <v>0</v>
      </c>
      <c r="U197">
        <f t="shared" ca="1" si="36"/>
        <v>0</v>
      </c>
      <c r="V197">
        <f t="shared" ca="1" si="36"/>
        <v>12.625</v>
      </c>
      <c r="W197">
        <f t="shared" ca="1" si="36"/>
        <v>8.875</v>
      </c>
      <c r="X197">
        <f t="shared" ca="1" si="36"/>
        <v>0</v>
      </c>
      <c r="Y197">
        <f t="shared" ca="1" si="36"/>
        <v>0</v>
      </c>
      <c r="Z197">
        <f t="shared" ca="1" si="28"/>
        <v>174.875</v>
      </c>
      <c r="AA197" t="e">
        <f t="shared" si="29"/>
        <v>#N/A</v>
      </c>
      <c r="AB197" t="str">
        <f t="shared" si="30"/>
        <v/>
      </c>
      <c r="AC197">
        <f t="shared" si="31"/>
        <v>0</v>
      </c>
    </row>
    <row r="198" spans="2:29" x14ac:dyDescent="0.3">
      <c r="B198">
        <v>277</v>
      </c>
      <c r="C198">
        <f>SUMIFS(INDEX(xmen[[speech]:[depicted]],,$E$2),xmen[issue],Matrix!$B198,xmen[x],Matrix!C$10,xmen[costume],C$9)</f>
        <v>0</v>
      </c>
      <c r="D198">
        <f>SUMIFS(INDEX(xmen[[speech]:[depicted]],,$E$2),xmen[issue],Matrix!$B198,xmen[x],Matrix!D$10,xmen[costume],D$9)</f>
        <v>0</v>
      </c>
      <c r="E198">
        <f>SUMIFS(INDEX(xmen[[speech]:[depicted]],,$E$2),xmen[issue],Matrix!$B198,xmen[x],Matrix!E$10,xmen[costume],E$9)</f>
        <v>0</v>
      </c>
      <c r="F198">
        <f>SUMIFS(INDEX(xmen[[speech]:[depicted]],,$E$2),xmen[issue],Matrix!$B198,xmen[x],Matrix!F$10,xmen[costume],F$9)</f>
        <v>0</v>
      </c>
      <c r="G198">
        <f>SUMIFS(INDEX(xmen[[speech]:[depicted]],,$E$2),xmen[issue],Matrix!$B198,xmen[x],Matrix!G$10,xmen[costume],G$9)</f>
        <v>0</v>
      </c>
      <c r="H198">
        <f>SUMIFS(INDEX(xmen[[speech]:[depicted]],,$E$2),xmen[issue],Matrix!$B198,xmen[x],Matrix!H$10,xmen[costume],H$9)</f>
        <v>0</v>
      </c>
      <c r="I198">
        <f>SUMIFS(INDEX(xmen[[speech]:[depicted]],,$E$2),xmen[issue],Matrix!$B198,xmen[x],Matrix!I$10,xmen[costume],I$9)</f>
        <v>0</v>
      </c>
      <c r="J198">
        <f>SUMIFS(INDEX(xmen[[speech]:[depicted]],,$E$2),xmen[issue],Matrix!$B198,xmen[x],Matrix!J$10,xmen[costume],J$9)</f>
        <v>0</v>
      </c>
      <c r="K198">
        <f>SUMIFS(INDEX(xmen[[speech]:[depicted]],,$E$2),xmen[issue],Matrix!$B198,xmen[x],Matrix!K$10,xmen[costume],K$9)</f>
        <v>0</v>
      </c>
      <c r="L198">
        <f>SUMIFS(INDEX(xmen[[speech]:[depicted]],,$E$2),xmen[issue],Matrix!$B198,xmen[x],Matrix!L$10,xmen[costume],L$9)</f>
        <v>0</v>
      </c>
      <c r="M198">
        <f t="shared" ca="1" si="26"/>
        <v>149</v>
      </c>
      <c r="O198">
        <f t="shared" ca="1" si="34"/>
        <v>153.375</v>
      </c>
      <c r="P198">
        <f t="shared" ca="1" si="36"/>
        <v>0</v>
      </c>
      <c r="Q198">
        <f t="shared" ca="1" si="36"/>
        <v>0</v>
      </c>
      <c r="R198">
        <f t="shared" ca="1" si="36"/>
        <v>0</v>
      </c>
      <c r="S198">
        <f t="shared" ca="1" si="36"/>
        <v>0</v>
      </c>
      <c r="T198">
        <f t="shared" ca="1" si="36"/>
        <v>0</v>
      </c>
      <c r="U198">
        <f t="shared" ca="1" si="36"/>
        <v>0</v>
      </c>
      <c r="V198">
        <f t="shared" ca="1" si="36"/>
        <v>12.625</v>
      </c>
      <c r="W198">
        <f t="shared" ca="1" si="36"/>
        <v>8.875</v>
      </c>
      <c r="X198">
        <f t="shared" ca="1" si="36"/>
        <v>0</v>
      </c>
      <c r="Y198">
        <f t="shared" ca="1" si="36"/>
        <v>0</v>
      </c>
      <c r="Z198">
        <f t="shared" ca="1" si="28"/>
        <v>174.875</v>
      </c>
      <c r="AA198" t="e">
        <f t="shared" si="29"/>
        <v>#N/A</v>
      </c>
      <c r="AB198" t="str">
        <f t="shared" si="30"/>
        <v/>
      </c>
      <c r="AC198">
        <f t="shared" si="31"/>
        <v>0</v>
      </c>
    </row>
    <row r="199" spans="2:29" x14ac:dyDescent="0.3">
      <c r="B199">
        <v>278</v>
      </c>
      <c r="C199">
        <f>SUMIFS(INDEX(xmen[[speech]:[depicted]],,$E$2),xmen[issue],Matrix!$B199,xmen[x],Matrix!C$10,xmen[costume],C$9)</f>
        <v>0</v>
      </c>
      <c r="D199">
        <f>SUMIFS(INDEX(xmen[[speech]:[depicted]],,$E$2),xmen[issue],Matrix!$B199,xmen[x],Matrix!D$10,xmen[costume],D$9)</f>
        <v>0</v>
      </c>
      <c r="E199">
        <f>SUMIFS(INDEX(xmen[[speech]:[depicted]],,$E$2),xmen[issue],Matrix!$B199,xmen[x],Matrix!E$10,xmen[costume],E$9)</f>
        <v>0</v>
      </c>
      <c r="F199">
        <f>SUMIFS(INDEX(xmen[[speech]:[depicted]],,$E$2),xmen[issue],Matrix!$B199,xmen[x],Matrix!F$10,xmen[costume],F$9)</f>
        <v>0</v>
      </c>
      <c r="G199">
        <f>SUMIFS(INDEX(xmen[[speech]:[depicted]],,$E$2),xmen[issue],Matrix!$B199,xmen[x],Matrix!G$10,xmen[costume],G$9)</f>
        <v>0</v>
      </c>
      <c r="H199">
        <f>SUMIFS(INDEX(xmen[[speech]:[depicted]],,$E$2),xmen[issue],Matrix!$B199,xmen[x],Matrix!H$10,xmen[costume],H$9)</f>
        <v>0</v>
      </c>
      <c r="I199">
        <f>SUMIFS(INDEX(xmen[[speech]:[depicted]],,$E$2),xmen[issue],Matrix!$B199,xmen[x],Matrix!I$10,xmen[costume],I$9)</f>
        <v>0</v>
      </c>
      <c r="J199">
        <f>SUMIFS(INDEX(xmen[[speech]:[depicted]],,$E$2),xmen[issue],Matrix!$B199,xmen[x],Matrix!J$10,xmen[costume],J$9)</f>
        <v>0</v>
      </c>
      <c r="K199">
        <f>SUMIFS(INDEX(xmen[[speech]:[depicted]],,$E$2),xmen[issue],Matrix!$B199,xmen[x],Matrix!K$10,xmen[costume],K$9)</f>
        <v>0</v>
      </c>
      <c r="L199">
        <f>SUMIFS(INDEX(xmen[[speech]:[depicted]],,$E$2),xmen[issue],Matrix!$B199,xmen[x],Matrix!L$10,xmen[costume],L$9)</f>
        <v>0</v>
      </c>
      <c r="M199">
        <f t="shared" ca="1" si="26"/>
        <v>170</v>
      </c>
      <c r="O199">
        <f t="shared" ca="1" si="34"/>
        <v>150.5</v>
      </c>
      <c r="P199">
        <f t="shared" ca="1" si="36"/>
        <v>0</v>
      </c>
      <c r="Q199">
        <f t="shared" ca="1" si="36"/>
        <v>0</v>
      </c>
      <c r="R199">
        <f t="shared" ca="1" si="36"/>
        <v>0</v>
      </c>
      <c r="S199">
        <f t="shared" ca="1" si="36"/>
        <v>0</v>
      </c>
      <c r="T199">
        <f t="shared" ca="1" si="36"/>
        <v>0</v>
      </c>
      <c r="U199">
        <f t="shared" ca="1" si="36"/>
        <v>0</v>
      </c>
      <c r="V199">
        <f t="shared" ca="1" si="36"/>
        <v>12.625</v>
      </c>
      <c r="W199">
        <f t="shared" ca="1" si="36"/>
        <v>8.875</v>
      </c>
      <c r="X199">
        <f t="shared" ca="1" si="36"/>
        <v>0</v>
      </c>
      <c r="Y199">
        <f t="shared" ca="1" si="36"/>
        <v>0</v>
      </c>
      <c r="Z199">
        <f t="shared" ca="1" si="28"/>
        <v>172</v>
      </c>
      <c r="AA199" t="e">
        <f t="shared" si="29"/>
        <v>#N/A</v>
      </c>
      <c r="AB199" t="str">
        <f t="shared" si="30"/>
        <v/>
      </c>
      <c r="AC199">
        <f t="shared" si="31"/>
        <v>0</v>
      </c>
    </row>
    <row r="200" spans="2:29" x14ac:dyDescent="0.3">
      <c r="B200">
        <v>279</v>
      </c>
      <c r="C200">
        <f>SUMIFS(INDEX(xmen[[speech]:[depicted]],,$E$2),xmen[issue],Matrix!$B200,xmen[x],Matrix!C$10,xmen[costume],C$9)</f>
        <v>0</v>
      </c>
      <c r="D200">
        <f>SUMIFS(INDEX(xmen[[speech]:[depicted]],,$E$2),xmen[issue],Matrix!$B200,xmen[x],Matrix!D$10,xmen[costume],D$9)</f>
        <v>0</v>
      </c>
      <c r="E200">
        <f>SUMIFS(INDEX(xmen[[speech]:[depicted]],,$E$2),xmen[issue],Matrix!$B200,xmen[x],Matrix!E$10,xmen[costume],E$9)</f>
        <v>0</v>
      </c>
      <c r="F200">
        <f>SUMIFS(INDEX(xmen[[speech]:[depicted]],,$E$2),xmen[issue],Matrix!$B200,xmen[x],Matrix!F$10,xmen[costume],F$9)</f>
        <v>0</v>
      </c>
      <c r="G200">
        <f>SUMIFS(INDEX(xmen[[speech]:[depicted]],,$E$2),xmen[issue],Matrix!$B200,xmen[x],Matrix!G$10,xmen[costume],G$9)</f>
        <v>0</v>
      </c>
      <c r="H200">
        <f>SUMIFS(INDEX(xmen[[speech]:[depicted]],,$E$2),xmen[issue],Matrix!$B200,xmen[x],Matrix!H$10,xmen[costume],H$9)</f>
        <v>0</v>
      </c>
      <c r="I200">
        <f>SUMIFS(INDEX(xmen[[speech]:[depicted]],,$E$2),xmen[issue],Matrix!$B200,xmen[x],Matrix!I$10,xmen[costume],I$9)</f>
        <v>0</v>
      </c>
      <c r="J200">
        <f>SUMIFS(INDEX(xmen[[speech]:[depicted]],,$E$2),xmen[issue],Matrix!$B200,xmen[x],Matrix!J$10,xmen[costume],J$9)</f>
        <v>0</v>
      </c>
      <c r="K200">
        <f>SUMIFS(INDEX(xmen[[speech]:[depicted]],,$E$2),xmen[issue],Matrix!$B200,xmen[x],Matrix!K$10,xmen[costume],K$9)</f>
        <v>0</v>
      </c>
      <c r="L200">
        <f>SUMIFS(INDEX(xmen[[speech]:[depicted]],,$E$2),xmen[issue],Matrix!$B200,xmen[x],Matrix!L$10,xmen[costume],L$9)</f>
        <v>0</v>
      </c>
      <c r="M200">
        <f t="shared" ca="1" si="26"/>
        <v>172</v>
      </c>
      <c r="O200">
        <f t="shared" ca="1" si="34"/>
        <v>154.25</v>
      </c>
      <c r="P200">
        <f t="shared" ca="1" si="36"/>
        <v>0</v>
      </c>
      <c r="Q200">
        <f t="shared" ca="1" si="36"/>
        <v>0</v>
      </c>
      <c r="R200">
        <f t="shared" ca="1" si="36"/>
        <v>0</v>
      </c>
      <c r="S200">
        <f t="shared" ca="1" si="36"/>
        <v>0</v>
      </c>
      <c r="T200">
        <f t="shared" ca="1" si="36"/>
        <v>0</v>
      </c>
      <c r="U200">
        <f t="shared" ca="1" si="36"/>
        <v>0</v>
      </c>
      <c r="V200">
        <f t="shared" ca="1" si="36"/>
        <v>1.375</v>
      </c>
      <c r="W200">
        <f t="shared" ca="1" si="36"/>
        <v>6.125</v>
      </c>
      <c r="X200">
        <f t="shared" ca="1" si="36"/>
        <v>0</v>
      </c>
      <c r="Y200">
        <f t="shared" ca="1" si="36"/>
        <v>0</v>
      </c>
      <c r="Z200">
        <f t="shared" ca="1" si="28"/>
        <v>161.75</v>
      </c>
      <c r="AA200" t="e">
        <f t="shared" si="29"/>
        <v>#N/A</v>
      </c>
      <c r="AB200" t="str">
        <f t="shared" si="30"/>
        <v/>
      </c>
      <c r="AC200">
        <f t="shared" si="31"/>
        <v>0</v>
      </c>
    </row>
    <row r="201" spans="2:29" x14ac:dyDescent="0.3">
      <c r="B201" s="14">
        <v>280</v>
      </c>
      <c r="C201">
        <f>SUMIFS(INDEX(xmen[[speech]:[depicted]],,$E$2),xmen[issue],Matrix!$B201,xmen[x],Matrix!C$10,xmen[costume],C$9)</f>
        <v>0</v>
      </c>
      <c r="D201">
        <f>SUMIFS(INDEX(xmen[[speech]:[depicted]],,$E$2),xmen[issue],Matrix!$B201,xmen[x],Matrix!D$10,xmen[costume],D$9)</f>
        <v>0</v>
      </c>
      <c r="E201">
        <f>SUMIFS(INDEX(xmen[[speech]:[depicted]],,$E$2),xmen[issue],Matrix!$B201,xmen[x],Matrix!E$10,xmen[costume],E$9)</f>
        <v>0</v>
      </c>
      <c r="F201">
        <f>SUMIFS(INDEX(xmen[[speech]:[depicted]],,$E$2),xmen[issue],Matrix!$B201,xmen[x],Matrix!F$10,xmen[costume],F$9)</f>
        <v>0</v>
      </c>
      <c r="G201">
        <f>SUMIFS(INDEX(xmen[[speech]:[depicted]],,$E$2),xmen[issue],Matrix!$B201,xmen[x],Matrix!G$10,xmen[costume],G$9)</f>
        <v>0</v>
      </c>
      <c r="H201">
        <f>SUMIFS(INDEX(xmen[[speech]:[depicted]],,$E$2),xmen[issue],Matrix!$B201,xmen[x],Matrix!H$10,xmen[costume],H$9)</f>
        <v>0</v>
      </c>
      <c r="I201">
        <f>SUMIFS(INDEX(xmen[[speech]:[depicted]],,$E$2),xmen[issue],Matrix!$B201,xmen[x],Matrix!I$10,xmen[costume],I$9)</f>
        <v>0</v>
      </c>
      <c r="J201">
        <f>SUMIFS(INDEX(xmen[[speech]:[depicted]],,$E$2),xmen[issue],Matrix!$B201,xmen[x],Matrix!J$10,xmen[costume],J$9)</f>
        <v>0</v>
      </c>
      <c r="K201">
        <f>SUMIFS(INDEX(xmen[[speech]:[depicted]],,$E$2),xmen[issue],Matrix!$B201,xmen[x],Matrix!K$10,xmen[costume],K$9)</f>
        <v>0</v>
      </c>
      <c r="L201">
        <f>SUMIFS(INDEX(xmen[[speech]:[depicted]],,$E$2),xmen[issue],Matrix!$B201,xmen[x],Matrix!L$10,xmen[costume],L$9)</f>
        <v>0</v>
      </c>
      <c r="M201">
        <f t="shared" ca="1" si="26"/>
        <v>155</v>
      </c>
      <c r="O201">
        <f t="shared" ca="1" si="34"/>
        <v>157.75</v>
      </c>
      <c r="P201">
        <f t="shared" ca="1" si="36"/>
        <v>0</v>
      </c>
      <c r="Q201">
        <f t="shared" ca="1" si="36"/>
        <v>0</v>
      </c>
      <c r="R201">
        <f t="shared" ca="1" si="36"/>
        <v>0</v>
      </c>
      <c r="S201">
        <f t="shared" ca="1" si="36"/>
        <v>0</v>
      </c>
      <c r="T201">
        <f t="shared" ca="1" si="36"/>
        <v>0</v>
      </c>
      <c r="U201">
        <f t="shared" ca="1" si="36"/>
        <v>0</v>
      </c>
      <c r="V201">
        <f t="shared" ca="1" si="36"/>
        <v>0</v>
      </c>
      <c r="W201">
        <f t="shared" ca="1" si="36"/>
        <v>0</v>
      </c>
      <c r="X201">
        <f t="shared" ca="1" si="36"/>
        <v>0</v>
      </c>
      <c r="Y201">
        <f t="shared" ca="1" si="36"/>
        <v>0</v>
      </c>
      <c r="Z201">
        <f t="shared" ca="1" si="28"/>
        <v>157.75</v>
      </c>
      <c r="AA201">
        <f t="shared" ca="1" si="29"/>
        <v>205</v>
      </c>
      <c r="AB201" t="str">
        <f t="shared" ca="1" si="30"/>
        <v>Issue
#280</v>
      </c>
      <c r="AC201">
        <f t="shared" ca="1" si="31"/>
        <v>0</v>
      </c>
    </row>
    <row r="202" spans="2:29" x14ac:dyDescent="0.3">
      <c r="B202">
        <v>282</v>
      </c>
      <c r="C202">
        <f>SUMIFS(INDEX(xmen[[speech]:[depicted]],,$E$2),xmen[issue],Matrix!$B202,xmen[x],Matrix!C$10,xmen[costume],C$9)</f>
        <v>0</v>
      </c>
      <c r="D202">
        <f>SUMIFS(INDEX(xmen[[speech]:[depicted]],,$E$2),xmen[issue],Matrix!$B202,xmen[x],Matrix!D$10,xmen[costume],D$9)</f>
        <v>0</v>
      </c>
      <c r="E202">
        <f>SUMIFS(INDEX(xmen[[speech]:[depicted]],,$E$2),xmen[issue],Matrix!$B202,xmen[x],Matrix!E$10,xmen[costume],E$9)</f>
        <v>0</v>
      </c>
      <c r="F202">
        <f>SUMIFS(INDEX(xmen[[speech]:[depicted]],,$E$2),xmen[issue],Matrix!$B202,xmen[x],Matrix!F$10,xmen[costume],F$9)</f>
        <v>0</v>
      </c>
      <c r="G202">
        <f>SUMIFS(INDEX(xmen[[speech]:[depicted]],,$E$2),xmen[issue],Matrix!$B202,xmen[x],Matrix!G$10,xmen[costume],G$9)</f>
        <v>0</v>
      </c>
      <c r="H202">
        <f>SUMIFS(INDEX(xmen[[speech]:[depicted]],,$E$2),xmen[issue],Matrix!$B202,xmen[x],Matrix!H$10,xmen[costume],H$9)</f>
        <v>0</v>
      </c>
      <c r="I202">
        <f>SUMIFS(INDEX(xmen[[speech]:[depicted]],,$E$2),xmen[issue],Matrix!$B202,xmen[x],Matrix!I$10,xmen[costume],I$9)</f>
        <v>0</v>
      </c>
      <c r="J202">
        <f>SUMIFS(INDEX(xmen[[speech]:[depicted]],,$E$2),xmen[issue],Matrix!$B202,xmen[x],Matrix!J$10,xmen[costume],J$9)</f>
        <v>0</v>
      </c>
      <c r="K202">
        <f>SUMIFS(INDEX(xmen[[speech]:[depicted]],,$E$2),xmen[issue],Matrix!$B202,xmen[x],Matrix!K$10,xmen[costume],K$9)</f>
        <v>0</v>
      </c>
      <c r="L202">
        <f>SUMIFS(INDEX(xmen[[speech]:[depicted]],,$E$2),xmen[issue],Matrix!$B202,xmen[x],Matrix!L$10,xmen[costume],L$9)</f>
        <v>0</v>
      </c>
      <c r="M202">
        <f t="shared" ca="1" si="26"/>
        <v>145</v>
      </c>
      <c r="O202">
        <f t="shared" ca="1" si="34"/>
        <v>155</v>
      </c>
      <c r="P202">
        <f t="shared" ca="1" si="36"/>
        <v>0</v>
      </c>
      <c r="Q202">
        <f t="shared" ca="1" si="36"/>
        <v>0</v>
      </c>
      <c r="R202">
        <f t="shared" ca="1" si="36"/>
        <v>0</v>
      </c>
      <c r="S202">
        <f t="shared" ca="1" si="36"/>
        <v>0</v>
      </c>
      <c r="T202">
        <f t="shared" ca="1" si="36"/>
        <v>0</v>
      </c>
      <c r="U202">
        <f t="shared" ca="1" si="36"/>
        <v>0</v>
      </c>
      <c r="V202">
        <f t="shared" ca="1" si="36"/>
        <v>0</v>
      </c>
      <c r="W202">
        <f t="shared" ca="1" si="36"/>
        <v>0</v>
      </c>
      <c r="X202">
        <f t="shared" ca="1" si="36"/>
        <v>0</v>
      </c>
      <c r="Y202">
        <f t="shared" ca="1" si="36"/>
        <v>0</v>
      </c>
      <c r="Z202">
        <f t="shared" ca="1" si="28"/>
        <v>155</v>
      </c>
      <c r="AA202" t="e">
        <f t="shared" si="29"/>
        <v>#N/A</v>
      </c>
      <c r="AB202" t="str">
        <f t="shared" si="30"/>
        <v/>
      </c>
      <c r="AC202">
        <f t="shared" si="31"/>
        <v>0</v>
      </c>
    </row>
    <row r="203" spans="2:29" x14ac:dyDescent="0.3">
      <c r="B203">
        <v>284</v>
      </c>
      <c r="C203">
        <f>SUMIFS(INDEX(xmen[[speech]:[depicted]],,$E$2),xmen[issue],Matrix!$B203,xmen[x],Matrix!C$10,xmen[costume],C$9)</f>
        <v>0</v>
      </c>
      <c r="D203">
        <f>SUMIFS(INDEX(xmen[[speech]:[depicted]],,$E$2),xmen[issue],Matrix!$B203,xmen[x],Matrix!D$10,xmen[costume],D$9)</f>
        <v>0</v>
      </c>
      <c r="E203">
        <f>SUMIFS(INDEX(xmen[[speech]:[depicted]],,$E$2),xmen[issue],Matrix!$B203,xmen[x],Matrix!E$10,xmen[costume],E$9)</f>
        <v>0</v>
      </c>
      <c r="F203">
        <f>SUMIFS(INDEX(xmen[[speech]:[depicted]],,$E$2),xmen[issue],Matrix!$B203,xmen[x],Matrix!F$10,xmen[costume],F$9)</f>
        <v>0</v>
      </c>
      <c r="G203">
        <f>SUMIFS(INDEX(xmen[[speech]:[depicted]],,$E$2),xmen[issue],Matrix!$B203,xmen[x],Matrix!G$10,xmen[costume],G$9)</f>
        <v>0</v>
      </c>
      <c r="H203">
        <f>SUMIFS(INDEX(xmen[[speech]:[depicted]],,$E$2),xmen[issue],Matrix!$B203,xmen[x],Matrix!H$10,xmen[costume],H$9)</f>
        <v>0</v>
      </c>
      <c r="I203">
        <f>SUMIFS(INDEX(xmen[[speech]:[depicted]],,$E$2),xmen[issue],Matrix!$B203,xmen[x],Matrix!I$10,xmen[costume],I$9)</f>
        <v>0</v>
      </c>
      <c r="J203">
        <f>SUMIFS(INDEX(xmen[[speech]:[depicted]],,$E$2),xmen[issue],Matrix!$B203,xmen[x],Matrix!J$10,xmen[costume],J$9)</f>
        <v>0</v>
      </c>
      <c r="K203">
        <f>SUMIFS(INDEX(xmen[[speech]:[depicted]],,$E$2),xmen[issue],Matrix!$B203,xmen[x],Matrix!K$10,xmen[costume],K$9)</f>
        <v>0</v>
      </c>
      <c r="L203">
        <f>SUMIFS(INDEX(xmen[[speech]:[depicted]],,$E$2),xmen[issue],Matrix!$B203,xmen[x],Matrix!L$10,xmen[costume],L$9)</f>
        <v>0</v>
      </c>
      <c r="M203">
        <f t="shared" ca="1" si="26"/>
        <v>147</v>
      </c>
      <c r="O203">
        <f t="shared" ca="1" si="34"/>
        <v>156.375</v>
      </c>
      <c r="P203">
        <f t="shared" ca="1" si="36"/>
        <v>0</v>
      </c>
      <c r="Q203">
        <f t="shared" ca="1" si="36"/>
        <v>0</v>
      </c>
      <c r="R203">
        <f t="shared" ca="1" si="36"/>
        <v>0</v>
      </c>
      <c r="S203">
        <f t="shared" ca="1" si="36"/>
        <v>0</v>
      </c>
      <c r="T203">
        <f t="shared" ca="1" si="36"/>
        <v>0</v>
      </c>
      <c r="U203">
        <f t="shared" ca="1" si="36"/>
        <v>0</v>
      </c>
      <c r="V203">
        <f t="shared" ca="1" si="36"/>
        <v>0</v>
      </c>
      <c r="W203">
        <f t="shared" ca="1" si="36"/>
        <v>0</v>
      </c>
      <c r="X203">
        <f t="shared" ca="1" si="36"/>
        <v>0</v>
      </c>
      <c r="Y203">
        <f t="shared" ca="1" si="36"/>
        <v>0</v>
      </c>
      <c r="Z203">
        <f t="shared" ca="1" si="28"/>
        <v>156.375</v>
      </c>
      <c r="AA203" t="e">
        <f t="shared" si="29"/>
        <v>#N/A</v>
      </c>
      <c r="AB203" t="str">
        <f t="shared" si="30"/>
        <v/>
      </c>
      <c r="AC203">
        <f t="shared" si="31"/>
        <v>0</v>
      </c>
    </row>
    <row r="204" spans="2:29" x14ac:dyDescent="0.3">
      <c r="B204">
        <v>286</v>
      </c>
      <c r="C204">
        <f>SUMIFS(INDEX(xmen[[speech]:[depicted]],,$E$2),xmen[issue],Matrix!$B204,xmen[x],Matrix!C$10,xmen[costume],C$9)</f>
        <v>0</v>
      </c>
      <c r="D204">
        <f>SUMIFS(INDEX(xmen[[speech]:[depicted]],,$E$2),xmen[issue],Matrix!$B204,xmen[x],Matrix!D$10,xmen[costume],D$9)</f>
        <v>0</v>
      </c>
      <c r="E204">
        <f>SUMIFS(INDEX(xmen[[speech]:[depicted]],,$E$2),xmen[issue],Matrix!$B204,xmen[x],Matrix!E$10,xmen[costume],E$9)</f>
        <v>0</v>
      </c>
      <c r="F204">
        <f>SUMIFS(INDEX(xmen[[speech]:[depicted]],,$E$2),xmen[issue],Matrix!$B204,xmen[x],Matrix!F$10,xmen[costume],F$9)</f>
        <v>0</v>
      </c>
      <c r="G204">
        <f>SUMIFS(INDEX(xmen[[speech]:[depicted]],,$E$2),xmen[issue],Matrix!$B204,xmen[x],Matrix!G$10,xmen[costume],G$9)</f>
        <v>0</v>
      </c>
      <c r="H204">
        <f>SUMIFS(INDEX(xmen[[speech]:[depicted]],,$E$2),xmen[issue],Matrix!$B204,xmen[x],Matrix!H$10,xmen[costume],H$9)</f>
        <v>0</v>
      </c>
      <c r="I204">
        <f>SUMIFS(INDEX(xmen[[speech]:[depicted]],,$E$2),xmen[issue],Matrix!$B204,xmen[x],Matrix!I$10,xmen[costume],I$9)</f>
        <v>0</v>
      </c>
      <c r="J204">
        <f>SUMIFS(INDEX(xmen[[speech]:[depicted]],,$E$2),xmen[issue],Matrix!$B204,xmen[x],Matrix!J$10,xmen[costume],J$9)</f>
        <v>0</v>
      </c>
      <c r="K204">
        <f>SUMIFS(INDEX(xmen[[speech]:[depicted]],,$E$2),xmen[issue],Matrix!$B204,xmen[x],Matrix!K$10,xmen[costume],K$9)</f>
        <v>0</v>
      </c>
      <c r="L204">
        <f>SUMIFS(INDEX(xmen[[speech]:[depicted]],,$E$2),xmen[issue],Matrix!$B204,xmen[x],Matrix!L$10,xmen[costume],L$9)</f>
        <v>0</v>
      </c>
      <c r="M204">
        <f t="shared" ref="M204:M211" ca="1" si="37">$M$2-SUM(C204:L204)/2+RANDBETWEEN($M$3,$M$4)</f>
        <v>153</v>
      </c>
      <c r="O204">
        <f t="shared" ref="O204:Y211" ca="1" si="38">AVERAGE(OFFSET(INDEX($C204:$M204,O$9),-$P$3,,$P$2,1))</f>
        <v>153.625</v>
      </c>
      <c r="P204">
        <f t="shared" ca="1" si="38"/>
        <v>0</v>
      </c>
      <c r="Q204">
        <f t="shared" ca="1" si="38"/>
        <v>0</v>
      </c>
      <c r="R204">
        <f t="shared" ca="1" si="38"/>
        <v>0</v>
      </c>
      <c r="S204">
        <f t="shared" ca="1" si="38"/>
        <v>0</v>
      </c>
      <c r="T204">
        <f t="shared" ca="1" si="38"/>
        <v>0</v>
      </c>
      <c r="U204">
        <f t="shared" ca="1" si="38"/>
        <v>0</v>
      </c>
      <c r="V204">
        <f t="shared" ca="1" si="38"/>
        <v>0</v>
      </c>
      <c r="W204">
        <f t="shared" ca="1" si="38"/>
        <v>0</v>
      </c>
      <c r="X204">
        <f t="shared" ca="1" si="38"/>
        <v>0</v>
      </c>
      <c r="Y204">
        <f t="shared" ca="1" si="38"/>
        <v>0</v>
      </c>
      <c r="Z204">
        <f t="shared" ref="Z204:Z211" ca="1" si="39">SUM(O204:Y204)</f>
        <v>153.625</v>
      </c>
      <c r="AA204" t="e">
        <f t="shared" ref="AA204:AA211" si="40">IF(COUNTIFS($AE$11:$AE$18,B204),$AA$6,NA())</f>
        <v>#N/A</v>
      </c>
      <c r="AB204" t="str">
        <f t="shared" ref="AB204:AB211" si="41">IF(ISNA(AA204),"","Issue"&amp;CHAR(10)&amp;"#"&amp;B204)</f>
        <v/>
      </c>
      <c r="AC204">
        <f t="shared" ref="AC204:AC211" si="42">IF(ISNA(AA204),0,Z204-O204)</f>
        <v>0</v>
      </c>
    </row>
    <row r="205" spans="2:29" x14ac:dyDescent="0.3">
      <c r="B205">
        <v>288</v>
      </c>
      <c r="C205">
        <f>SUMIFS(INDEX(xmen[[speech]:[depicted]],,$E$2),xmen[issue],Matrix!$B205,xmen[x],Matrix!C$10,xmen[costume],C$9)</f>
        <v>0</v>
      </c>
      <c r="D205">
        <f>SUMIFS(INDEX(xmen[[speech]:[depicted]],,$E$2),xmen[issue],Matrix!$B205,xmen[x],Matrix!D$10,xmen[costume],D$9)</f>
        <v>0</v>
      </c>
      <c r="E205">
        <f>SUMIFS(INDEX(xmen[[speech]:[depicted]],,$E$2),xmen[issue],Matrix!$B205,xmen[x],Matrix!E$10,xmen[costume],E$9)</f>
        <v>0</v>
      </c>
      <c r="F205">
        <f>SUMIFS(INDEX(xmen[[speech]:[depicted]],,$E$2),xmen[issue],Matrix!$B205,xmen[x],Matrix!F$10,xmen[costume],F$9)</f>
        <v>0</v>
      </c>
      <c r="G205">
        <f>SUMIFS(INDEX(xmen[[speech]:[depicted]],,$E$2),xmen[issue],Matrix!$B205,xmen[x],Matrix!G$10,xmen[costume],G$9)</f>
        <v>0</v>
      </c>
      <c r="H205">
        <f>SUMIFS(INDEX(xmen[[speech]:[depicted]],,$E$2),xmen[issue],Matrix!$B205,xmen[x],Matrix!H$10,xmen[costume],H$9)</f>
        <v>0</v>
      </c>
      <c r="I205">
        <f>SUMIFS(INDEX(xmen[[speech]:[depicted]],,$E$2),xmen[issue],Matrix!$B205,xmen[x],Matrix!I$10,xmen[costume],I$9)</f>
        <v>0</v>
      </c>
      <c r="J205">
        <f>SUMIFS(INDEX(xmen[[speech]:[depicted]],,$E$2),xmen[issue],Matrix!$B205,xmen[x],Matrix!J$10,xmen[costume],J$9)</f>
        <v>0</v>
      </c>
      <c r="K205">
        <f>SUMIFS(INDEX(xmen[[speech]:[depicted]],,$E$2),xmen[issue],Matrix!$B205,xmen[x],Matrix!K$10,xmen[costume],K$9)</f>
        <v>0</v>
      </c>
      <c r="L205">
        <f>SUMIFS(INDEX(xmen[[speech]:[depicted]],,$E$2),xmen[issue],Matrix!$B205,xmen[x],Matrix!L$10,xmen[costume],L$9)</f>
        <v>0</v>
      </c>
      <c r="M205">
        <f t="shared" ca="1" si="37"/>
        <v>149</v>
      </c>
      <c r="O205">
        <f t="shared" ca="1" si="38"/>
        <v>152.5</v>
      </c>
      <c r="P205">
        <f t="shared" ca="1" si="38"/>
        <v>0</v>
      </c>
      <c r="Q205">
        <f t="shared" ca="1" si="38"/>
        <v>0</v>
      </c>
      <c r="R205">
        <f t="shared" ca="1" si="38"/>
        <v>0</v>
      </c>
      <c r="S205">
        <f t="shared" ca="1" si="38"/>
        <v>0</v>
      </c>
      <c r="T205">
        <f t="shared" ca="1" si="38"/>
        <v>0</v>
      </c>
      <c r="U205">
        <f t="shared" ca="1" si="38"/>
        <v>0</v>
      </c>
      <c r="V205">
        <f t="shared" ca="1" si="38"/>
        <v>0</v>
      </c>
      <c r="W205">
        <f t="shared" ca="1" si="38"/>
        <v>0</v>
      </c>
      <c r="X205">
        <f t="shared" ca="1" si="38"/>
        <v>0</v>
      </c>
      <c r="Y205">
        <f t="shared" ca="1" si="38"/>
        <v>0</v>
      </c>
      <c r="Z205">
        <f t="shared" ca="1" si="39"/>
        <v>152.5</v>
      </c>
      <c r="AA205" t="e">
        <f t="shared" si="40"/>
        <v>#N/A</v>
      </c>
      <c r="AB205" t="str">
        <f t="shared" si="41"/>
        <v/>
      </c>
      <c r="AC205">
        <f t="shared" si="42"/>
        <v>0</v>
      </c>
    </row>
    <row r="206" spans="2:29" x14ac:dyDescent="0.3">
      <c r="B206">
        <v>290</v>
      </c>
      <c r="C206">
        <f>SUMIFS(INDEX(xmen[[speech]:[depicted]],,$E$2),xmen[issue],Matrix!$B206,xmen[x],Matrix!C$10,xmen[costume],C$9)</f>
        <v>0</v>
      </c>
      <c r="D206">
        <f>SUMIFS(INDEX(xmen[[speech]:[depicted]],,$E$2),xmen[issue],Matrix!$B206,xmen[x],Matrix!D$10,xmen[costume],D$9)</f>
        <v>0</v>
      </c>
      <c r="E206">
        <f>SUMIFS(INDEX(xmen[[speech]:[depicted]],,$E$2),xmen[issue],Matrix!$B206,xmen[x],Matrix!E$10,xmen[costume],E$9)</f>
        <v>0</v>
      </c>
      <c r="F206">
        <f>SUMIFS(INDEX(xmen[[speech]:[depicted]],,$E$2),xmen[issue],Matrix!$B206,xmen[x],Matrix!F$10,xmen[costume],F$9)</f>
        <v>0</v>
      </c>
      <c r="G206">
        <f>SUMIFS(INDEX(xmen[[speech]:[depicted]],,$E$2),xmen[issue],Matrix!$B206,xmen[x],Matrix!G$10,xmen[costume],G$9)</f>
        <v>0</v>
      </c>
      <c r="H206">
        <f>SUMIFS(INDEX(xmen[[speech]:[depicted]],,$E$2),xmen[issue],Matrix!$B206,xmen[x],Matrix!H$10,xmen[costume],H$9)</f>
        <v>0</v>
      </c>
      <c r="I206">
        <f>SUMIFS(INDEX(xmen[[speech]:[depicted]],,$E$2),xmen[issue],Matrix!$B206,xmen[x],Matrix!I$10,xmen[costume],I$9)</f>
        <v>0</v>
      </c>
      <c r="J206">
        <f>SUMIFS(INDEX(xmen[[speech]:[depicted]],,$E$2),xmen[issue],Matrix!$B206,xmen[x],Matrix!J$10,xmen[costume],J$9)</f>
        <v>0</v>
      </c>
      <c r="K206">
        <f>SUMIFS(INDEX(xmen[[speech]:[depicted]],,$E$2),xmen[issue],Matrix!$B206,xmen[x],Matrix!K$10,xmen[costume],K$9)</f>
        <v>0</v>
      </c>
      <c r="L206">
        <f>SUMIFS(INDEX(xmen[[speech]:[depicted]],,$E$2),xmen[issue],Matrix!$B206,xmen[x],Matrix!L$10,xmen[costume],L$9)</f>
        <v>0</v>
      </c>
      <c r="M206">
        <f t="shared" ca="1" si="37"/>
        <v>160</v>
      </c>
      <c r="O206">
        <f t="shared" ca="1" si="38"/>
        <v>153.25</v>
      </c>
      <c r="P206">
        <f t="shared" ca="1" si="38"/>
        <v>0</v>
      </c>
      <c r="Q206">
        <f t="shared" ca="1" si="38"/>
        <v>0</v>
      </c>
      <c r="R206">
        <f t="shared" ca="1" si="38"/>
        <v>0</v>
      </c>
      <c r="S206">
        <f t="shared" ca="1" si="38"/>
        <v>0</v>
      </c>
      <c r="T206">
        <f t="shared" ca="1" si="38"/>
        <v>0</v>
      </c>
      <c r="U206">
        <f t="shared" ca="1" si="38"/>
        <v>0</v>
      </c>
      <c r="V206">
        <f t="shared" ca="1" si="38"/>
        <v>0</v>
      </c>
      <c r="W206">
        <f t="shared" ca="1" si="38"/>
        <v>0</v>
      </c>
      <c r="X206">
        <f t="shared" ca="1" si="38"/>
        <v>0</v>
      </c>
      <c r="Y206">
        <f t="shared" ca="1" si="38"/>
        <v>0</v>
      </c>
      <c r="Z206">
        <f t="shared" ca="1" si="39"/>
        <v>153.25</v>
      </c>
      <c r="AA206" t="e">
        <f t="shared" si="40"/>
        <v>#N/A</v>
      </c>
      <c r="AB206" t="str">
        <f t="shared" si="41"/>
        <v/>
      </c>
      <c r="AC206">
        <f t="shared" si="42"/>
        <v>0</v>
      </c>
    </row>
    <row r="207" spans="2:29" x14ac:dyDescent="0.3">
      <c r="B207">
        <v>292</v>
      </c>
      <c r="C207">
        <f>SUMIFS(INDEX(xmen[[speech]:[depicted]],,$E$2),xmen[issue],Matrix!$B207,xmen[x],Matrix!C$10,xmen[costume],C$9)</f>
        <v>0</v>
      </c>
      <c r="D207">
        <f>SUMIFS(INDEX(xmen[[speech]:[depicted]],,$E$2),xmen[issue],Matrix!$B207,xmen[x],Matrix!D$10,xmen[costume],D$9)</f>
        <v>0</v>
      </c>
      <c r="E207">
        <f>SUMIFS(INDEX(xmen[[speech]:[depicted]],,$E$2),xmen[issue],Matrix!$B207,xmen[x],Matrix!E$10,xmen[costume],E$9)</f>
        <v>0</v>
      </c>
      <c r="F207">
        <f>SUMIFS(INDEX(xmen[[speech]:[depicted]],,$E$2),xmen[issue],Matrix!$B207,xmen[x],Matrix!F$10,xmen[costume],F$9)</f>
        <v>0</v>
      </c>
      <c r="G207">
        <f>SUMIFS(INDEX(xmen[[speech]:[depicted]],,$E$2),xmen[issue],Matrix!$B207,xmen[x],Matrix!G$10,xmen[costume],G$9)</f>
        <v>0</v>
      </c>
      <c r="H207">
        <f>SUMIFS(INDEX(xmen[[speech]:[depicted]],,$E$2),xmen[issue],Matrix!$B207,xmen[x],Matrix!H$10,xmen[costume],H$9)</f>
        <v>0</v>
      </c>
      <c r="I207">
        <f>SUMIFS(INDEX(xmen[[speech]:[depicted]],,$E$2),xmen[issue],Matrix!$B207,xmen[x],Matrix!I$10,xmen[costume],I$9)</f>
        <v>0</v>
      </c>
      <c r="J207">
        <f>SUMIFS(INDEX(xmen[[speech]:[depicted]],,$E$2),xmen[issue],Matrix!$B207,xmen[x],Matrix!J$10,xmen[costume],J$9)</f>
        <v>0</v>
      </c>
      <c r="K207">
        <f>SUMIFS(INDEX(xmen[[speech]:[depicted]],,$E$2),xmen[issue],Matrix!$B207,xmen[x],Matrix!K$10,xmen[costume],K$9)</f>
        <v>0</v>
      </c>
      <c r="L207">
        <f>SUMIFS(INDEX(xmen[[speech]:[depicted]],,$E$2),xmen[issue],Matrix!$B207,xmen[x],Matrix!L$10,xmen[costume],L$9)</f>
        <v>0</v>
      </c>
      <c r="M207">
        <f t="shared" ca="1" si="37"/>
        <v>148</v>
      </c>
      <c r="O207">
        <f t="shared" ca="1" si="38"/>
        <v>154.375</v>
      </c>
      <c r="P207">
        <f t="shared" ca="1" si="38"/>
        <v>0</v>
      </c>
      <c r="Q207">
        <f t="shared" ca="1" si="38"/>
        <v>0</v>
      </c>
      <c r="R207">
        <f t="shared" ca="1" si="38"/>
        <v>0</v>
      </c>
      <c r="S207">
        <f t="shared" ca="1" si="38"/>
        <v>0</v>
      </c>
      <c r="T207">
        <f t="shared" ca="1" si="38"/>
        <v>0</v>
      </c>
      <c r="U207">
        <f t="shared" ca="1" si="38"/>
        <v>0</v>
      </c>
      <c r="V207">
        <f t="shared" ca="1" si="38"/>
        <v>0</v>
      </c>
      <c r="W207">
        <f t="shared" ca="1" si="38"/>
        <v>0</v>
      </c>
      <c r="X207">
        <f t="shared" ca="1" si="38"/>
        <v>0</v>
      </c>
      <c r="Y207">
        <f t="shared" ca="1" si="38"/>
        <v>0</v>
      </c>
      <c r="Z207">
        <f t="shared" ca="1" si="39"/>
        <v>154.375</v>
      </c>
      <c r="AA207" t="e">
        <f t="shared" si="40"/>
        <v>#N/A</v>
      </c>
      <c r="AB207" t="str">
        <f t="shared" si="41"/>
        <v/>
      </c>
      <c r="AC207">
        <f t="shared" si="42"/>
        <v>0</v>
      </c>
    </row>
    <row r="208" spans="2:29" x14ac:dyDescent="0.3">
      <c r="B208">
        <v>294</v>
      </c>
      <c r="C208">
        <f>SUMIFS(INDEX(xmen[[speech]:[depicted]],,$E$2),xmen[issue],Matrix!$B208,xmen[x],Matrix!C$10,xmen[costume],C$9)</f>
        <v>0</v>
      </c>
      <c r="D208">
        <f>SUMIFS(INDEX(xmen[[speech]:[depicted]],,$E$2),xmen[issue],Matrix!$B208,xmen[x],Matrix!D$10,xmen[costume],D$9)</f>
        <v>0</v>
      </c>
      <c r="E208">
        <f>SUMIFS(INDEX(xmen[[speech]:[depicted]],,$E$2),xmen[issue],Matrix!$B208,xmen[x],Matrix!E$10,xmen[costume],E$9)</f>
        <v>0</v>
      </c>
      <c r="F208">
        <f>SUMIFS(INDEX(xmen[[speech]:[depicted]],,$E$2),xmen[issue],Matrix!$B208,xmen[x],Matrix!F$10,xmen[costume],F$9)</f>
        <v>0</v>
      </c>
      <c r="G208">
        <f>SUMIFS(INDEX(xmen[[speech]:[depicted]],,$E$2),xmen[issue],Matrix!$B208,xmen[x],Matrix!G$10,xmen[costume],G$9)</f>
        <v>0</v>
      </c>
      <c r="H208">
        <f>SUMIFS(INDEX(xmen[[speech]:[depicted]],,$E$2),xmen[issue],Matrix!$B208,xmen[x],Matrix!H$10,xmen[costume],H$9)</f>
        <v>0</v>
      </c>
      <c r="I208">
        <f>SUMIFS(INDEX(xmen[[speech]:[depicted]],,$E$2),xmen[issue],Matrix!$B208,xmen[x],Matrix!I$10,xmen[costume],I$9)</f>
        <v>0</v>
      </c>
      <c r="J208">
        <f>SUMIFS(INDEX(xmen[[speech]:[depicted]],,$E$2),xmen[issue],Matrix!$B208,xmen[x],Matrix!J$10,xmen[costume],J$9)</f>
        <v>0</v>
      </c>
      <c r="K208">
        <f>SUMIFS(INDEX(xmen[[speech]:[depicted]],,$E$2),xmen[issue],Matrix!$B208,xmen[x],Matrix!K$10,xmen[costume],K$9)</f>
        <v>0</v>
      </c>
      <c r="L208">
        <f>SUMIFS(INDEX(xmen[[speech]:[depicted]],,$E$2),xmen[issue],Matrix!$B208,xmen[x],Matrix!L$10,xmen[costume],L$9)</f>
        <v>0</v>
      </c>
      <c r="M208">
        <f t="shared" ca="1" si="37"/>
        <v>163</v>
      </c>
      <c r="O208">
        <f t="shared" ca="1" si="38"/>
        <v>156.125</v>
      </c>
      <c r="P208">
        <f t="shared" ca="1" si="38"/>
        <v>0</v>
      </c>
      <c r="Q208">
        <f t="shared" ca="1" si="38"/>
        <v>0</v>
      </c>
      <c r="R208">
        <f t="shared" ca="1" si="38"/>
        <v>0</v>
      </c>
      <c r="S208">
        <f t="shared" ca="1" si="38"/>
        <v>0</v>
      </c>
      <c r="T208">
        <f t="shared" ca="1" si="38"/>
        <v>0</v>
      </c>
      <c r="U208">
        <f t="shared" ca="1" si="38"/>
        <v>0</v>
      </c>
      <c r="V208">
        <f t="shared" ca="1" si="38"/>
        <v>0</v>
      </c>
      <c r="W208">
        <f t="shared" ca="1" si="38"/>
        <v>0</v>
      </c>
      <c r="X208">
        <f t="shared" ca="1" si="38"/>
        <v>0</v>
      </c>
      <c r="Y208">
        <f t="shared" ca="1" si="38"/>
        <v>0</v>
      </c>
      <c r="Z208">
        <f t="shared" ca="1" si="39"/>
        <v>156.125</v>
      </c>
      <c r="AA208" t="e">
        <f t="shared" si="40"/>
        <v>#N/A</v>
      </c>
      <c r="AB208" t="str">
        <f t="shared" si="41"/>
        <v/>
      </c>
      <c r="AC208">
        <f t="shared" si="42"/>
        <v>0</v>
      </c>
    </row>
    <row r="209" spans="2:29" x14ac:dyDescent="0.3">
      <c r="B209">
        <v>296</v>
      </c>
      <c r="C209">
        <f>SUMIFS(INDEX(xmen[[speech]:[depicted]],,$E$2),xmen[issue],Matrix!$B209,xmen[x],Matrix!C$10,xmen[costume],C$9)</f>
        <v>0</v>
      </c>
      <c r="D209">
        <f>SUMIFS(INDEX(xmen[[speech]:[depicted]],,$E$2),xmen[issue],Matrix!$B209,xmen[x],Matrix!D$10,xmen[costume],D$9)</f>
        <v>0</v>
      </c>
      <c r="E209">
        <f>SUMIFS(INDEX(xmen[[speech]:[depicted]],,$E$2),xmen[issue],Matrix!$B209,xmen[x],Matrix!E$10,xmen[costume],E$9)</f>
        <v>0</v>
      </c>
      <c r="F209">
        <f>SUMIFS(INDEX(xmen[[speech]:[depicted]],,$E$2),xmen[issue],Matrix!$B209,xmen[x],Matrix!F$10,xmen[costume],F$9)</f>
        <v>0</v>
      </c>
      <c r="G209">
        <f>SUMIFS(INDEX(xmen[[speech]:[depicted]],,$E$2),xmen[issue],Matrix!$B209,xmen[x],Matrix!G$10,xmen[costume],G$9)</f>
        <v>0</v>
      </c>
      <c r="H209">
        <f>SUMIFS(INDEX(xmen[[speech]:[depicted]],,$E$2),xmen[issue],Matrix!$B209,xmen[x],Matrix!H$10,xmen[costume],H$9)</f>
        <v>0</v>
      </c>
      <c r="I209">
        <f>SUMIFS(INDEX(xmen[[speech]:[depicted]],,$E$2),xmen[issue],Matrix!$B209,xmen[x],Matrix!I$10,xmen[costume],I$9)</f>
        <v>0</v>
      </c>
      <c r="J209">
        <f>SUMIFS(INDEX(xmen[[speech]:[depicted]],,$E$2),xmen[issue],Matrix!$B209,xmen[x],Matrix!J$10,xmen[costume],J$9)</f>
        <v>0</v>
      </c>
      <c r="K209">
        <f>SUMIFS(INDEX(xmen[[speech]:[depicted]],,$E$2),xmen[issue],Matrix!$B209,xmen[x],Matrix!K$10,xmen[costume],K$9)</f>
        <v>0</v>
      </c>
      <c r="L209">
        <f>SUMIFS(INDEX(xmen[[speech]:[depicted]],,$E$2),xmen[issue],Matrix!$B209,xmen[x],Matrix!L$10,xmen[costume],L$9)</f>
        <v>0</v>
      </c>
      <c r="M209">
        <f t="shared" ca="1" si="37"/>
        <v>161</v>
      </c>
      <c r="O209">
        <f t="shared" ca="1" si="38"/>
        <v>156.57142857142858</v>
      </c>
      <c r="P209">
        <f t="shared" ca="1" si="38"/>
        <v>0</v>
      </c>
      <c r="Q209">
        <f t="shared" ca="1" si="38"/>
        <v>0</v>
      </c>
      <c r="R209">
        <f t="shared" ca="1" si="38"/>
        <v>0</v>
      </c>
      <c r="S209">
        <f t="shared" ca="1" si="38"/>
        <v>0</v>
      </c>
      <c r="T209">
        <f t="shared" ca="1" si="38"/>
        <v>0</v>
      </c>
      <c r="U209">
        <f t="shared" ca="1" si="38"/>
        <v>0</v>
      </c>
      <c r="V209">
        <f t="shared" ca="1" si="38"/>
        <v>0</v>
      </c>
      <c r="W209">
        <f t="shared" ca="1" si="38"/>
        <v>0</v>
      </c>
      <c r="X209">
        <f t="shared" ca="1" si="38"/>
        <v>0</v>
      </c>
      <c r="Y209">
        <f t="shared" ca="1" si="38"/>
        <v>0</v>
      </c>
      <c r="Z209">
        <f t="shared" ca="1" si="39"/>
        <v>156.57142857142858</v>
      </c>
      <c r="AA209" t="e">
        <f t="shared" si="40"/>
        <v>#N/A</v>
      </c>
      <c r="AB209" t="str">
        <f t="shared" si="41"/>
        <v/>
      </c>
      <c r="AC209">
        <f t="shared" si="42"/>
        <v>0</v>
      </c>
    </row>
    <row r="210" spans="2:29" x14ac:dyDescent="0.3">
      <c r="B210">
        <v>298</v>
      </c>
      <c r="C210">
        <f>SUMIFS(INDEX(xmen[[speech]:[depicted]],,$E$2),xmen[issue],Matrix!$B210,xmen[x],Matrix!C$10,xmen[costume],C$9)</f>
        <v>0</v>
      </c>
      <c r="D210">
        <f>SUMIFS(INDEX(xmen[[speech]:[depicted]],,$E$2),xmen[issue],Matrix!$B210,xmen[x],Matrix!D$10,xmen[costume],D$9)</f>
        <v>0</v>
      </c>
      <c r="E210">
        <f>SUMIFS(INDEX(xmen[[speech]:[depicted]],,$E$2),xmen[issue],Matrix!$B210,xmen[x],Matrix!E$10,xmen[costume],E$9)</f>
        <v>0</v>
      </c>
      <c r="F210">
        <f>SUMIFS(INDEX(xmen[[speech]:[depicted]],,$E$2),xmen[issue],Matrix!$B210,xmen[x],Matrix!F$10,xmen[costume],F$9)</f>
        <v>0</v>
      </c>
      <c r="G210">
        <f>SUMIFS(INDEX(xmen[[speech]:[depicted]],,$E$2),xmen[issue],Matrix!$B210,xmen[x],Matrix!G$10,xmen[costume],G$9)</f>
        <v>0</v>
      </c>
      <c r="H210">
        <f>SUMIFS(INDEX(xmen[[speech]:[depicted]],,$E$2),xmen[issue],Matrix!$B210,xmen[x],Matrix!H$10,xmen[costume],H$9)</f>
        <v>0</v>
      </c>
      <c r="I210">
        <f>SUMIFS(INDEX(xmen[[speech]:[depicted]],,$E$2),xmen[issue],Matrix!$B210,xmen[x],Matrix!I$10,xmen[costume],I$9)</f>
        <v>0</v>
      </c>
      <c r="J210">
        <f>SUMIFS(INDEX(xmen[[speech]:[depicted]],,$E$2),xmen[issue],Matrix!$B210,xmen[x],Matrix!J$10,xmen[costume],J$9)</f>
        <v>0</v>
      </c>
      <c r="K210">
        <f>SUMIFS(INDEX(xmen[[speech]:[depicted]],,$E$2),xmen[issue],Matrix!$B210,xmen[x],Matrix!K$10,xmen[costume],K$9)</f>
        <v>0</v>
      </c>
      <c r="L210">
        <f>SUMIFS(INDEX(xmen[[speech]:[depicted]],,$E$2),xmen[issue],Matrix!$B210,xmen[x],Matrix!L$10,xmen[costume],L$9)</f>
        <v>0</v>
      </c>
      <c r="M210">
        <f t="shared" ca="1" si="37"/>
        <v>154</v>
      </c>
      <c r="O210">
        <f t="shared" ca="1" si="38"/>
        <v>157.83333333333334</v>
      </c>
      <c r="P210">
        <f t="shared" ca="1" si="38"/>
        <v>0</v>
      </c>
      <c r="Q210">
        <f t="shared" ca="1" si="38"/>
        <v>0</v>
      </c>
      <c r="R210">
        <f t="shared" ca="1" si="38"/>
        <v>0</v>
      </c>
      <c r="S210">
        <f t="shared" ca="1" si="38"/>
        <v>0</v>
      </c>
      <c r="T210">
        <f t="shared" ca="1" si="38"/>
        <v>0</v>
      </c>
      <c r="U210">
        <f t="shared" ca="1" si="38"/>
        <v>0</v>
      </c>
      <c r="V210">
        <f t="shared" ca="1" si="38"/>
        <v>0</v>
      </c>
      <c r="W210">
        <f t="shared" ca="1" si="38"/>
        <v>0</v>
      </c>
      <c r="X210">
        <f t="shared" ca="1" si="38"/>
        <v>0</v>
      </c>
      <c r="Y210">
        <f t="shared" ca="1" si="38"/>
        <v>0</v>
      </c>
      <c r="Z210">
        <f t="shared" ca="1" si="39"/>
        <v>157.83333333333334</v>
      </c>
      <c r="AA210" t="e">
        <f t="shared" si="40"/>
        <v>#N/A</v>
      </c>
      <c r="AB210" t="str">
        <f t="shared" si="41"/>
        <v/>
      </c>
      <c r="AC210">
        <f t="shared" si="42"/>
        <v>0</v>
      </c>
    </row>
    <row r="211" spans="2:29" x14ac:dyDescent="0.3">
      <c r="B211">
        <v>300</v>
      </c>
      <c r="C211">
        <f>SUMIFS(INDEX(xmen[[speech]:[depicted]],,$E$2),xmen[issue],Matrix!$B211,xmen[x],Matrix!C$10,xmen[costume],C$9)</f>
        <v>0</v>
      </c>
      <c r="D211">
        <f>SUMIFS(INDEX(xmen[[speech]:[depicted]],,$E$2),xmen[issue],Matrix!$B211,xmen[x],Matrix!D$10,xmen[costume],D$9)</f>
        <v>0</v>
      </c>
      <c r="E211">
        <f>SUMIFS(INDEX(xmen[[speech]:[depicted]],,$E$2),xmen[issue],Matrix!$B211,xmen[x],Matrix!E$10,xmen[costume],E$9)</f>
        <v>0</v>
      </c>
      <c r="F211">
        <f>SUMIFS(INDEX(xmen[[speech]:[depicted]],,$E$2),xmen[issue],Matrix!$B211,xmen[x],Matrix!F$10,xmen[costume],F$9)</f>
        <v>0</v>
      </c>
      <c r="G211">
        <f>SUMIFS(INDEX(xmen[[speech]:[depicted]],,$E$2),xmen[issue],Matrix!$B211,xmen[x],Matrix!G$10,xmen[costume],G$9)</f>
        <v>0</v>
      </c>
      <c r="H211">
        <f>SUMIFS(INDEX(xmen[[speech]:[depicted]],,$E$2),xmen[issue],Matrix!$B211,xmen[x],Matrix!H$10,xmen[costume],H$9)</f>
        <v>0</v>
      </c>
      <c r="I211">
        <f>SUMIFS(INDEX(xmen[[speech]:[depicted]],,$E$2),xmen[issue],Matrix!$B211,xmen[x],Matrix!I$10,xmen[costume],I$9)</f>
        <v>0</v>
      </c>
      <c r="J211">
        <f>SUMIFS(INDEX(xmen[[speech]:[depicted]],,$E$2),xmen[issue],Matrix!$B211,xmen[x],Matrix!J$10,xmen[costume],J$9)</f>
        <v>0</v>
      </c>
      <c r="K211">
        <f>SUMIFS(INDEX(xmen[[speech]:[depicted]],,$E$2),xmen[issue],Matrix!$B211,xmen[x],Matrix!K$10,xmen[costume],K$9)</f>
        <v>0</v>
      </c>
      <c r="L211">
        <f>SUMIFS(INDEX(xmen[[speech]:[depicted]],,$E$2),xmen[issue],Matrix!$B211,xmen[x],Matrix!L$10,xmen[costume],L$9)</f>
        <v>0</v>
      </c>
      <c r="M211">
        <f t="shared" ca="1" si="37"/>
        <v>161</v>
      </c>
      <c r="O211">
        <f t="shared" ca="1" si="38"/>
        <v>157.4</v>
      </c>
      <c r="P211">
        <f t="shared" ca="1" si="38"/>
        <v>0</v>
      </c>
      <c r="Q211">
        <f t="shared" ca="1" si="38"/>
        <v>0</v>
      </c>
      <c r="R211">
        <f t="shared" ca="1" si="38"/>
        <v>0</v>
      </c>
      <c r="S211">
        <f t="shared" ca="1" si="38"/>
        <v>0</v>
      </c>
      <c r="T211">
        <f t="shared" ca="1" si="38"/>
        <v>0</v>
      </c>
      <c r="U211">
        <f t="shared" ca="1" si="38"/>
        <v>0</v>
      </c>
      <c r="V211">
        <f t="shared" ca="1" si="38"/>
        <v>0</v>
      </c>
      <c r="W211">
        <f t="shared" ca="1" si="38"/>
        <v>0</v>
      </c>
      <c r="X211">
        <f t="shared" ca="1" si="38"/>
        <v>0</v>
      </c>
      <c r="Y211">
        <f t="shared" ca="1" si="38"/>
        <v>0</v>
      </c>
      <c r="Z211">
        <f t="shared" ca="1" si="39"/>
        <v>157.4</v>
      </c>
      <c r="AA211" t="e">
        <f t="shared" si="40"/>
        <v>#N/A</v>
      </c>
      <c r="AB211" t="str">
        <f t="shared" si="41"/>
        <v/>
      </c>
      <c r="AC211">
        <f t="shared" si="42"/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CD71B-4787-4F2C-90DF-6048DAA51FCA}">
  <dimension ref="A1"/>
  <sheetViews>
    <sheetView topLeftCell="A13" zoomScale="68" workbookViewId="0">
      <selection activeCell="C41" sqref="C41"/>
    </sheetView>
  </sheetViews>
  <sheetFormatPr defaultRowHeight="14.4" x14ac:dyDescent="0.3"/>
  <sheetData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289" r:id="rId3" name="Option Button 1">
              <controlPr defaultSize="0" autoFill="0" autoLine="0" autoPict="0">
                <anchor moveWithCells="1">
                  <from>
                    <xdr:col>2</xdr:col>
                    <xdr:colOff>30480</xdr:colOff>
                    <xdr:row>28</xdr:row>
                    <xdr:rowOff>167640</xdr:rowOff>
                  </from>
                  <to>
                    <xdr:col>4</xdr:col>
                    <xdr:colOff>22860</xdr:colOff>
                    <xdr:row>30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0" r:id="rId4" name="Option Button 2">
              <controlPr defaultSize="0" autoFill="0" autoLine="0" autoPict="0">
                <anchor moveWithCells="1">
                  <from>
                    <xdr:col>2</xdr:col>
                    <xdr:colOff>38100</xdr:colOff>
                    <xdr:row>30</xdr:row>
                    <xdr:rowOff>175260</xdr:rowOff>
                  </from>
                  <to>
                    <xdr:col>3</xdr:col>
                    <xdr:colOff>335280</xdr:colOff>
                    <xdr:row>32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1" r:id="rId5" name="Option Button 3">
              <controlPr defaultSize="0" autoFill="0" autoLine="0" autoPict="0">
                <anchor moveWithCells="1">
                  <from>
                    <xdr:col>2</xdr:col>
                    <xdr:colOff>38100</xdr:colOff>
                    <xdr:row>32</xdr:row>
                    <xdr:rowOff>167640</xdr:rowOff>
                  </from>
                  <to>
                    <xdr:col>3</xdr:col>
                    <xdr:colOff>335280</xdr:colOff>
                    <xdr:row>34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2" r:id="rId6" name="Option Button 4">
              <controlPr defaultSize="0" autoFill="0" autoLine="0" autoPict="0">
                <anchor moveWithCells="1">
                  <from>
                    <xdr:col>2</xdr:col>
                    <xdr:colOff>38100</xdr:colOff>
                    <xdr:row>34</xdr:row>
                    <xdr:rowOff>152400</xdr:rowOff>
                  </from>
                  <to>
                    <xdr:col>3</xdr:col>
                    <xdr:colOff>335280</xdr:colOff>
                    <xdr:row>36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497A1-C237-4EAA-990B-4715110E852B}">
  <dimension ref="A1:Q38"/>
  <sheetViews>
    <sheetView topLeftCell="E11" zoomScale="70" zoomScaleNormal="56" workbookViewId="0">
      <selection activeCell="Q39" sqref="Q39"/>
    </sheetView>
  </sheetViews>
  <sheetFormatPr defaultRowHeight="14.4" x14ac:dyDescent="0.3"/>
  <cols>
    <col min="1" max="1" width="33.5546875" customWidth="1"/>
    <col min="2" max="2" width="14.6640625" bestFit="1" customWidth="1"/>
    <col min="7" max="7" width="31.33203125" bestFit="1" customWidth="1"/>
    <col min="8" max="8" width="11.5546875" bestFit="1" customWidth="1"/>
    <col min="15" max="15" width="10.6640625" customWidth="1"/>
    <col min="17" max="17" width="15.109375" bestFit="1" customWidth="1"/>
  </cols>
  <sheetData>
    <row r="1" spans="1:17" x14ac:dyDescent="0.3">
      <c r="A1" t="s">
        <v>34</v>
      </c>
      <c r="B1" t="s">
        <v>57</v>
      </c>
    </row>
    <row r="2" spans="1:17" x14ac:dyDescent="0.3">
      <c r="A2" t="s">
        <v>39</v>
      </c>
      <c r="B2">
        <v>232</v>
      </c>
    </row>
    <row r="3" spans="1:17" x14ac:dyDescent="0.3">
      <c r="A3" t="s">
        <v>40</v>
      </c>
      <c r="B3">
        <v>201</v>
      </c>
    </row>
    <row r="4" spans="1:17" x14ac:dyDescent="0.3">
      <c r="A4" t="s">
        <v>36</v>
      </c>
      <c r="B4">
        <v>201</v>
      </c>
    </row>
    <row r="5" spans="1:17" x14ac:dyDescent="0.3">
      <c r="A5" t="s">
        <v>9</v>
      </c>
      <c r="B5">
        <v>181</v>
      </c>
    </row>
    <row r="6" spans="1:17" x14ac:dyDescent="0.3">
      <c r="A6" t="s">
        <v>8</v>
      </c>
      <c r="B6">
        <v>146</v>
      </c>
    </row>
    <row r="7" spans="1:17" x14ac:dyDescent="0.3">
      <c r="A7" t="s">
        <v>41</v>
      </c>
      <c r="B7">
        <v>141</v>
      </c>
    </row>
    <row r="8" spans="1:17" x14ac:dyDescent="0.3">
      <c r="A8" t="s">
        <v>37</v>
      </c>
      <c r="B8">
        <v>126</v>
      </c>
    </row>
    <row r="9" spans="1:17" x14ac:dyDescent="0.3">
      <c r="A9" t="s">
        <v>47</v>
      </c>
      <c r="B9">
        <v>92</v>
      </c>
    </row>
    <row r="10" spans="1:17" x14ac:dyDescent="0.3">
      <c r="A10" t="s">
        <v>44</v>
      </c>
      <c r="B10">
        <v>88</v>
      </c>
    </row>
    <row r="11" spans="1:17" x14ac:dyDescent="0.3">
      <c r="A11" t="s">
        <v>35</v>
      </c>
      <c r="B11">
        <v>87</v>
      </c>
    </row>
    <row r="12" spans="1:17" x14ac:dyDescent="0.3">
      <c r="A12" t="s">
        <v>38</v>
      </c>
      <c r="B12">
        <v>79</v>
      </c>
      <c r="O12" t="s">
        <v>101</v>
      </c>
      <c r="P12" t="s">
        <v>100</v>
      </c>
      <c r="Q12" t="s">
        <v>57</v>
      </c>
    </row>
    <row r="13" spans="1:17" x14ac:dyDescent="0.3">
      <c r="A13" t="s">
        <v>42</v>
      </c>
      <c r="B13">
        <v>76</v>
      </c>
      <c r="O13">
        <v>3</v>
      </c>
      <c r="P13" t="s">
        <v>62</v>
      </c>
      <c r="Q13">
        <v>9685</v>
      </c>
    </row>
    <row r="14" spans="1:17" x14ac:dyDescent="0.3">
      <c r="A14" t="s">
        <v>53</v>
      </c>
      <c r="B14">
        <v>73</v>
      </c>
      <c r="O14">
        <v>1</v>
      </c>
      <c r="P14" t="s">
        <v>63</v>
      </c>
      <c r="Q14">
        <v>8061</v>
      </c>
    </row>
    <row r="15" spans="1:17" x14ac:dyDescent="0.3">
      <c r="A15" t="s">
        <v>52</v>
      </c>
      <c r="B15">
        <v>67</v>
      </c>
      <c r="O15">
        <v>9</v>
      </c>
      <c r="P15" t="s">
        <v>9</v>
      </c>
      <c r="Q15">
        <v>6918</v>
      </c>
    </row>
    <row r="16" spans="1:17" x14ac:dyDescent="0.3">
      <c r="A16" t="s">
        <v>51</v>
      </c>
      <c r="B16">
        <v>55</v>
      </c>
      <c r="O16">
        <v>2</v>
      </c>
      <c r="P16" t="s">
        <v>64</v>
      </c>
      <c r="Q16">
        <v>5197</v>
      </c>
    </row>
    <row r="17" spans="1:17" x14ac:dyDescent="0.3">
      <c r="A17" t="s">
        <v>28</v>
      </c>
      <c r="B17">
        <v>46</v>
      </c>
      <c r="O17">
        <v>4</v>
      </c>
      <c r="P17" t="s">
        <v>65</v>
      </c>
      <c r="Q17">
        <v>4979</v>
      </c>
    </row>
    <row r="18" spans="1:17" x14ac:dyDescent="0.3">
      <c r="A18" t="s">
        <v>45</v>
      </c>
      <c r="B18">
        <v>39</v>
      </c>
      <c r="O18">
        <v>14</v>
      </c>
      <c r="P18" t="s">
        <v>70</v>
      </c>
      <c r="Q18">
        <v>4207</v>
      </c>
    </row>
    <row r="19" spans="1:17" x14ac:dyDescent="0.3">
      <c r="A19" t="s">
        <v>55</v>
      </c>
      <c r="B19">
        <v>34</v>
      </c>
      <c r="O19">
        <v>20</v>
      </c>
      <c r="P19" t="s">
        <v>76</v>
      </c>
      <c r="Q19">
        <v>4063</v>
      </c>
    </row>
    <row r="20" spans="1:17" x14ac:dyDescent="0.3">
      <c r="A20" t="s">
        <v>50</v>
      </c>
      <c r="B20">
        <v>33</v>
      </c>
      <c r="O20">
        <v>5</v>
      </c>
      <c r="P20" t="s">
        <v>61</v>
      </c>
      <c r="Q20">
        <v>3778</v>
      </c>
    </row>
    <row r="21" spans="1:17" x14ac:dyDescent="0.3">
      <c r="A21" t="s">
        <v>46</v>
      </c>
      <c r="B21">
        <v>33</v>
      </c>
      <c r="O21">
        <v>10</v>
      </c>
      <c r="P21" t="s">
        <v>68</v>
      </c>
      <c r="Q21">
        <v>2667</v>
      </c>
    </row>
    <row r="22" spans="1:17" x14ac:dyDescent="0.3">
      <c r="A22" t="s">
        <v>48</v>
      </c>
      <c r="B22">
        <v>30</v>
      </c>
      <c r="O22">
        <v>22</v>
      </c>
      <c r="P22" t="s">
        <v>78</v>
      </c>
      <c r="Q22">
        <v>2424</v>
      </c>
    </row>
    <row r="23" spans="1:17" x14ac:dyDescent="0.3">
      <c r="A23" t="s">
        <v>43</v>
      </c>
      <c r="B23">
        <v>29</v>
      </c>
      <c r="O23">
        <v>15</v>
      </c>
      <c r="P23" t="s">
        <v>71</v>
      </c>
      <c r="Q23">
        <v>2341</v>
      </c>
    </row>
    <row r="24" spans="1:17" x14ac:dyDescent="0.3">
      <c r="A24" t="s">
        <v>49</v>
      </c>
      <c r="B24">
        <v>27</v>
      </c>
      <c r="O24">
        <v>11</v>
      </c>
      <c r="P24" t="s">
        <v>69</v>
      </c>
      <c r="Q24">
        <v>2166</v>
      </c>
    </row>
    <row r="25" spans="1:17" x14ac:dyDescent="0.3">
      <c r="A25" t="s">
        <v>54</v>
      </c>
      <c r="B25">
        <v>22</v>
      </c>
      <c r="O25">
        <v>7</v>
      </c>
      <c r="P25" t="s">
        <v>67</v>
      </c>
      <c r="Q25">
        <v>2091</v>
      </c>
    </row>
    <row r="26" spans="1:17" x14ac:dyDescent="0.3">
      <c r="A26" t="s">
        <v>56</v>
      </c>
      <c r="B26">
        <v>12</v>
      </c>
      <c r="O26">
        <v>18</v>
      </c>
      <c r="P26" t="s">
        <v>74</v>
      </c>
      <c r="Q26">
        <v>1840</v>
      </c>
    </row>
    <row r="27" spans="1:17" x14ac:dyDescent="0.3">
      <c r="B27">
        <f>SUM(chars[Appearances])</f>
        <v>2150</v>
      </c>
      <c r="O27">
        <v>21</v>
      </c>
      <c r="P27" t="s">
        <v>77</v>
      </c>
      <c r="Q27">
        <v>1655</v>
      </c>
    </row>
    <row r="28" spans="1:17" x14ac:dyDescent="0.3">
      <c r="O28">
        <v>6</v>
      </c>
      <c r="P28" t="s">
        <v>66</v>
      </c>
      <c r="Q28">
        <v>1603</v>
      </c>
    </row>
    <row r="29" spans="1:17" x14ac:dyDescent="0.3">
      <c r="O29">
        <v>13</v>
      </c>
      <c r="P29" t="s">
        <v>60</v>
      </c>
      <c r="Q29">
        <v>1453</v>
      </c>
    </row>
    <row r="30" spans="1:17" x14ac:dyDescent="0.3">
      <c r="O30">
        <v>24</v>
      </c>
      <c r="P30" t="s">
        <v>80</v>
      </c>
      <c r="Q30">
        <v>1150</v>
      </c>
    </row>
    <row r="31" spans="1:17" x14ac:dyDescent="0.3">
      <c r="O31">
        <v>17</v>
      </c>
      <c r="P31" t="s">
        <v>73</v>
      </c>
      <c r="Q31">
        <v>808</v>
      </c>
    </row>
    <row r="32" spans="1:17" x14ac:dyDescent="0.3">
      <c r="O32">
        <v>23</v>
      </c>
      <c r="P32" t="s">
        <v>79</v>
      </c>
      <c r="Q32">
        <v>803</v>
      </c>
    </row>
    <row r="33" spans="15:17" x14ac:dyDescent="0.3">
      <c r="O33">
        <v>19</v>
      </c>
      <c r="P33" t="s">
        <v>75</v>
      </c>
      <c r="Q33">
        <v>758</v>
      </c>
    </row>
    <row r="34" spans="15:17" x14ac:dyDescent="0.3">
      <c r="O34">
        <v>12</v>
      </c>
      <c r="P34" t="s">
        <v>28</v>
      </c>
      <c r="Q34">
        <v>713</v>
      </c>
    </row>
    <row r="35" spans="15:17" x14ac:dyDescent="0.3">
      <c r="O35">
        <v>25</v>
      </c>
      <c r="P35" t="s">
        <v>59</v>
      </c>
      <c r="Q35">
        <v>519</v>
      </c>
    </row>
    <row r="36" spans="15:17" x14ac:dyDescent="0.3">
      <c r="O36">
        <v>16</v>
      </c>
      <c r="P36" t="s">
        <v>72</v>
      </c>
      <c r="Q36">
        <v>455</v>
      </c>
    </row>
    <row r="37" spans="15:17" x14ac:dyDescent="0.3">
      <c r="O37">
        <v>8</v>
      </c>
      <c r="P37" t="s">
        <v>8</v>
      </c>
      <c r="Q37">
        <v>404</v>
      </c>
    </row>
    <row r="38" spans="15:17" x14ac:dyDescent="0.3">
      <c r="Q38">
        <f>SUM(Table4[Appearances])</f>
        <v>70738</v>
      </c>
    </row>
  </sheetData>
  <phoneticPr fontId="10" type="noConversion"/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B8C40-F949-4DA9-A34B-52242F9F9B1B}">
  <dimension ref="A1:K2151"/>
  <sheetViews>
    <sheetView zoomScale="49" zoomScaleNormal="100" workbookViewId="0">
      <selection activeCell="H1" sqref="H1"/>
    </sheetView>
  </sheetViews>
  <sheetFormatPr defaultRowHeight="14.4" x14ac:dyDescent="0.3"/>
  <cols>
    <col min="1" max="1" width="7.88671875" bestFit="1" customWidth="1"/>
    <col min="2" max="2" width="13.44140625" bestFit="1" customWidth="1"/>
    <col min="3" max="3" width="39.5546875" bestFit="1" customWidth="1"/>
    <col min="4" max="4" width="9.5546875" bestFit="1" customWidth="1"/>
    <col min="5" max="5" width="10.33203125" bestFit="1" customWidth="1"/>
    <col min="6" max="6" width="11.33203125" bestFit="1" customWidth="1"/>
    <col min="7" max="7" width="11.109375" bestFit="1" customWidth="1"/>
    <col min="8" max="8" width="31.33203125" bestFit="1" customWidth="1"/>
    <col min="9" max="9" width="7.66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34</v>
      </c>
      <c r="I1" t="s">
        <v>58</v>
      </c>
    </row>
    <row r="2" spans="1:11" x14ac:dyDescent="0.3">
      <c r="A2">
        <v>97</v>
      </c>
      <c r="B2" t="s">
        <v>7</v>
      </c>
      <c r="C2" t="s">
        <v>11</v>
      </c>
      <c r="D2">
        <v>7</v>
      </c>
      <c r="E2">
        <v>0</v>
      </c>
      <c r="F2">
        <v>0</v>
      </c>
      <c r="G2">
        <v>10</v>
      </c>
      <c r="H2" t="s">
        <v>63</v>
      </c>
      <c r="I2">
        <v>17</v>
      </c>
    </row>
    <row r="3" spans="1:11" x14ac:dyDescent="0.3">
      <c r="A3">
        <v>97</v>
      </c>
      <c r="B3" t="s">
        <v>7</v>
      </c>
      <c r="C3" t="s">
        <v>12</v>
      </c>
      <c r="D3">
        <v>24</v>
      </c>
      <c r="E3">
        <v>3</v>
      </c>
      <c r="F3">
        <v>0</v>
      </c>
      <c r="G3">
        <v>23</v>
      </c>
      <c r="H3" t="s">
        <v>64</v>
      </c>
      <c r="I3">
        <v>50</v>
      </c>
    </row>
    <row r="4" spans="1:11" x14ac:dyDescent="0.3">
      <c r="A4">
        <v>97</v>
      </c>
      <c r="B4" t="s">
        <v>7</v>
      </c>
      <c r="C4" t="s">
        <v>14</v>
      </c>
      <c r="D4">
        <v>11</v>
      </c>
      <c r="E4">
        <v>0</v>
      </c>
      <c r="F4">
        <v>0</v>
      </c>
      <c r="G4">
        <v>9</v>
      </c>
      <c r="H4" t="s">
        <v>62</v>
      </c>
      <c r="I4">
        <v>20</v>
      </c>
    </row>
    <row r="5" spans="1:11" x14ac:dyDescent="0.3">
      <c r="A5">
        <v>97</v>
      </c>
      <c r="B5" t="s">
        <v>7</v>
      </c>
      <c r="C5" t="s">
        <v>15</v>
      </c>
      <c r="D5">
        <v>9</v>
      </c>
      <c r="E5">
        <v>0</v>
      </c>
      <c r="F5">
        <v>0</v>
      </c>
      <c r="G5">
        <v>17</v>
      </c>
      <c r="H5" t="s">
        <v>65</v>
      </c>
      <c r="I5">
        <v>26</v>
      </c>
    </row>
    <row r="6" spans="1:11" x14ac:dyDescent="0.3">
      <c r="A6">
        <v>97</v>
      </c>
      <c r="B6" t="s">
        <v>7</v>
      </c>
      <c r="C6" t="s">
        <v>16</v>
      </c>
      <c r="D6">
        <v>10</v>
      </c>
      <c r="E6">
        <v>0</v>
      </c>
      <c r="F6">
        <v>0</v>
      </c>
      <c r="G6">
        <v>17</v>
      </c>
      <c r="H6" t="s">
        <v>61</v>
      </c>
      <c r="I6">
        <v>27</v>
      </c>
    </row>
    <row r="7" spans="1:11" x14ac:dyDescent="0.3">
      <c r="A7">
        <v>97</v>
      </c>
      <c r="B7" t="s">
        <v>7</v>
      </c>
      <c r="C7" t="s">
        <v>17</v>
      </c>
      <c r="D7">
        <v>0</v>
      </c>
      <c r="E7">
        <v>0</v>
      </c>
      <c r="F7">
        <v>0</v>
      </c>
      <c r="G7">
        <v>5</v>
      </c>
      <c r="H7" t="s">
        <v>66</v>
      </c>
      <c r="I7">
        <v>5</v>
      </c>
      <c r="K7">
        <f>SUM(xmen[Total])</f>
        <v>70738</v>
      </c>
    </row>
    <row r="8" spans="1:11" x14ac:dyDescent="0.3">
      <c r="A8">
        <v>97</v>
      </c>
      <c r="B8" t="s">
        <v>7</v>
      </c>
      <c r="C8" t="s">
        <v>29</v>
      </c>
      <c r="D8">
        <v>22</v>
      </c>
      <c r="E8">
        <v>0</v>
      </c>
      <c r="F8">
        <v>0</v>
      </c>
      <c r="G8">
        <v>24</v>
      </c>
      <c r="H8" t="s">
        <v>67</v>
      </c>
      <c r="I8">
        <v>46</v>
      </c>
    </row>
    <row r="9" spans="1:11" x14ac:dyDescent="0.3">
      <c r="A9">
        <v>97</v>
      </c>
      <c r="B9" t="s">
        <v>33</v>
      </c>
      <c r="C9" t="s">
        <v>8</v>
      </c>
      <c r="D9">
        <v>0</v>
      </c>
      <c r="E9">
        <v>0</v>
      </c>
      <c r="F9">
        <v>1</v>
      </c>
      <c r="G9">
        <v>0</v>
      </c>
      <c r="H9" t="s">
        <v>8</v>
      </c>
      <c r="I9">
        <v>1</v>
      </c>
    </row>
    <row r="10" spans="1:11" x14ac:dyDescent="0.3">
      <c r="A10">
        <v>97</v>
      </c>
      <c r="B10" t="s">
        <v>33</v>
      </c>
      <c r="C10" t="s">
        <v>9</v>
      </c>
      <c r="D10">
        <v>0</v>
      </c>
      <c r="E10">
        <v>0</v>
      </c>
      <c r="F10">
        <v>70</v>
      </c>
      <c r="G10">
        <v>0</v>
      </c>
      <c r="H10" t="s">
        <v>9</v>
      </c>
      <c r="I10">
        <v>70</v>
      </c>
    </row>
    <row r="11" spans="1:11" x14ac:dyDescent="0.3">
      <c r="A11">
        <v>97</v>
      </c>
      <c r="B11" t="s">
        <v>33</v>
      </c>
      <c r="C11" t="s">
        <v>10</v>
      </c>
      <c r="D11">
        <v>17</v>
      </c>
      <c r="E11">
        <v>4</v>
      </c>
      <c r="F11">
        <v>0</v>
      </c>
      <c r="G11">
        <v>12</v>
      </c>
      <c r="H11" t="s">
        <v>68</v>
      </c>
      <c r="I11">
        <v>33</v>
      </c>
    </row>
    <row r="12" spans="1:11" x14ac:dyDescent="0.3">
      <c r="A12">
        <v>97</v>
      </c>
      <c r="B12" t="s">
        <v>33</v>
      </c>
      <c r="C12" t="s">
        <v>12</v>
      </c>
      <c r="D12">
        <v>10</v>
      </c>
      <c r="E12">
        <v>0</v>
      </c>
      <c r="F12">
        <v>0</v>
      </c>
      <c r="G12">
        <v>7</v>
      </c>
      <c r="H12" t="s">
        <v>64</v>
      </c>
      <c r="I12">
        <v>17</v>
      </c>
    </row>
    <row r="13" spans="1:11" x14ac:dyDescent="0.3">
      <c r="A13">
        <v>97</v>
      </c>
      <c r="B13" t="s">
        <v>33</v>
      </c>
      <c r="C13" t="s">
        <v>13</v>
      </c>
      <c r="D13">
        <v>8</v>
      </c>
      <c r="E13">
        <v>0</v>
      </c>
      <c r="F13">
        <v>0</v>
      </c>
      <c r="G13">
        <v>13</v>
      </c>
      <c r="H13" t="s">
        <v>69</v>
      </c>
      <c r="I13">
        <v>21</v>
      </c>
    </row>
    <row r="14" spans="1:11" x14ac:dyDescent="0.3">
      <c r="A14">
        <v>97</v>
      </c>
      <c r="B14" t="s">
        <v>33</v>
      </c>
      <c r="C14" t="s">
        <v>14</v>
      </c>
      <c r="D14">
        <v>7</v>
      </c>
      <c r="E14">
        <v>6</v>
      </c>
      <c r="F14">
        <v>0</v>
      </c>
      <c r="G14">
        <v>11</v>
      </c>
      <c r="H14" t="s">
        <v>62</v>
      </c>
      <c r="I14">
        <v>24</v>
      </c>
    </row>
    <row r="15" spans="1:11" x14ac:dyDescent="0.3">
      <c r="A15">
        <v>97</v>
      </c>
      <c r="B15" t="s">
        <v>33</v>
      </c>
      <c r="C15" t="s">
        <v>15</v>
      </c>
      <c r="D15">
        <v>3</v>
      </c>
      <c r="E15">
        <v>0</v>
      </c>
      <c r="F15">
        <v>0</v>
      </c>
      <c r="G15">
        <v>4</v>
      </c>
      <c r="H15" t="s">
        <v>65</v>
      </c>
      <c r="I15">
        <v>7</v>
      </c>
    </row>
    <row r="16" spans="1:11" x14ac:dyDescent="0.3">
      <c r="A16">
        <v>97</v>
      </c>
      <c r="B16" t="s">
        <v>33</v>
      </c>
      <c r="C16" t="s">
        <v>16</v>
      </c>
      <c r="D16">
        <v>3</v>
      </c>
      <c r="E16">
        <v>0</v>
      </c>
      <c r="F16">
        <v>0</v>
      </c>
      <c r="G16">
        <v>5</v>
      </c>
      <c r="H16" t="s">
        <v>61</v>
      </c>
      <c r="I16">
        <v>8</v>
      </c>
    </row>
    <row r="17" spans="1:9" x14ac:dyDescent="0.3">
      <c r="A17">
        <v>97</v>
      </c>
      <c r="B17" t="s">
        <v>33</v>
      </c>
      <c r="C17" t="s">
        <v>28</v>
      </c>
      <c r="D17">
        <v>7</v>
      </c>
      <c r="E17">
        <v>0</v>
      </c>
      <c r="F17">
        <v>0</v>
      </c>
      <c r="G17">
        <v>4</v>
      </c>
      <c r="H17" t="s">
        <v>28</v>
      </c>
      <c r="I17">
        <v>11</v>
      </c>
    </row>
    <row r="18" spans="1:9" x14ac:dyDescent="0.3">
      <c r="A18">
        <v>97</v>
      </c>
      <c r="B18" t="s">
        <v>33</v>
      </c>
      <c r="C18" t="s">
        <v>29</v>
      </c>
      <c r="D18">
        <v>8</v>
      </c>
      <c r="E18">
        <v>0</v>
      </c>
      <c r="F18">
        <v>0</v>
      </c>
      <c r="G18">
        <v>7</v>
      </c>
      <c r="H18" t="s">
        <v>67</v>
      </c>
      <c r="I18">
        <v>15</v>
      </c>
    </row>
    <row r="19" spans="1:9" x14ac:dyDescent="0.3">
      <c r="A19">
        <v>98</v>
      </c>
      <c r="B19" t="s">
        <v>7</v>
      </c>
      <c r="C19" t="s">
        <v>11</v>
      </c>
      <c r="D19">
        <v>11</v>
      </c>
      <c r="E19">
        <v>0</v>
      </c>
      <c r="F19">
        <v>0</v>
      </c>
      <c r="G19">
        <v>19</v>
      </c>
      <c r="H19" t="s">
        <v>63</v>
      </c>
      <c r="I19">
        <v>30</v>
      </c>
    </row>
    <row r="20" spans="1:9" x14ac:dyDescent="0.3">
      <c r="A20">
        <v>98</v>
      </c>
      <c r="B20" t="s">
        <v>7</v>
      </c>
      <c r="C20" t="s">
        <v>12</v>
      </c>
      <c r="D20">
        <v>17</v>
      </c>
      <c r="E20">
        <v>0</v>
      </c>
      <c r="F20">
        <v>0</v>
      </c>
      <c r="G20">
        <v>8</v>
      </c>
      <c r="H20" t="s">
        <v>64</v>
      </c>
      <c r="I20">
        <v>25</v>
      </c>
    </row>
    <row r="21" spans="1:9" x14ac:dyDescent="0.3">
      <c r="A21">
        <v>98</v>
      </c>
      <c r="B21" t="s">
        <v>7</v>
      </c>
      <c r="C21" t="s">
        <v>14</v>
      </c>
      <c r="D21">
        <v>12</v>
      </c>
      <c r="E21">
        <v>3</v>
      </c>
      <c r="F21">
        <v>0</v>
      </c>
      <c r="G21">
        <v>13</v>
      </c>
      <c r="H21" t="s">
        <v>62</v>
      </c>
      <c r="I21">
        <v>28</v>
      </c>
    </row>
    <row r="22" spans="1:9" x14ac:dyDescent="0.3">
      <c r="A22">
        <v>98</v>
      </c>
      <c r="B22" t="s">
        <v>7</v>
      </c>
      <c r="C22" t="s">
        <v>15</v>
      </c>
      <c r="D22">
        <v>0</v>
      </c>
      <c r="E22">
        <v>0</v>
      </c>
      <c r="F22">
        <v>0</v>
      </c>
      <c r="G22">
        <v>2</v>
      </c>
      <c r="H22" t="s">
        <v>65</v>
      </c>
      <c r="I22">
        <v>2</v>
      </c>
    </row>
    <row r="23" spans="1:9" x14ac:dyDescent="0.3">
      <c r="A23">
        <v>98</v>
      </c>
      <c r="B23" t="s">
        <v>7</v>
      </c>
      <c r="C23" t="s">
        <v>16</v>
      </c>
      <c r="D23">
        <v>3</v>
      </c>
      <c r="E23">
        <v>0</v>
      </c>
      <c r="F23">
        <v>0</v>
      </c>
      <c r="G23">
        <v>5</v>
      </c>
      <c r="H23" t="s">
        <v>61</v>
      </c>
      <c r="I23">
        <v>8</v>
      </c>
    </row>
    <row r="24" spans="1:9" x14ac:dyDescent="0.3">
      <c r="A24">
        <v>98</v>
      </c>
      <c r="B24" t="s">
        <v>7</v>
      </c>
      <c r="C24" t="s">
        <v>17</v>
      </c>
      <c r="D24">
        <v>24</v>
      </c>
      <c r="E24">
        <v>0</v>
      </c>
      <c r="F24">
        <v>0</v>
      </c>
      <c r="G24">
        <v>20</v>
      </c>
      <c r="H24" t="s">
        <v>66</v>
      </c>
      <c r="I24">
        <v>44</v>
      </c>
    </row>
    <row r="25" spans="1:9" x14ac:dyDescent="0.3">
      <c r="A25">
        <v>98</v>
      </c>
      <c r="B25" t="s">
        <v>33</v>
      </c>
      <c r="C25" t="s">
        <v>8</v>
      </c>
      <c r="D25">
        <v>0</v>
      </c>
      <c r="E25">
        <v>0</v>
      </c>
      <c r="F25">
        <v>2</v>
      </c>
      <c r="G25">
        <v>0</v>
      </c>
      <c r="H25" t="s">
        <v>8</v>
      </c>
      <c r="I25">
        <v>2</v>
      </c>
    </row>
    <row r="26" spans="1:9" x14ac:dyDescent="0.3">
      <c r="A26">
        <v>98</v>
      </c>
      <c r="B26" t="s">
        <v>33</v>
      </c>
      <c r="C26" t="s">
        <v>9</v>
      </c>
      <c r="D26">
        <v>0</v>
      </c>
      <c r="E26">
        <v>0</v>
      </c>
      <c r="F26">
        <v>27</v>
      </c>
      <c r="G26">
        <v>0</v>
      </c>
      <c r="H26" t="s">
        <v>9</v>
      </c>
      <c r="I26">
        <v>27</v>
      </c>
    </row>
    <row r="27" spans="1:9" x14ac:dyDescent="0.3">
      <c r="A27">
        <v>98</v>
      </c>
      <c r="B27" t="s">
        <v>33</v>
      </c>
      <c r="C27" t="s">
        <v>10</v>
      </c>
      <c r="D27">
        <v>7</v>
      </c>
      <c r="E27">
        <v>2</v>
      </c>
      <c r="F27">
        <v>0</v>
      </c>
      <c r="G27">
        <v>14</v>
      </c>
      <c r="H27" t="s">
        <v>68</v>
      </c>
      <c r="I27">
        <v>23</v>
      </c>
    </row>
    <row r="28" spans="1:9" x14ac:dyDescent="0.3">
      <c r="A28">
        <v>98</v>
      </c>
      <c r="B28" t="s">
        <v>33</v>
      </c>
      <c r="C28" t="s">
        <v>11</v>
      </c>
      <c r="D28">
        <v>13</v>
      </c>
      <c r="E28">
        <v>0</v>
      </c>
      <c r="F28">
        <v>0</v>
      </c>
      <c r="G28">
        <v>12</v>
      </c>
      <c r="H28" t="s">
        <v>63</v>
      </c>
      <c r="I28">
        <v>25</v>
      </c>
    </row>
    <row r="29" spans="1:9" x14ac:dyDescent="0.3">
      <c r="A29">
        <v>98</v>
      </c>
      <c r="B29" t="s">
        <v>33</v>
      </c>
      <c r="C29" t="s">
        <v>12</v>
      </c>
      <c r="D29">
        <v>31</v>
      </c>
      <c r="E29">
        <v>4</v>
      </c>
      <c r="F29">
        <v>0</v>
      </c>
      <c r="G29">
        <v>26</v>
      </c>
      <c r="H29" t="s">
        <v>64</v>
      </c>
      <c r="I29">
        <v>61</v>
      </c>
    </row>
    <row r="30" spans="1:9" x14ac:dyDescent="0.3">
      <c r="A30">
        <v>98</v>
      </c>
      <c r="B30" t="s">
        <v>33</v>
      </c>
      <c r="C30" t="s">
        <v>13</v>
      </c>
      <c r="D30">
        <v>45</v>
      </c>
      <c r="E30">
        <v>0</v>
      </c>
      <c r="F30">
        <v>0</v>
      </c>
      <c r="G30">
        <v>43</v>
      </c>
      <c r="H30" t="s">
        <v>69</v>
      </c>
      <c r="I30">
        <v>88</v>
      </c>
    </row>
    <row r="31" spans="1:9" x14ac:dyDescent="0.3">
      <c r="A31">
        <v>98</v>
      </c>
      <c r="B31" t="s">
        <v>33</v>
      </c>
      <c r="C31" t="s">
        <v>14</v>
      </c>
      <c r="D31">
        <v>3</v>
      </c>
      <c r="E31">
        <v>0</v>
      </c>
      <c r="F31">
        <v>0</v>
      </c>
      <c r="G31">
        <v>6</v>
      </c>
      <c r="H31" t="s">
        <v>62</v>
      </c>
      <c r="I31">
        <v>9</v>
      </c>
    </row>
    <row r="32" spans="1:9" x14ac:dyDescent="0.3">
      <c r="A32">
        <v>98</v>
      </c>
      <c r="B32" t="s">
        <v>33</v>
      </c>
      <c r="C32" t="s">
        <v>15</v>
      </c>
      <c r="D32">
        <v>0</v>
      </c>
      <c r="E32">
        <v>0</v>
      </c>
      <c r="F32">
        <v>0</v>
      </c>
      <c r="G32">
        <v>3</v>
      </c>
      <c r="H32" t="s">
        <v>65</v>
      </c>
      <c r="I32">
        <v>3</v>
      </c>
    </row>
    <row r="33" spans="1:9" x14ac:dyDescent="0.3">
      <c r="A33">
        <v>98</v>
      </c>
      <c r="B33" t="s">
        <v>33</v>
      </c>
      <c r="C33" t="s">
        <v>16</v>
      </c>
      <c r="D33">
        <v>2</v>
      </c>
      <c r="E33">
        <v>0</v>
      </c>
      <c r="F33">
        <v>0</v>
      </c>
      <c r="G33">
        <v>3</v>
      </c>
      <c r="H33" t="s">
        <v>61</v>
      </c>
      <c r="I33">
        <v>5</v>
      </c>
    </row>
    <row r="34" spans="1:9" x14ac:dyDescent="0.3">
      <c r="A34">
        <v>98</v>
      </c>
      <c r="B34" t="s">
        <v>33</v>
      </c>
      <c r="C34" t="s">
        <v>17</v>
      </c>
      <c r="D34">
        <v>4</v>
      </c>
      <c r="E34">
        <v>0</v>
      </c>
      <c r="F34">
        <v>0</v>
      </c>
      <c r="G34">
        <v>3</v>
      </c>
      <c r="H34" t="s">
        <v>66</v>
      </c>
      <c r="I34">
        <v>7</v>
      </c>
    </row>
    <row r="35" spans="1:9" x14ac:dyDescent="0.3">
      <c r="A35">
        <v>98</v>
      </c>
      <c r="B35" t="s">
        <v>33</v>
      </c>
      <c r="C35" t="s">
        <v>28</v>
      </c>
      <c r="D35">
        <v>0</v>
      </c>
      <c r="E35">
        <v>0</v>
      </c>
      <c r="F35">
        <v>0</v>
      </c>
      <c r="G35">
        <v>3</v>
      </c>
      <c r="H35" t="s">
        <v>28</v>
      </c>
      <c r="I35">
        <v>3</v>
      </c>
    </row>
    <row r="36" spans="1:9" x14ac:dyDescent="0.3">
      <c r="A36">
        <v>99</v>
      </c>
      <c r="B36" t="s">
        <v>7</v>
      </c>
      <c r="C36" t="s">
        <v>11</v>
      </c>
      <c r="D36">
        <v>0</v>
      </c>
      <c r="E36">
        <v>0</v>
      </c>
      <c r="F36">
        <v>0</v>
      </c>
      <c r="G36">
        <v>5</v>
      </c>
      <c r="H36" t="s">
        <v>63</v>
      </c>
      <c r="I36">
        <v>5</v>
      </c>
    </row>
    <row r="37" spans="1:9" x14ac:dyDescent="0.3">
      <c r="A37">
        <v>99</v>
      </c>
      <c r="B37" t="s">
        <v>7</v>
      </c>
      <c r="C37" t="s">
        <v>12</v>
      </c>
      <c r="D37">
        <v>30</v>
      </c>
      <c r="E37">
        <v>3</v>
      </c>
      <c r="F37">
        <v>0</v>
      </c>
      <c r="G37">
        <v>27</v>
      </c>
      <c r="H37" t="s">
        <v>64</v>
      </c>
      <c r="I37">
        <v>60</v>
      </c>
    </row>
    <row r="38" spans="1:9" x14ac:dyDescent="0.3">
      <c r="A38">
        <v>99</v>
      </c>
      <c r="B38" t="s">
        <v>7</v>
      </c>
      <c r="C38" t="s">
        <v>14</v>
      </c>
      <c r="D38">
        <v>13</v>
      </c>
      <c r="E38">
        <v>12</v>
      </c>
      <c r="F38">
        <v>0</v>
      </c>
      <c r="G38">
        <v>19</v>
      </c>
      <c r="H38" t="s">
        <v>62</v>
      </c>
      <c r="I38">
        <v>44</v>
      </c>
    </row>
    <row r="39" spans="1:9" x14ac:dyDescent="0.3">
      <c r="A39">
        <v>99</v>
      </c>
      <c r="B39" t="s">
        <v>7</v>
      </c>
      <c r="C39" t="s">
        <v>15</v>
      </c>
      <c r="D39">
        <v>27</v>
      </c>
      <c r="E39">
        <v>2</v>
      </c>
      <c r="F39">
        <v>0</v>
      </c>
      <c r="G39">
        <v>27</v>
      </c>
      <c r="H39" t="s">
        <v>65</v>
      </c>
      <c r="I39">
        <v>56</v>
      </c>
    </row>
    <row r="40" spans="1:9" x14ac:dyDescent="0.3">
      <c r="A40">
        <v>99</v>
      </c>
      <c r="B40" t="s">
        <v>7</v>
      </c>
      <c r="C40" t="s">
        <v>16</v>
      </c>
      <c r="D40">
        <v>25</v>
      </c>
      <c r="E40">
        <v>5</v>
      </c>
      <c r="F40">
        <v>0</v>
      </c>
      <c r="G40">
        <v>27</v>
      </c>
      <c r="H40" t="s">
        <v>61</v>
      </c>
      <c r="I40">
        <v>57</v>
      </c>
    </row>
    <row r="41" spans="1:9" x14ac:dyDescent="0.3">
      <c r="A41">
        <v>99</v>
      </c>
      <c r="B41" t="s">
        <v>7</v>
      </c>
      <c r="C41" t="s">
        <v>17</v>
      </c>
      <c r="D41">
        <v>1</v>
      </c>
      <c r="E41">
        <v>0</v>
      </c>
      <c r="F41">
        <v>0</v>
      </c>
      <c r="G41">
        <v>7</v>
      </c>
      <c r="H41" t="s">
        <v>66</v>
      </c>
      <c r="I41">
        <v>8</v>
      </c>
    </row>
    <row r="42" spans="1:9" x14ac:dyDescent="0.3">
      <c r="A42">
        <v>99</v>
      </c>
      <c r="B42" t="s">
        <v>33</v>
      </c>
      <c r="C42" t="s">
        <v>8</v>
      </c>
      <c r="D42">
        <v>0</v>
      </c>
      <c r="E42">
        <v>0</v>
      </c>
      <c r="F42">
        <v>1</v>
      </c>
      <c r="G42">
        <v>0</v>
      </c>
      <c r="H42" t="s">
        <v>8</v>
      </c>
      <c r="I42">
        <v>1</v>
      </c>
    </row>
    <row r="43" spans="1:9" x14ac:dyDescent="0.3">
      <c r="A43">
        <v>99</v>
      </c>
      <c r="B43" t="s">
        <v>33</v>
      </c>
      <c r="C43" t="s">
        <v>9</v>
      </c>
      <c r="D43">
        <v>0</v>
      </c>
      <c r="E43">
        <v>0</v>
      </c>
      <c r="F43">
        <v>28</v>
      </c>
      <c r="G43">
        <v>0</v>
      </c>
      <c r="H43" t="s">
        <v>9</v>
      </c>
      <c r="I43">
        <v>28</v>
      </c>
    </row>
    <row r="44" spans="1:9" x14ac:dyDescent="0.3">
      <c r="A44">
        <v>99</v>
      </c>
      <c r="B44" t="s">
        <v>33</v>
      </c>
      <c r="C44" t="s">
        <v>10</v>
      </c>
      <c r="D44">
        <v>0</v>
      </c>
      <c r="E44">
        <v>0</v>
      </c>
      <c r="F44">
        <v>0</v>
      </c>
      <c r="G44">
        <v>2</v>
      </c>
      <c r="H44" t="s">
        <v>68</v>
      </c>
      <c r="I44">
        <v>2</v>
      </c>
    </row>
    <row r="45" spans="1:9" x14ac:dyDescent="0.3">
      <c r="A45">
        <v>99</v>
      </c>
      <c r="B45" t="s">
        <v>33</v>
      </c>
      <c r="C45" t="s">
        <v>13</v>
      </c>
      <c r="D45">
        <v>9</v>
      </c>
      <c r="E45">
        <v>0</v>
      </c>
      <c r="F45">
        <v>0</v>
      </c>
      <c r="G45">
        <v>10</v>
      </c>
      <c r="H45" t="s">
        <v>69</v>
      </c>
      <c r="I45">
        <v>19</v>
      </c>
    </row>
    <row r="46" spans="1:9" x14ac:dyDescent="0.3">
      <c r="A46">
        <v>100</v>
      </c>
      <c r="B46" t="s">
        <v>7</v>
      </c>
      <c r="C46" t="s">
        <v>11</v>
      </c>
      <c r="D46">
        <v>31</v>
      </c>
      <c r="E46">
        <v>3</v>
      </c>
      <c r="F46">
        <v>0</v>
      </c>
      <c r="G46">
        <v>25</v>
      </c>
      <c r="H46" t="s">
        <v>63</v>
      </c>
      <c r="I46">
        <v>59</v>
      </c>
    </row>
    <row r="47" spans="1:9" x14ac:dyDescent="0.3">
      <c r="A47">
        <v>100</v>
      </c>
      <c r="B47" t="s">
        <v>7</v>
      </c>
      <c r="C47" t="s">
        <v>12</v>
      </c>
      <c r="D47">
        <v>22</v>
      </c>
      <c r="E47">
        <v>0</v>
      </c>
      <c r="F47">
        <v>0</v>
      </c>
      <c r="G47">
        <v>18</v>
      </c>
      <c r="H47" t="s">
        <v>64</v>
      </c>
      <c r="I47">
        <v>40</v>
      </c>
    </row>
    <row r="48" spans="1:9" x14ac:dyDescent="0.3">
      <c r="A48">
        <v>100</v>
      </c>
      <c r="B48" t="s">
        <v>7</v>
      </c>
      <c r="C48" t="s">
        <v>14</v>
      </c>
      <c r="D48">
        <v>12</v>
      </c>
      <c r="E48">
        <v>5</v>
      </c>
      <c r="F48">
        <v>0</v>
      </c>
      <c r="G48">
        <v>13</v>
      </c>
      <c r="H48" t="s">
        <v>62</v>
      </c>
      <c r="I48">
        <v>30</v>
      </c>
    </row>
    <row r="49" spans="1:9" x14ac:dyDescent="0.3">
      <c r="A49">
        <v>100</v>
      </c>
      <c r="B49" t="s">
        <v>7</v>
      </c>
      <c r="C49" t="s">
        <v>15</v>
      </c>
      <c r="D49">
        <v>17</v>
      </c>
      <c r="E49">
        <v>4</v>
      </c>
      <c r="F49">
        <v>0</v>
      </c>
      <c r="G49">
        <v>14</v>
      </c>
      <c r="H49" t="s">
        <v>65</v>
      </c>
      <c r="I49">
        <v>35</v>
      </c>
    </row>
    <row r="50" spans="1:9" x14ac:dyDescent="0.3">
      <c r="A50">
        <v>100</v>
      </c>
      <c r="B50" t="s">
        <v>7</v>
      </c>
      <c r="C50" t="s">
        <v>16</v>
      </c>
      <c r="D50">
        <v>17</v>
      </c>
      <c r="E50">
        <v>2</v>
      </c>
      <c r="F50">
        <v>0</v>
      </c>
      <c r="G50">
        <v>15</v>
      </c>
      <c r="H50" t="s">
        <v>61</v>
      </c>
      <c r="I50">
        <v>34</v>
      </c>
    </row>
    <row r="51" spans="1:9" x14ac:dyDescent="0.3">
      <c r="A51">
        <v>100</v>
      </c>
      <c r="B51" t="s">
        <v>7</v>
      </c>
      <c r="C51" t="s">
        <v>17</v>
      </c>
      <c r="D51">
        <v>11</v>
      </c>
      <c r="E51">
        <v>0</v>
      </c>
      <c r="F51">
        <v>0</v>
      </c>
      <c r="G51">
        <v>8</v>
      </c>
      <c r="H51" t="s">
        <v>66</v>
      </c>
      <c r="I51">
        <v>19</v>
      </c>
    </row>
    <row r="52" spans="1:9" x14ac:dyDescent="0.3">
      <c r="A52">
        <v>100</v>
      </c>
      <c r="B52" t="s">
        <v>33</v>
      </c>
      <c r="C52" t="s">
        <v>8</v>
      </c>
      <c r="D52">
        <v>0</v>
      </c>
      <c r="E52">
        <v>0</v>
      </c>
      <c r="F52">
        <v>2</v>
      </c>
      <c r="G52">
        <v>0</v>
      </c>
      <c r="H52" t="s">
        <v>8</v>
      </c>
      <c r="I52">
        <v>2</v>
      </c>
    </row>
    <row r="53" spans="1:9" x14ac:dyDescent="0.3">
      <c r="A53">
        <v>100</v>
      </c>
      <c r="B53" t="s">
        <v>33</v>
      </c>
      <c r="C53" t="s">
        <v>9</v>
      </c>
      <c r="D53">
        <v>0</v>
      </c>
      <c r="E53">
        <v>0</v>
      </c>
      <c r="F53">
        <v>5</v>
      </c>
      <c r="G53">
        <v>0</v>
      </c>
      <c r="H53" t="s">
        <v>9</v>
      </c>
      <c r="I53">
        <v>5</v>
      </c>
    </row>
    <row r="54" spans="1:9" x14ac:dyDescent="0.3">
      <c r="A54">
        <v>100</v>
      </c>
      <c r="B54" t="s">
        <v>33</v>
      </c>
      <c r="C54" t="s">
        <v>10</v>
      </c>
      <c r="D54">
        <v>0</v>
      </c>
      <c r="E54">
        <v>0</v>
      </c>
      <c r="F54">
        <v>0</v>
      </c>
      <c r="G54">
        <v>5</v>
      </c>
      <c r="H54" t="s">
        <v>68</v>
      </c>
      <c r="I54">
        <v>5</v>
      </c>
    </row>
    <row r="55" spans="1:9" x14ac:dyDescent="0.3">
      <c r="A55">
        <v>100</v>
      </c>
      <c r="B55" t="s">
        <v>33</v>
      </c>
      <c r="C55" t="s">
        <v>13</v>
      </c>
      <c r="D55">
        <v>31</v>
      </c>
      <c r="E55">
        <v>14</v>
      </c>
      <c r="F55">
        <v>0</v>
      </c>
      <c r="G55">
        <v>24</v>
      </c>
      <c r="H55" t="s">
        <v>69</v>
      </c>
      <c r="I55">
        <v>69</v>
      </c>
    </row>
    <row r="56" spans="1:9" x14ac:dyDescent="0.3">
      <c r="A56">
        <v>101</v>
      </c>
      <c r="B56" t="s">
        <v>7</v>
      </c>
      <c r="C56" t="s">
        <v>11</v>
      </c>
      <c r="D56">
        <v>2</v>
      </c>
      <c r="E56">
        <v>0</v>
      </c>
      <c r="F56">
        <v>0</v>
      </c>
      <c r="G56">
        <v>5</v>
      </c>
      <c r="H56" t="s">
        <v>63</v>
      </c>
      <c r="I56">
        <v>7</v>
      </c>
    </row>
    <row r="57" spans="1:9" x14ac:dyDescent="0.3">
      <c r="A57">
        <v>101</v>
      </c>
      <c r="B57" t="s">
        <v>7</v>
      </c>
      <c r="C57" t="s">
        <v>12</v>
      </c>
      <c r="D57">
        <v>12</v>
      </c>
      <c r="E57">
        <v>2</v>
      </c>
      <c r="F57">
        <v>0</v>
      </c>
      <c r="G57">
        <v>10</v>
      </c>
      <c r="H57" t="s">
        <v>64</v>
      </c>
      <c r="I57">
        <v>24</v>
      </c>
    </row>
    <row r="58" spans="1:9" x14ac:dyDescent="0.3">
      <c r="A58">
        <v>101</v>
      </c>
      <c r="B58" t="s">
        <v>7</v>
      </c>
      <c r="C58" t="s">
        <v>13</v>
      </c>
      <c r="D58">
        <v>8</v>
      </c>
      <c r="E58">
        <v>0</v>
      </c>
      <c r="F58">
        <v>0</v>
      </c>
      <c r="G58">
        <v>5</v>
      </c>
      <c r="H58" t="s">
        <v>69</v>
      </c>
      <c r="I58">
        <v>13</v>
      </c>
    </row>
    <row r="59" spans="1:9" x14ac:dyDescent="0.3">
      <c r="A59">
        <v>101</v>
      </c>
      <c r="B59" t="s">
        <v>7</v>
      </c>
      <c r="C59" t="s">
        <v>14</v>
      </c>
      <c r="D59">
        <v>1</v>
      </c>
      <c r="E59">
        <v>3</v>
      </c>
      <c r="F59">
        <v>0</v>
      </c>
      <c r="G59">
        <v>8</v>
      </c>
      <c r="H59" t="s">
        <v>62</v>
      </c>
      <c r="I59">
        <v>12</v>
      </c>
    </row>
    <row r="60" spans="1:9" x14ac:dyDescent="0.3">
      <c r="A60">
        <v>101</v>
      </c>
      <c r="B60" t="s">
        <v>7</v>
      </c>
      <c r="C60" t="s">
        <v>15</v>
      </c>
      <c r="D60">
        <v>3</v>
      </c>
      <c r="E60">
        <v>0</v>
      </c>
      <c r="F60">
        <v>0</v>
      </c>
      <c r="G60">
        <v>7</v>
      </c>
      <c r="H60" t="s">
        <v>65</v>
      </c>
      <c r="I60">
        <v>10</v>
      </c>
    </row>
    <row r="61" spans="1:9" x14ac:dyDescent="0.3">
      <c r="A61">
        <v>101</v>
      </c>
      <c r="B61" t="s">
        <v>7</v>
      </c>
      <c r="C61" t="s">
        <v>16</v>
      </c>
      <c r="D61">
        <v>8</v>
      </c>
      <c r="E61">
        <v>0</v>
      </c>
      <c r="F61">
        <v>0</v>
      </c>
      <c r="G61">
        <v>9</v>
      </c>
      <c r="H61" t="s">
        <v>61</v>
      </c>
      <c r="I61">
        <v>17</v>
      </c>
    </row>
    <row r="62" spans="1:9" x14ac:dyDescent="0.3">
      <c r="A62">
        <v>101</v>
      </c>
      <c r="B62" t="s">
        <v>7</v>
      </c>
      <c r="C62" t="s">
        <v>17</v>
      </c>
      <c r="D62">
        <v>2</v>
      </c>
      <c r="E62">
        <v>0</v>
      </c>
      <c r="F62">
        <v>0</v>
      </c>
      <c r="G62">
        <v>7</v>
      </c>
      <c r="H62" t="s">
        <v>66</v>
      </c>
      <c r="I62">
        <v>9</v>
      </c>
    </row>
    <row r="63" spans="1:9" x14ac:dyDescent="0.3">
      <c r="A63">
        <v>101</v>
      </c>
      <c r="B63" t="s">
        <v>33</v>
      </c>
      <c r="C63" t="s">
        <v>8</v>
      </c>
      <c r="D63">
        <v>0</v>
      </c>
      <c r="E63">
        <v>0</v>
      </c>
      <c r="F63">
        <v>2</v>
      </c>
      <c r="G63">
        <v>0</v>
      </c>
      <c r="H63" t="s">
        <v>8</v>
      </c>
      <c r="I63">
        <v>2</v>
      </c>
    </row>
    <row r="64" spans="1:9" x14ac:dyDescent="0.3">
      <c r="A64">
        <v>101</v>
      </c>
      <c r="B64" t="s">
        <v>33</v>
      </c>
      <c r="C64" t="s">
        <v>9</v>
      </c>
      <c r="D64">
        <v>0</v>
      </c>
      <c r="E64">
        <v>0</v>
      </c>
      <c r="F64">
        <v>56</v>
      </c>
      <c r="G64">
        <v>0</v>
      </c>
      <c r="H64" t="s">
        <v>9</v>
      </c>
      <c r="I64">
        <v>56</v>
      </c>
    </row>
    <row r="65" spans="1:9" x14ac:dyDescent="0.3">
      <c r="A65">
        <v>101</v>
      </c>
      <c r="B65" t="s">
        <v>33</v>
      </c>
      <c r="C65" t="s">
        <v>10</v>
      </c>
      <c r="D65">
        <v>22</v>
      </c>
      <c r="E65">
        <v>0</v>
      </c>
      <c r="F65">
        <v>0</v>
      </c>
      <c r="G65">
        <v>17</v>
      </c>
      <c r="H65" t="s">
        <v>68</v>
      </c>
      <c r="I65">
        <v>39</v>
      </c>
    </row>
    <row r="66" spans="1:9" x14ac:dyDescent="0.3">
      <c r="A66">
        <v>101</v>
      </c>
      <c r="B66" t="s">
        <v>33</v>
      </c>
      <c r="C66" t="s">
        <v>11</v>
      </c>
      <c r="D66">
        <v>11</v>
      </c>
      <c r="E66">
        <v>8</v>
      </c>
      <c r="F66">
        <v>0</v>
      </c>
      <c r="G66">
        <v>19</v>
      </c>
      <c r="H66" t="s">
        <v>63</v>
      </c>
      <c r="I66">
        <v>38</v>
      </c>
    </row>
    <row r="67" spans="1:9" x14ac:dyDescent="0.3">
      <c r="A67">
        <v>101</v>
      </c>
      <c r="B67" t="s">
        <v>33</v>
      </c>
      <c r="C67" t="s">
        <v>12</v>
      </c>
      <c r="D67">
        <v>7</v>
      </c>
      <c r="E67">
        <v>8</v>
      </c>
      <c r="F67">
        <v>0</v>
      </c>
      <c r="G67">
        <v>8</v>
      </c>
      <c r="H67" t="s">
        <v>64</v>
      </c>
      <c r="I67">
        <v>23</v>
      </c>
    </row>
    <row r="68" spans="1:9" x14ac:dyDescent="0.3">
      <c r="A68">
        <v>101</v>
      </c>
      <c r="B68" t="s">
        <v>33</v>
      </c>
      <c r="C68" t="s">
        <v>13</v>
      </c>
      <c r="D68">
        <v>0</v>
      </c>
      <c r="E68">
        <v>0</v>
      </c>
      <c r="F68">
        <v>0</v>
      </c>
      <c r="G68">
        <v>1</v>
      </c>
      <c r="H68" t="s">
        <v>69</v>
      </c>
      <c r="I68">
        <v>1</v>
      </c>
    </row>
    <row r="69" spans="1:9" x14ac:dyDescent="0.3">
      <c r="A69">
        <v>101</v>
      </c>
      <c r="B69" t="s">
        <v>33</v>
      </c>
      <c r="C69" t="s">
        <v>14</v>
      </c>
      <c r="D69">
        <v>28</v>
      </c>
      <c r="E69">
        <v>1</v>
      </c>
      <c r="F69">
        <v>0</v>
      </c>
      <c r="G69">
        <v>29</v>
      </c>
      <c r="H69" t="s">
        <v>62</v>
      </c>
      <c r="I69">
        <v>58</v>
      </c>
    </row>
    <row r="70" spans="1:9" x14ac:dyDescent="0.3">
      <c r="A70">
        <v>101</v>
      </c>
      <c r="B70" t="s">
        <v>33</v>
      </c>
      <c r="C70" t="s">
        <v>15</v>
      </c>
      <c r="D70">
        <v>2</v>
      </c>
      <c r="E70">
        <v>0</v>
      </c>
      <c r="F70">
        <v>0</v>
      </c>
      <c r="G70">
        <v>15</v>
      </c>
      <c r="H70" t="s">
        <v>65</v>
      </c>
      <c r="I70">
        <v>17</v>
      </c>
    </row>
    <row r="71" spans="1:9" x14ac:dyDescent="0.3">
      <c r="A71">
        <v>101</v>
      </c>
      <c r="B71" t="s">
        <v>33</v>
      </c>
      <c r="C71" t="s">
        <v>16</v>
      </c>
      <c r="D71">
        <v>19</v>
      </c>
      <c r="E71">
        <v>5</v>
      </c>
      <c r="F71">
        <v>0</v>
      </c>
      <c r="G71">
        <v>22</v>
      </c>
      <c r="H71" t="s">
        <v>61</v>
      </c>
      <c r="I71">
        <v>46</v>
      </c>
    </row>
    <row r="72" spans="1:9" x14ac:dyDescent="0.3">
      <c r="A72">
        <v>101</v>
      </c>
      <c r="B72" t="s">
        <v>33</v>
      </c>
      <c r="C72" t="s">
        <v>17</v>
      </c>
      <c r="D72">
        <v>30</v>
      </c>
      <c r="E72">
        <v>0</v>
      </c>
      <c r="F72">
        <v>0</v>
      </c>
      <c r="G72">
        <v>21</v>
      </c>
      <c r="H72" t="s">
        <v>66</v>
      </c>
      <c r="I72">
        <v>51</v>
      </c>
    </row>
    <row r="73" spans="1:9" x14ac:dyDescent="0.3">
      <c r="A73">
        <v>101</v>
      </c>
      <c r="B73" t="s">
        <v>33</v>
      </c>
      <c r="C73" t="s">
        <v>28</v>
      </c>
      <c r="D73">
        <v>3</v>
      </c>
      <c r="E73">
        <v>0</v>
      </c>
      <c r="F73">
        <v>0</v>
      </c>
      <c r="G73">
        <v>8</v>
      </c>
      <c r="H73" t="s">
        <v>28</v>
      </c>
      <c r="I73">
        <v>11</v>
      </c>
    </row>
    <row r="74" spans="1:9" x14ac:dyDescent="0.3">
      <c r="A74">
        <v>102</v>
      </c>
      <c r="B74" t="s">
        <v>7</v>
      </c>
      <c r="C74" t="s">
        <v>11</v>
      </c>
      <c r="D74">
        <v>10</v>
      </c>
      <c r="E74">
        <v>0</v>
      </c>
      <c r="F74">
        <v>0</v>
      </c>
      <c r="G74">
        <v>16</v>
      </c>
      <c r="H74" t="s">
        <v>63</v>
      </c>
      <c r="I74">
        <v>26</v>
      </c>
    </row>
    <row r="75" spans="1:9" x14ac:dyDescent="0.3">
      <c r="A75">
        <v>102</v>
      </c>
      <c r="B75" t="s">
        <v>7</v>
      </c>
      <c r="C75" t="s">
        <v>14</v>
      </c>
      <c r="D75">
        <v>8</v>
      </c>
      <c r="E75">
        <v>10</v>
      </c>
      <c r="F75">
        <v>0</v>
      </c>
      <c r="G75">
        <v>21</v>
      </c>
      <c r="H75" t="s">
        <v>62</v>
      </c>
      <c r="I75">
        <v>39</v>
      </c>
    </row>
    <row r="76" spans="1:9" x14ac:dyDescent="0.3">
      <c r="A76">
        <v>102</v>
      </c>
      <c r="B76" t="s">
        <v>7</v>
      </c>
      <c r="C76" t="s">
        <v>15</v>
      </c>
      <c r="D76">
        <v>13</v>
      </c>
      <c r="E76">
        <v>0</v>
      </c>
      <c r="F76">
        <v>0</v>
      </c>
      <c r="G76">
        <v>17</v>
      </c>
      <c r="H76" t="s">
        <v>65</v>
      </c>
      <c r="I76">
        <v>30</v>
      </c>
    </row>
    <row r="77" spans="1:9" x14ac:dyDescent="0.3">
      <c r="A77">
        <v>102</v>
      </c>
      <c r="B77" t="s">
        <v>7</v>
      </c>
      <c r="C77" t="s">
        <v>16</v>
      </c>
      <c r="D77">
        <v>14</v>
      </c>
      <c r="E77">
        <v>8</v>
      </c>
      <c r="F77">
        <v>0</v>
      </c>
      <c r="G77">
        <v>26</v>
      </c>
      <c r="H77" t="s">
        <v>61</v>
      </c>
      <c r="I77">
        <v>48</v>
      </c>
    </row>
    <row r="78" spans="1:9" x14ac:dyDescent="0.3">
      <c r="A78">
        <v>102</v>
      </c>
      <c r="B78" t="s">
        <v>7</v>
      </c>
      <c r="C78" t="s">
        <v>17</v>
      </c>
      <c r="D78">
        <v>4</v>
      </c>
      <c r="E78">
        <v>6</v>
      </c>
      <c r="F78">
        <v>0</v>
      </c>
      <c r="G78">
        <v>13</v>
      </c>
      <c r="H78" t="s">
        <v>66</v>
      </c>
      <c r="I78">
        <v>23</v>
      </c>
    </row>
    <row r="79" spans="1:9" x14ac:dyDescent="0.3">
      <c r="A79">
        <v>102</v>
      </c>
      <c r="B79" t="s">
        <v>33</v>
      </c>
      <c r="C79" t="s">
        <v>9</v>
      </c>
      <c r="D79">
        <v>0</v>
      </c>
      <c r="E79">
        <v>0</v>
      </c>
      <c r="F79">
        <v>33</v>
      </c>
      <c r="G79">
        <v>0</v>
      </c>
      <c r="H79" t="s">
        <v>9</v>
      </c>
      <c r="I79">
        <v>33</v>
      </c>
    </row>
    <row r="80" spans="1:9" x14ac:dyDescent="0.3">
      <c r="A80">
        <v>102</v>
      </c>
      <c r="B80" t="s">
        <v>33</v>
      </c>
      <c r="C80" t="s">
        <v>10</v>
      </c>
      <c r="D80">
        <v>12</v>
      </c>
      <c r="E80">
        <v>3</v>
      </c>
      <c r="F80">
        <v>0</v>
      </c>
      <c r="G80">
        <v>12</v>
      </c>
      <c r="H80" t="s">
        <v>68</v>
      </c>
      <c r="I80">
        <v>27</v>
      </c>
    </row>
    <row r="81" spans="1:9" x14ac:dyDescent="0.3">
      <c r="A81">
        <v>102</v>
      </c>
      <c r="B81" t="s">
        <v>33</v>
      </c>
      <c r="C81" t="s">
        <v>12</v>
      </c>
      <c r="D81">
        <v>8</v>
      </c>
      <c r="E81">
        <v>0</v>
      </c>
      <c r="F81">
        <v>0</v>
      </c>
      <c r="G81">
        <v>8</v>
      </c>
      <c r="H81" t="s">
        <v>64</v>
      </c>
      <c r="I81">
        <v>16</v>
      </c>
    </row>
    <row r="82" spans="1:9" x14ac:dyDescent="0.3">
      <c r="A82">
        <v>102</v>
      </c>
      <c r="B82" t="s">
        <v>33</v>
      </c>
      <c r="C82" t="s">
        <v>13</v>
      </c>
      <c r="D82">
        <v>7</v>
      </c>
      <c r="E82">
        <v>0</v>
      </c>
      <c r="F82">
        <v>0</v>
      </c>
      <c r="G82">
        <v>5</v>
      </c>
      <c r="H82" t="s">
        <v>69</v>
      </c>
      <c r="I82">
        <v>12</v>
      </c>
    </row>
    <row r="83" spans="1:9" x14ac:dyDescent="0.3">
      <c r="A83">
        <v>102</v>
      </c>
      <c r="B83" t="s">
        <v>33</v>
      </c>
      <c r="C83" t="s">
        <v>14</v>
      </c>
      <c r="D83">
        <v>2</v>
      </c>
      <c r="E83">
        <v>0</v>
      </c>
      <c r="F83">
        <v>0</v>
      </c>
      <c r="G83">
        <v>15</v>
      </c>
      <c r="H83" t="s">
        <v>62</v>
      </c>
      <c r="I83">
        <v>17</v>
      </c>
    </row>
    <row r="84" spans="1:9" x14ac:dyDescent="0.3">
      <c r="A84">
        <v>103</v>
      </c>
      <c r="B84" t="s">
        <v>7</v>
      </c>
      <c r="C84" t="s">
        <v>8</v>
      </c>
      <c r="D84">
        <v>0</v>
      </c>
      <c r="E84">
        <v>0</v>
      </c>
      <c r="F84">
        <v>1</v>
      </c>
      <c r="G84">
        <v>0</v>
      </c>
      <c r="H84" t="s">
        <v>8</v>
      </c>
      <c r="I84">
        <v>1</v>
      </c>
    </row>
    <row r="85" spans="1:9" x14ac:dyDescent="0.3">
      <c r="A85">
        <v>103</v>
      </c>
      <c r="B85" t="s">
        <v>7</v>
      </c>
      <c r="C85" t="s">
        <v>9</v>
      </c>
      <c r="D85">
        <v>0</v>
      </c>
      <c r="E85">
        <v>0</v>
      </c>
      <c r="F85">
        <v>24</v>
      </c>
      <c r="G85">
        <v>0</v>
      </c>
      <c r="H85" t="s">
        <v>9</v>
      </c>
      <c r="I85">
        <v>24</v>
      </c>
    </row>
    <row r="86" spans="1:9" x14ac:dyDescent="0.3">
      <c r="A86">
        <v>103</v>
      </c>
      <c r="B86" t="s">
        <v>7</v>
      </c>
      <c r="C86" t="s">
        <v>11</v>
      </c>
      <c r="D86">
        <v>19</v>
      </c>
      <c r="E86">
        <v>0</v>
      </c>
      <c r="F86">
        <v>0</v>
      </c>
      <c r="G86">
        <v>22</v>
      </c>
      <c r="H86" t="s">
        <v>63</v>
      </c>
      <c r="I86">
        <v>41</v>
      </c>
    </row>
    <row r="87" spans="1:9" x14ac:dyDescent="0.3">
      <c r="A87">
        <v>103</v>
      </c>
      <c r="B87" t="s">
        <v>7</v>
      </c>
      <c r="C87" t="s">
        <v>14</v>
      </c>
      <c r="D87">
        <v>12</v>
      </c>
      <c r="E87">
        <v>4</v>
      </c>
      <c r="F87">
        <v>0</v>
      </c>
      <c r="G87">
        <v>22</v>
      </c>
      <c r="H87" t="s">
        <v>62</v>
      </c>
      <c r="I87">
        <v>38</v>
      </c>
    </row>
    <row r="88" spans="1:9" x14ac:dyDescent="0.3">
      <c r="A88">
        <v>103</v>
      </c>
      <c r="B88" t="s">
        <v>7</v>
      </c>
      <c r="C88" t="s">
        <v>15</v>
      </c>
      <c r="D88">
        <v>12</v>
      </c>
      <c r="E88">
        <v>0</v>
      </c>
      <c r="F88">
        <v>0</v>
      </c>
      <c r="G88">
        <v>20</v>
      </c>
      <c r="H88" t="s">
        <v>65</v>
      </c>
      <c r="I88">
        <v>32</v>
      </c>
    </row>
    <row r="89" spans="1:9" x14ac:dyDescent="0.3">
      <c r="A89">
        <v>103</v>
      </c>
      <c r="B89" t="s">
        <v>7</v>
      </c>
      <c r="C89" t="s">
        <v>16</v>
      </c>
      <c r="D89">
        <v>29</v>
      </c>
      <c r="E89">
        <v>0</v>
      </c>
      <c r="F89">
        <v>0</v>
      </c>
      <c r="G89">
        <v>28</v>
      </c>
      <c r="H89" t="s">
        <v>61</v>
      </c>
      <c r="I89">
        <v>57</v>
      </c>
    </row>
    <row r="90" spans="1:9" x14ac:dyDescent="0.3">
      <c r="A90">
        <v>103</v>
      </c>
      <c r="B90" t="s">
        <v>7</v>
      </c>
      <c r="C90" t="s">
        <v>17</v>
      </c>
      <c r="D90">
        <v>10</v>
      </c>
      <c r="E90">
        <v>2</v>
      </c>
      <c r="F90">
        <v>0</v>
      </c>
      <c r="G90">
        <v>21</v>
      </c>
      <c r="H90" t="s">
        <v>66</v>
      </c>
      <c r="I90">
        <v>33</v>
      </c>
    </row>
    <row r="91" spans="1:9" x14ac:dyDescent="0.3">
      <c r="A91">
        <v>103</v>
      </c>
      <c r="B91" t="s">
        <v>33</v>
      </c>
      <c r="C91" t="s">
        <v>16</v>
      </c>
      <c r="D91">
        <v>9</v>
      </c>
      <c r="E91">
        <v>0</v>
      </c>
      <c r="F91">
        <v>0</v>
      </c>
      <c r="G91">
        <v>8</v>
      </c>
      <c r="H91" t="s">
        <v>61</v>
      </c>
      <c r="I91">
        <v>17</v>
      </c>
    </row>
    <row r="92" spans="1:9" x14ac:dyDescent="0.3">
      <c r="A92">
        <v>104</v>
      </c>
      <c r="B92" t="s">
        <v>7</v>
      </c>
      <c r="C92" t="s">
        <v>8</v>
      </c>
      <c r="D92">
        <v>0</v>
      </c>
      <c r="E92">
        <v>0</v>
      </c>
      <c r="F92">
        <v>5</v>
      </c>
      <c r="G92">
        <v>0</v>
      </c>
      <c r="H92" t="s">
        <v>8</v>
      </c>
      <c r="I92">
        <v>5</v>
      </c>
    </row>
    <row r="93" spans="1:9" x14ac:dyDescent="0.3">
      <c r="A93">
        <v>104</v>
      </c>
      <c r="B93" t="s">
        <v>7</v>
      </c>
      <c r="C93" t="s">
        <v>9</v>
      </c>
      <c r="D93">
        <v>0</v>
      </c>
      <c r="E93">
        <v>0</v>
      </c>
      <c r="F93">
        <v>20</v>
      </c>
      <c r="G93">
        <v>0</v>
      </c>
      <c r="H93" t="s">
        <v>9</v>
      </c>
      <c r="I93">
        <v>20</v>
      </c>
    </row>
    <row r="94" spans="1:9" x14ac:dyDescent="0.3">
      <c r="A94">
        <v>104</v>
      </c>
      <c r="B94" t="s">
        <v>7</v>
      </c>
      <c r="C94" t="s">
        <v>11</v>
      </c>
      <c r="D94">
        <v>13</v>
      </c>
      <c r="E94">
        <v>2</v>
      </c>
      <c r="F94">
        <v>0</v>
      </c>
      <c r="G94">
        <v>18</v>
      </c>
      <c r="H94" t="s">
        <v>63</v>
      </c>
      <c r="I94">
        <v>33</v>
      </c>
    </row>
    <row r="95" spans="1:9" x14ac:dyDescent="0.3">
      <c r="A95">
        <v>104</v>
      </c>
      <c r="B95" t="s">
        <v>7</v>
      </c>
      <c r="C95" t="s">
        <v>12</v>
      </c>
      <c r="D95">
        <v>32</v>
      </c>
      <c r="E95">
        <v>1</v>
      </c>
      <c r="F95">
        <v>0</v>
      </c>
      <c r="G95">
        <v>20</v>
      </c>
      <c r="H95" t="s">
        <v>64</v>
      </c>
      <c r="I95">
        <v>53</v>
      </c>
    </row>
    <row r="96" spans="1:9" x14ac:dyDescent="0.3">
      <c r="A96">
        <v>104</v>
      </c>
      <c r="B96" t="s">
        <v>7</v>
      </c>
      <c r="C96" t="s">
        <v>14</v>
      </c>
      <c r="D96">
        <v>7</v>
      </c>
      <c r="E96">
        <v>0</v>
      </c>
      <c r="F96">
        <v>0</v>
      </c>
      <c r="G96">
        <v>19</v>
      </c>
      <c r="H96" t="s">
        <v>62</v>
      </c>
      <c r="I96">
        <v>26</v>
      </c>
    </row>
    <row r="97" spans="1:9" x14ac:dyDescent="0.3">
      <c r="A97">
        <v>104</v>
      </c>
      <c r="B97" t="s">
        <v>7</v>
      </c>
      <c r="C97" t="s">
        <v>15</v>
      </c>
      <c r="D97">
        <v>9</v>
      </c>
      <c r="E97">
        <v>8</v>
      </c>
      <c r="F97">
        <v>0</v>
      </c>
      <c r="G97">
        <v>24</v>
      </c>
      <c r="H97" t="s">
        <v>65</v>
      </c>
      <c r="I97">
        <v>41</v>
      </c>
    </row>
    <row r="98" spans="1:9" x14ac:dyDescent="0.3">
      <c r="A98">
        <v>104</v>
      </c>
      <c r="B98" t="s">
        <v>7</v>
      </c>
      <c r="C98" t="s">
        <v>16</v>
      </c>
      <c r="D98">
        <v>8</v>
      </c>
      <c r="E98">
        <v>2</v>
      </c>
      <c r="F98">
        <v>0</v>
      </c>
      <c r="G98">
        <v>20</v>
      </c>
      <c r="H98" t="s">
        <v>61</v>
      </c>
      <c r="I98">
        <v>30</v>
      </c>
    </row>
    <row r="99" spans="1:9" x14ac:dyDescent="0.3">
      <c r="A99">
        <v>104</v>
      </c>
      <c r="B99" t="s">
        <v>7</v>
      </c>
      <c r="C99" t="s">
        <v>17</v>
      </c>
      <c r="D99">
        <v>30</v>
      </c>
      <c r="E99">
        <v>2</v>
      </c>
      <c r="F99">
        <v>0</v>
      </c>
      <c r="G99">
        <v>28</v>
      </c>
      <c r="H99" t="s">
        <v>66</v>
      </c>
      <c r="I99">
        <v>60</v>
      </c>
    </row>
    <row r="100" spans="1:9" x14ac:dyDescent="0.3">
      <c r="A100">
        <v>104</v>
      </c>
      <c r="B100" t="s">
        <v>7</v>
      </c>
      <c r="C100" t="s">
        <v>20</v>
      </c>
      <c r="D100">
        <v>33</v>
      </c>
      <c r="E100">
        <v>0</v>
      </c>
      <c r="F100">
        <v>0</v>
      </c>
      <c r="G100">
        <v>23</v>
      </c>
      <c r="H100" t="s">
        <v>60</v>
      </c>
      <c r="I100">
        <v>56</v>
      </c>
    </row>
    <row r="101" spans="1:9" x14ac:dyDescent="0.3">
      <c r="A101">
        <v>104</v>
      </c>
      <c r="B101" t="s">
        <v>7</v>
      </c>
      <c r="C101" t="s">
        <v>28</v>
      </c>
      <c r="D101">
        <v>8</v>
      </c>
      <c r="E101">
        <v>0</v>
      </c>
      <c r="F101">
        <v>0</v>
      </c>
      <c r="G101">
        <v>6</v>
      </c>
      <c r="H101" t="s">
        <v>28</v>
      </c>
      <c r="I101">
        <v>14</v>
      </c>
    </row>
    <row r="102" spans="1:9" x14ac:dyDescent="0.3">
      <c r="A102">
        <v>104</v>
      </c>
      <c r="B102" t="s">
        <v>7</v>
      </c>
      <c r="C102" t="s">
        <v>29</v>
      </c>
      <c r="D102">
        <v>0</v>
      </c>
      <c r="E102">
        <v>0</v>
      </c>
      <c r="F102">
        <v>0</v>
      </c>
      <c r="G102">
        <v>2</v>
      </c>
      <c r="H102" t="s">
        <v>67</v>
      </c>
      <c r="I102">
        <v>2</v>
      </c>
    </row>
    <row r="103" spans="1:9" x14ac:dyDescent="0.3">
      <c r="A103">
        <v>104</v>
      </c>
      <c r="B103" t="s">
        <v>33</v>
      </c>
      <c r="C103" t="s">
        <v>10</v>
      </c>
      <c r="D103">
        <v>1</v>
      </c>
      <c r="E103">
        <v>0</v>
      </c>
      <c r="F103">
        <v>0</v>
      </c>
      <c r="G103">
        <v>2</v>
      </c>
      <c r="H103" t="s">
        <v>68</v>
      </c>
      <c r="I103">
        <v>3</v>
      </c>
    </row>
    <row r="104" spans="1:9" x14ac:dyDescent="0.3">
      <c r="A104">
        <v>104</v>
      </c>
      <c r="B104" t="s">
        <v>33</v>
      </c>
      <c r="C104" t="s">
        <v>13</v>
      </c>
      <c r="D104">
        <v>1</v>
      </c>
      <c r="E104">
        <v>0</v>
      </c>
      <c r="F104">
        <v>0</v>
      </c>
      <c r="G104">
        <v>1</v>
      </c>
      <c r="H104" t="s">
        <v>69</v>
      </c>
      <c r="I104">
        <v>2</v>
      </c>
    </row>
    <row r="105" spans="1:9" x14ac:dyDescent="0.3">
      <c r="A105">
        <v>104</v>
      </c>
      <c r="B105" t="s">
        <v>33</v>
      </c>
      <c r="C105" t="s">
        <v>20</v>
      </c>
      <c r="D105">
        <v>0</v>
      </c>
      <c r="E105">
        <v>0</v>
      </c>
      <c r="F105">
        <v>0</v>
      </c>
      <c r="G105">
        <v>2</v>
      </c>
      <c r="H105" t="s">
        <v>60</v>
      </c>
      <c r="I105">
        <v>2</v>
      </c>
    </row>
    <row r="106" spans="1:9" x14ac:dyDescent="0.3">
      <c r="A106">
        <v>105</v>
      </c>
      <c r="B106" t="s">
        <v>7</v>
      </c>
      <c r="C106" t="s">
        <v>8</v>
      </c>
      <c r="D106">
        <v>0</v>
      </c>
      <c r="E106">
        <v>0</v>
      </c>
      <c r="F106">
        <v>1</v>
      </c>
      <c r="G106">
        <v>0</v>
      </c>
      <c r="H106" t="s">
        <v>8</v>
      </c>
      <c r="I106">
        <v>1</v>
      </c>
    </row>
    <row r="107" spans="1:9" x14ac:dyDescent="0.3">
      <c r="A107">
        <v>105</v>
      </c>
      <c r="B107" t="s">
        <v>7</v>
      </c>
      <c r="C107" t="s">
        <v>9</v>
      </c>
      <c r="D107">
        <v>0</v>
      </c>
      <c r="E107">
        <v>0</v>
      </c>
      <c r="F107">
        <v>23</v>
      </c>
      <c r="G107">
        <v>0</v>
      </c>
      <c r="H107" t="s">
        <v>9</v>
      </c>
      <c r="I107">
        <v>23</v>
      </c>
    </row>
    <row r="108" spans="1:9" x14ac:dyDescent="0.3">
      <c r="A108">
        <v>105</v>
      </c>
      <c r="B108" t="s">
        <v>7</v>
      </c>
      <c r="C108" t="s">
        <v>11</v>
      </c>
      <c r="D108">
        <v>8</v>
      </c>
      <c r="E108">
        <v>0</v>
      </c>
      <c r="F108">
        <v>0</v>
      </c>
      <c r="G108">
        <v>13</v>
      </c>
      <c r="H108" t="s">
        <v>63</v>
      </c>
      <c r="I108">
        <v>21</v>
      </c>
    </row>
    <row r="109" spans="1:9" x14ac:dyDescent="0.3">
      <c r="A109">
        <v>105</v>
      </c>
      <c r="B109" t="s">
        <v>7</v>
      </c>
      <c r="C109" t="s">
        <v>12</v>
      </c>
      <c r="D109">
        <v>8</v>
      </c>
      <c r="E109">
        <v>1</v>
      </c>
      <c r="F109">
        <v>0</v>
      </c>
      <c r="G109">
        <v>14</v>
      </c>
      <c r="H109" t="s">
        <v>64</v>
      </c>
      <c r="I109">
        <v>23</v>
      </c>
    </row>
    <row r="110" spans="1:9" x14ac:dyDescent="0.3">
      <c r="A110">
        <v>105</v>
      </c>
      <c r="B110" t="s">
        <v>7</v>
      </c>
      <c r="C110" t="s">
        <v>13</v>
      </c>
      <c r="D110">
        <v>15</v>
      </c>
      <c r="E110">
        <v>4</v>
      </c>
      <c r="F110">
        <v>0</v>
      </c>
      <c r="G110">
        <v>15</v>
      </c>
      <c r="H110" t="s">
        <v>69</v>
      </c>
      <c r="I110">
        <v>34</v>
      </c>
    </row>
    <row r="111" spans="1:9" x14ac:dyDescent="0.3">
      <c r="A111">
        <v>105</v>
      </c>
      <c r="B111" t="s">
        <v>7</v>
      </c>
      <c r="C111" t="s">
        <v>14</v>
      </c>
      <c r="D111">
        <v>7</v>
      </c>
      <c r="E111">
        <v>0</v>
      </c>
      <c r="F111">
        <v>0</v>
      </c>
      <c r="G111">
        <v>12</v>
      </c>
      <c r="H111" t="s">
        <v>62</v>
      </c>
      <c r="I111">
        <v>19</v>
      </c>
    </row>
    <row r="112" spans="1:9" x14ac:dyDescent="0.3">
      <c r="A112">
        <v>105</v>
      </c>
      <c r="B112" t="s">
        <v>7</v>
      </c>
      <c r="C112" t="s">
        <v>15</v>
      </c>
      <c r="D112">
        <v>4</v>
      </c>
      <c r="E112">
        <v>0</v>
      </c>
      <c r="F112">
        <v>0</v>
      </c>
      <c r="G112">
        <v>12</v>
      </c>
      <c r="H112" t="s">
        <v>65</v>
      </c>
      <c r="I112">
        <v>16</v>
      </c>
    </row>
    <row r="113" spans="1:9" x14ac:dyDescent="0.3">
      <c r="A113">
        <v>105</v>
      </c>
      <c r="B113" t="s">
        <v>7</v>
      </c>
      <c r="C113" t="s">
        <v>16</v>
      </c>
      <c r="D113">
        <v>6</v>
      </c>
      <c r="E113">
        <v>7</v>
      </c>
      <c r="F113">
        <v>0</v>
      </c>
      <c r="G113">
        <v>17</v>
      </c>
      <c r="H113" t="s">
        <v>61</v>
      </c>
      <c r="I113">
        <v>30</v>
      </c>
    </row>
    <row r="114" spans="1:9" x14ac:dyDescent="0.3">
      <c r="A114">
        <v>105</v>
      </c>
      <c r="B114" t="s">
        <v>7</v>
      </c>
      <c r="C114" t="s">
        <v>17</v>
      </c>
      <c r="D114">
        <v>4</v>
      </c>
      <c r="E114">
        <v>0</v>
      </c>
      <c r="F114">
        <v>0</v>
      </c>
      <c r="G114">
        <v>10</v>
      </c>
      <c r="H114" t="s">
        <v>66</v>
      </c>
      <c r="I114">
        <v>14</v>
      </c>
    </row>
    <row r="115" spans="1:9" x14ac:dyDescent="0.3">
      <c r="A115">
        <v>105</v>
      </c>
      <c r="B115" t="s">
        <v>7</v>
      </c>
      <c r="C115" t="s">
        <v>29</v>
      </c>
      <c r="D115">
        <v>2</v>
      </c>
      <c r="E115">
        <v>0</v>
      </c>
      <c r="F115">
        <v>0</v>
      </c>
      <c r="G115">
        <v>4</v>
      </c>
      <c r="H115" t="s">
        <v>67</v>
      </c>
      <c r="I115">
        <v>6</v>
      </c>
    </row>
    <row r="116" spans="1:9" x14ac:dyDescent="0.3">
      <c r="A116">
        <v>105</v>
      </c>
      <c r="B116" t="s">
        <v>33</v>
      </c>
      <c r="C116" t="s">
        <v>10</v>
      </c>
      <c r="D116">
        <v>22</v>
      </c>
      <c r="E116">
        <v>0</v>
      </c>
      <c r="F116">
        <v>0</v>
      </c>
      <c r="G116">
        <v>24</v>
      </c>
      <c r="H116" t="s">
        <v>68</v>
      </c>
      <c r="I116">
        <v>46</v>
      </c>
    </row>
    <row r="117" spans="1:9" x14ac:dyDescent="0.3">
      <c r="A117">
        <v>105</v>
      </c>
      <c r="B117" t="s">
        <v>33</v>
      </c>
      <c r="C117" t="s">
        <v>13</v>
      </c>
      <c r="D117">
        <v>7</v>
      </c>
      <c r="E117">
        <v>0</v>
      </c>
      <c r="F117">
        <v>0</v>
      </c>
      <c r="G117">
        <v>7</v>
      </c>
      <c r="H117" t="s">
        <v>69</v>
      </c>
      <c r="I117">
        <v>14</v>
      </c>
    </row>
    <row r="118" spans="1:9" x14ac:dyDescent="0.3">
      <c r="A118">
        <v>106</v>
      </c>
      <c r="B118" t="s">
        <v>33</v>
      </c>
      <c r="C118" t="s">
        <v>8</v>
      </c>
      <c r="D118">
        <v>0</v>
      </c>
      <c r="E118">
        <v>0</v>
      </c>
      <c r="F118">
        <v>5</v>
      </c>
      <c r="G118">
        <v>0</v>
      </c>
      <c r="H118" t="s">
        <v>8</v>
      </c>
      <c r="I118">
        <v>5</v>
      </c>
    </row>
    <row r="119" spans="1:9" x14ac:dyDescent="0.3">
      <c r="A119">
        <v>106</v>
      </c>
      <c r="B119" t="s">
        <v>33</v>
      </c>
      <c r="C119" t="s">
        <v>9</v>
      </c>
      <c r="D119">
        <v>0</v>
      </c>
      <c r="E119">
        <v>0</v>
      </c>
      <c r="F119">
        <v>15</v>
      </c>
      <c r="G119">
        <v>0</v>
      </c>
      <c r="H119" t="s">
        <v>9</v>
      </c>
      <c r="I119">
        <v>15</v>
      </c>
    </row>
    <row r="120" spans="1:9" x14ac:dyDescent="0.3">
      <c r="A120">
        <v>106</v>
      </c>
      <c r="B120" t="s">
        <v>33</v>
      </c>
      <c r="C120" t="s">
        <v>10</v>
      </c>
      <c r="D120">
        <v>17</v>
      </c>
      <c r="E120">
        <v>6</v>
      </c>
      <c r="F120">
        <v>0</v>
      </c>
      <c r="G120">
        <v>14</v>
      </c>
      <c r="H120" t="s">
        <v>68</v>
      </c>
      <c r="I120">
        <v>37</v>
      </c>
    </row>
    <row r="121" spans="1:9" x14ac:dyDescent="0.3">
      <c r="A121">
        <v>106</v>
      </c>
      <c r="B121" t="s">
        <v>33</v>
      </c>
      <c r="C121" t="s">
        <v>28</v>
      </c>
      <c r="D121">
        <v>3</v>
      </c>
      <c r="E121">
        <v>0</v>
      </c>
      <c r="F121">
        <v>0</v>
      </c>
      <c r="G121">
        <v>2</v>
      </c>
      <c r="H121" t="s">
        <v>28</v>
      </c>
      <c r="I121">
        <v>5</v>
      </c>
    </row>
    <row r="122" spans="1:9" x14ac:dyDescent="0.3">
      <c r="A122">
        <v>107</v>
      </c>
      <c r="B122" t="s">
        <v>7</v>
      </c>
      <c r="C122" t="s">
        <v>8</v>
      </c>
      <c r="D122">
        <v>0</v>
      </c>
      <c r="E122">
        <v>0</v>
      </c>
      <c r="F122">
        <v>4</v>
      </c>
      <c r="G122">
        <v>0</v>
      </c>
      <c r="H122" t="s">
        <v>8</v>
      </c>
      <c r="I122">
        <v>4</v>
      </c>
    </row>
    <row r="123" spans="1:9" x14ac:dyDescent="0.3">
      <c r="A123">
        <v>107</v>
      </c>
      <c r="B123" t="s">
        <v>7</v>
      </c>
      <c r="C123" t="s">
        <v>9</v>
      </c>
      <c r="D123">
        <v>0</v>
      </c>
      <c r="E123">
        <v>0</v>
      </c>
      <c r="F123">
        <v>22</v>
      </c>
      <c r="G123">
        <v>0</v>
      </c>
      <c r="H123" t="s">
        <v>9</v>
      </c>
      <c r="I123">
        <v>22</v>
      </c>
    </row>
    <row r="124" spans="1:9" x14ac:dyDescent="0.3">
      <c r="A124">
        <v>107</v>
      </c>
      <c r="B124" t="s">
        <v>7</v>
      </c>
      <c r="C124" t="s">
        <v>11</v>
      </c>
      <c r="D124">
        <v>3</v>
      </c>
      <c r="E124">
        <v>0</v>
      </c>
      <c r="F124">
        <v>0</v>
      </c>
      <c r="G124">
        <v>6</v>
      </c>
      <c r="H124" t="s">
        <v>63</v>
      </c>
      <c r="I124">
        <v>9</v>
      </c>
    </row>
    <row r="125" spans="1:9" x14ac:dyDescent="0.3">
      <c r="A125">
        <v>107</v>
      </c>
      <c r="B125" t="s">
        <v>7</v>
      </c>
      <c r="C125" t="s">
        <v>12</v>
      </c>
      <c r="D125">
        <v>15</v>
      </c>
      <c r="E125">
        <v>3</v>
      </c>
      <c r="F125">
        <v>0</v>
      </c>
      <c r="G125">
        <v>14</v>
      </c>
      <c r="H125" t="s">
        <v>64</v>
      </c>
      <c r="I125">
        <v>32</v>
      </c>
    </row>
    <row r="126" spans="1:9" x14ac:dyDescent="0.3">
      <c r="A126">
        <v>107</v>
      </c>
      <c r="B126" t="s">
        <v>7</v>
      </c>
      <c r="C126" t="s">
        <v>13</v>
      </c>
      <c r="D126">
        <v>3</v>
      </c>
      <c r="E126">
        <v>3</v>
      </c>
      <c r="F126">
        <v>0</v>
      </c>
      <c r="G126">
        <v>8</v>
      </c>
      <c r="H126" t="s">
        <v>69</v>
      </c>
      <c r="I126">
        <v>14</v>
      </c>
    </row>
    <row r="127" spans="1:9" x14ac:dyDescent="0.3">
      <c r="A127">
        <v>107</v>
      </c>
      <c r="B127" t="s">
        <v>7</v>
      </c>
      <c r="C127" t="s">
        <v>14</v>
      </c>
      <c r="D127">
        <v>4</v>
      </c>
      <c r="E127">
        <v>2</v>
      </c>
      <c r="F127">
        <v>0</v>
      </c>
      <c r="G127">
        <v>7</v>
      </c>
      <c r="H127" t="s">
        <v>62</v>
      </c>
      <c r="I127">
        <v>13</v>
      </c>
    </row>
    <row r="128" spans="1:9" x14ac:dyDescent="0.3">
      <c r="A128">
        <v>107</v>
      </c>
      <c r="B128" t="s">
        <v>7</v>
      </c>
      <c r="C128" t="s">
        <v>15</v>
      </c>
      <c r="D128">
        <v>5</v>
      </c>
      <c r="E128">
        <v>0</v>
      </c>
      <c r="F128">
        <v>0</v>
      </c>
      <c r="G128">
        <v>10</v>
      </c>
      <c r="H128" t="s">
        <v>65</v>
      </c>
      <c r="I128">
        <v>15</v>
      </c>
    </row>
    <row r="129" spans="1:9" x14ac:dyDescent="0.3">
      <c r="A129">
        <v>107</v>
      </c>
      <c r="B129" t="s">
        <v>7</v>
      </c>
      <c r="C129" t="s">
        <v>16</v>
      </c>
      <c r="D129">
        <v>16</v>
      </c>
      <c r="E129">
        <v>14</v>
      </c>
      <c r="F129">
        <v>0</v>
      </c>
      <c r="G129">
        <v>17</v>
      </c>
      <c r="H129" t="s">
        <v>61</v>
      </c>
      <c r="I129">
        <v>47</v>
      </c>
    </row>
    <row r="130" spans="1:9" x14ac:dyDescent="0.3">
      <c r="A130">
        <v>107</v>
      </c>
      <c r="B130" t="s">
        <v>7</v>
      </c>
      <c r="C130" t="s">
        <v>17</v>
      </c>
      <c r="D130">
        <v>2</v>
      </c>
      <c r="E130">
        <v>1</v>
      </c>
      <c r="F130">
        <v>0</v>
      </c>
      <c r="G130">
        <v>8</v>
      </c>
      <c r="H130" t="s">
        <v>66</v>
      </c>
      <c r="I130">
        <v>11</v>
      </c>
    </row>
    <row r="131" spans="1:9" x14ac:dyDescent="0.3">
      <c r="A131">
        <v>107</v>
      </c>
      <c r="B131" t="s">
        <v>7</v>
      </c>
      <c r="C131" t="s">
        <v>20</v>
      </c>
      <c r="D131">
        <v>0</v>
      </c>
      <c r="E131">
        <v>0</v>
      </c>
      <c r="F131">
        <v>0</v>
      </c>
      <c r="G131">
        <v>1</v>
      </c>
      <c r="H131" t="s">
        <v>60</v>
      </c>
      <c r="I131">
        <v>1</v>
      </c>
    </row>
    <row r="132" spans="1:9" x14ac:dyDescent="0.3">
      <c r="A132">
        <v>107</v>
      </c>
      <c r="B132" t="s">
        <v>7</v>
      </c>
      <c r="C132" t="s">
        <v>29</v>
      </c>
      <c r="D132">
        <v>0</v>
      </c>
      <c r="E132">
        <v>0</v>
      </c>
      <c r="F132">
        <v>0</v>
      </c>
      <c r="G132">
        <v>1</v>
      </c>
      <c r="H132" t="s">
        <v>67</v>
      </c>
      <c r="I132">
        <v>1</v>
      </c>
    </row>
    <row r="133" spans="1:9" x14ac:dyDescent="0.3">
      <c r="A133">
        <v>107</v>
      </c>
      <c r="B133" t="s">
        <v>33</v>
      </c>
      <c r="C133" t="s">
        <v>10</v>
      </c>
      <c r="D133">
        <v>0</v>
      </c>
      <c r="E133">
        <v>0</v>
      </c>
      <c r="F133">
        <v>0</v>
      </c>
      <c r="G133">
        <v>2</v>
      </c>
      <c r="H133" t="s">
        <v>68</v>
      </c>
      <c r="I133">
        <v>2</v>
      </c>
    </row>
    <row r="134" spans="1:9" x14ac:dyDescent="0.3">
      <c r="A134">
        <v>107</v>
      </c>
      <c r="B134" t="s">
        <v>33</v>
      </c>
      <c r="C134" t="s">
        <v>11</v>
      </c>
      <c r="D134">
        <v>12</v>
      </c>
      <c r="E134">
        <v>2</v>
      </c>
      <c r="F134">
        <v>0</v>
      </c>
      <c r="G134">
        <v>11</v>
      </c>
      <c r="H134" t="s">
        <v>63</v>
      </c>
      <c r="I134">
        <v>25</v>
      </c>
    </row>
    <row r="135" spans="1:9" x14ac:dyDescent="0.3">
      <c r="A135">
        <v>108</v>
      </c>
      <c r="B135" t="s">
        <v>7</v>
      </c>
      <c r="C135" t="s">
        <v>11</v>
      </c>
      <c r="D135">
        <v>0</v>
      </c>
      <c r="E135">
        <v>0</v>
      </c>
      <c r="F135">
        <v>0</v>
      </c>
      <c r="G135">
        <v>2</v>
      </c>
      <c r="H135" t="s">
        <v>63</v>
      </c>
      <c r="I135">
        <v>2</v>
      </c>
    </row>
    <row r="136" spans="1:9" x14ac:dyDescent="0.3">
      <c r="A136">
        <v>108</v>
      </c>
      <c r="B136" t="s">
        <v>7</v>
      </c>
      <c r="C136" t="s">
        <v>12</v>
      </c>
      <c r="D136">
        <v>19</v>
      </c>
      <c r="E136">
        <v>0</v>
      </c>
      <c r="F136">
        <v>0</v>
      </c>
      <c r="G136">
        <v>31</v>
      </c>
      <c r="H136" t="s">
        <v>64</v>
      </c>
      <c r="I136">
        <v>50</v>
      </c>
    </row>
    <row r="137" spans="1:9" x14ac:dyDescent="0.3">
      <c r="A137">
        <v>108</v>
      </c>
      <c r="B137" t="s">
        <v>7</v>
      </c>
      <c r="C137" t="s">
        <v>13</v>
      </c>
      <c r="D137">
        <v>47</v>
      </c>
      <c r="E137">
        <v>5</v>
      </c>
      <c r="F137">
        <v>0</v>
      </c>
      <c r="G137">
        <v>43</v>
      </c>
      <c r="H137" t="s">
        <v>69</v>
      </c>
      <c r="I137">
        <v>95</v>
      </c>
    </row>
    <row r="138" spans="1:9" x14ac:dyDescent="0.3">
      <c r="A138">
        <v>108</v>
      </c>
      <c r="B138" t="s">
        <v>7</v>
      </c>
      <c r="C138" t="s">
        <v>14</v>
      </c>
      <c r="D138">
        <v>0</v>
      </c>
      <c r="E138">
        <v>0</v>
      </c>
      <c r="F138">
        <v>0</v>
      </c>
      <c r="G138">
        <v>17</v>
      </c>
      <c r="H138" t="s">
        <v>62</v>
      </c>
      <c r="I138">
        <v>17</v>
      </c>
    </row>
    <row r="139" spans="1:9" x14ac:dyDescent="0.3">
      <c r="A139">
        <v>108</v>
      </c>
      <c r="B139" t="s">
        <v>7</v>
      </c>
      <c r="C139" t="s">
        <v>15</v>
      </c>
      <c r="D139">
        <v>3</v>
      </c>
      <c r="E139">
        <v>0</v>
      </c>
      <c r="F139">
        <v>0</v>
      </c>
      <c r="G139">
        <v>17</v>
      </c>
      <c r="H139" t="s">
        <v>65</v>
      </c>
      <c r="I139">
        <v>20</v>
      </c>
    </row>
    <row r="140" spans="1:9" x14ac:dyDescent="0.3">
      <c r="A140">
        <v>108</v>
      </c>
      <c r="B140" t="s">
        <v>7</v>
      </c>
      <c r="C140" t="s">
        <v>16</v>
      </c>
      <c r="D140">
        <v>2</v>
      </c>
      <c r="E140">
        <v>2</v>
      </c>
      <c r="F140">
        <v>0</v>
      </c>
      <c r="G140">
        <v>16</v>
      </c>
      <c r="H140" t="s">
        <v>61</v>
      </c>
      <c r="I140">
        <v>20</v>
      </c>
    </row>
    <row r="141" spans="1:9" x14ac:dyDescent="0.3">
      <c r="A141">
        <v>108</v>
      </c>
      <c r="B141" t="s">
        <v>7</v>
      </c>
      <c r="C141" t="s">
        <v>17</v>
      </c>
      <c r="D141">
        <v>7</v>
      </c>
      <c r="E141">
        <v>9</v>
      </c>
      <c r="F141">
        <v>0</v>
      </c>
      <c r="G141">
        <v>14</v>
      </c>
      <c r="H141" t="s">
        <v>66</v>
      </c>
      <c r="I141">
        <v>30</v>
      </c>
    </row>
    <row r="142" spans="1:9" x14ac:dyDescent="0.3">
      <c r="A142">
        <v>108</v>
      </c>
      <c r="B142" t="s">
        <v>33</v>
      </c>
      <c r="C142" t="s">
        <v>8</v>
      </c>
      <c r="D142">
        <v>0</v>
      </c>
      <c r="E142">
        <v>0</v>
      </c>
      <c r="F142">
        <v>3</v>
      </c>
      <c r="G142">
        <v>0</v>
      </c>
      <c r="H142" t="s">
        <v>8</v>
      </c>
      <c r="I142">
        <v>3</v>
      </c>
    </row>
    <row r="143" spans="1:9" x14ac:dyDescent="0.3">
      <c r="A143">
        <v>108</v>
      </c>
      <c r="B143" t="s">
        <v>33</v>
      </c>
      <c r="C143" t="s">
        <v>9</v>
      </c>
      <c r="D143">
        <v>0</v>
      </c>
      <c r="E143">
        <v>0</v>
      </c>
      <c r="F143">
        <v>77</v>
      </c>
      <c r="G143">
        <v>0</v>
      </c>
      <c r="H143" t="s">
        <v>9</v>
      </c>
      <c r="I143">
        <v>77</v>
      </c>
    </row>
    <row r="144" spans="1:9" x14ac:dyDescent="0.3">
      <c r="A144">
        <v>108</v>
      </c>
      <c r="B144" t="s">
        <v>33</v>
      </c>
      <c r="C144" t="s">
        <v>10</v>
      </c>
      <c r="D144">
        <v>2</v>
      </c>
      <c r="E144">
        <v>0</v>
      </c>
      <c r="F144">
        <v>0</v>
      </c>
      <c r="G144">
        <v>4</v>
      </c>
      <c r="H144" t="s">
        <v>68</v>
      </c>
      <c r="I144">
        <v>6</v>
      </c>
    </row>
    <row r="145" spans="1:9" x14ac:dyDescent="0.3">
      <c r="A145">
        <v>108</v>
      </c>
      <c r="B145" t="s">
        <v>33</v>
      </c>
      <c r="C145" t="s">
        <v>11</v>
      </c>
      <c r="D145">
        <v>3</v>
      </c>
      <c r="E145">
        <v>0</v>
      </c>
      <c r="F145">
        <v>0</v>
      </c>
      <c r="G145">
        <v>5</v>
      </c>
      <c r="H145" t="s">
        <v>63</v>
      </c>
      <c r="I145">
        <v>8</v>
      </c>
    </row>
    <row r="146" spans="1:9" x14ac:dyDescent="0.3">
      <c r="A146">
        <v>109</v>
      </c>
      <c r="B146" t="s">
        <v>7</v>
      </c>
      <c r="C146" t="s">
        <v>11</v>
      </c>
      <c r="D146">
        <v>25</v>
      </c>
      <c r="E146">
        <v>5</v>
      </c>
      <c r="F146">
        <v>0</v>
      </c>
      <c r="G146">
        <v>21</v>
      </c>
      <c r="H146" t="s">
        <v>63</v>
      </c>
      <c r="I146">
        <v>51</v>
      </c>
    </row>
    <row r="147" spans="1:9" x14ac:dyDescent="0.3">
      <c r="A147">
        <v>109</v>
      </c>
      <c r="B147" t="s">
        <v>7</v>
      </c>
      <c r="C147" t="s">
        <v>12</v>
      </c>
      <c r="D147">
        <v>2</v>
      </c>
      <c r="E147">
        <v>0</v>
      </c>
      <c r="F147">
        <v>0</v>
      </c>
      <c r="G147">
        <v>4</v>
      </c>
      <c r="H147" t="s">
        <v>64</v>
      </c>
      <c r="I147">
        <v>6</v>
      </c>
    </row>
    <row r="148" spans="1:9" x14ac:dyDescent="0.3">
      <c r="A148">
        <v>109</v>
      </c>
      <c r="B148" t="s">
        <v>7</v>
      </c>
      <c r="C148" t="s">
        <v>13</v>
      </c>
      <c r="D148">
        <v>5</v>
      </c>
      <c r="E148">
        <v>0</v>
      </c>
      <c r="F148">
        <v>0</v>
      </c>
      <c r="G148">
        <v>7</v>
      </c>
      <c r="H148" t="s">
        <v>69</v>
      </c>
      <c r="I148">
        <v>12</v>
      </c>
    </row>
    <row r="149" spans="1:9" x14ac:dyDescent="0.3">
      <c r="A149">
        <v>109</v>
      </c>
      <c r="B149" t="s">
        <v>7</v>
      </c>
      <c r="C149" t="s">
        <v>14</v>
      </c>
      <c r="D149">
        <v>12</v>
      </c>
      <c r="E149">
        <v>0</v>
      </c>
      <c r="F149">
        <v>0</v>
      </c>
      <c r="G149">
        <v>11</v>
      </c>
      <c r="H149" t="s">
        <v>62</v>
      </c>
      <c r="I149">
        <v>23</v>
      </c>
    </row>
    <row r="150" spans="1:9" x14ac:dyDescent="0.3">
      <c r="A150">
        <v>109</v>
      </c>
      <c r="B150" t="s">
        <v>7</v>
      </c>
      <c r="C150" t="s">
        <v>15</v>
      </c>
      <c r="D150">
        <v>2</v>
      </c>
      <c r="E150">
        <v>0</v>
      </c>
      <c r="F150">
        <v>0</v>
      </c>
      <c r="G150">
        <v>6</v>
      </c>
      <c r="H150" t="s">
        <v>65</v>
      </c>
      <c r="I150">
        <v>8</v>
      </c>
    </row>
    <row r="151" spans="1:9" x14ac:dyDescent="0.3">
      <c r="A151">
        <v>109</v>
      </c>
      <c r="B151" t="s">
        <v>7</v>
      </c>
      <c r="C151" t="s">
        <v>16</v>
      </c>
      <c r="D151">
        <v>25</v>
      </c>
      <c r="E151">
        <v>7</v>
      </c>
      <c r="F151">
        <v>0</v>
      </c>
      <c r="G151">
        <v>17</v>
      </c>
      <c r="H151" t="s">
        <v>61</v>
      </c>
      <c r="I151">
        <v>49</v>
      </c>
    </row>
    <row r="152" spans="1:9" x14ac:dyDescent="0.3">
      <c r="A152">
        <v>109</v>
      </c>
      <c r="B152" t="s">
        <v>33</v>
      </c>
      <c r="C152" t="s">
        <v>8</v>
      </c>
      <c r="D152">
        <v>0</v>
      </c>
      <c r="E152">
        <v>0</v>
      </c>
      <c r="F152">
        <v>3</v>
      </c>
      <c r="G152">
        <v>0</v>
      </c>
      <c r="H152" t="s">
        <v>8</v>
      </c>
      <c r="I152">
        <v>3</v>
      </c>
    </row>
    <row r="153" spans="1:9" x14ac:dyDescent="0.3">
      <c r="A153">
        <v>109</v>
      </c>
      <c r="B153" t="s">
        <v>33</v>
      </c>
      <c r="C153" t="s">
        <v>9</v>
      </c>
      <c r="D153">
        <v>0</v>
      </c>
      <c r="E153">
        <v>0</v>
      </c>
      <c r="F153">
        <v>41</v>
      </c>
      <c r="G153">
        <v>0</v>
      </c>
      <c r="H153" t="s">
        <v>9</v>
      </c>
      <c r="I153">
        <v>41</v>
      </c>
    </row>
    <row r="154" spans="1:9" x14ac:dyDescent="0.3">
      <c r="A154">
        <v>109</v>
      </c>
      <c r="B154" t="s">
        <v>33</v>
      </c>
      <c r="C154" t="s">
        <v>10</v>
      </c>
      <c r="D154">
        <v>2</v>
      </c>
      <c r="E154">
        <v>0</v>
      </c>
      <c r="F154">
        <v>0</v>
      </c>
      <c r="G154">
        <v>3</v>
      </c>
      <c r="H154" t="s">
        <v>68</v>
      </c>
      <c r="I154">
        <v>5</v>
      </c>
    </row>
    <row r="155" spans="1:9" x14ac:dyDescent="0.3">
      <c r="A155">
        <v>109</v>
      </c>
      <c r="B155" t="s">
        <v>33</v>
      </c>
      <c r="C155" t="s">
        <v>11</v>
      </c>
      <c r="D155">
        <v>1</v>
      </c>
      <c r="E155">
        <v>1</v>
      </c>
      <c r="F155">
        <v>0</v>
      </c>
      <c r="G155">
        <v>1</v>
      </c>
      <c r="H155" t="s">
        <v>63</v>
      </c>
      <c r="I155">
        <v>3</v>
      </c>
    </row>
    <row r="156" spans="1:9" x14ac:dyDescent="0.3">
      <c r="A156">
        <v>109</v>
      </c>
      <c r="B156" t="s">
        <v>33</v>
      </c>
      <c r="C156" t="s">
        <v>12</v>
      </c>
      <c r="D156">
        <v>17</v>
      </c>
      <c r="E156">
        <v>3</v>
      </c>
      <c r="F156">
        <v>0</v>
      </c>
      <c r="G156">
        <v>17</v>
      </c>
      <c r="H156" t="s">
        <v>64</v>
      </c>
      <c r="I156">
        <v>37</v>
      </c>
    </row>
    <row r="157" spans="1:9" x14ac:dyDescent="0.3">
      <c r="A157">
        <v>109</v>
      </c>
      <c r="B157" t="s">
        <v>33</v>
      </c>
      <c r="C157" t="s">
        <v>13</v>
      </c>
      <c r="D157">
        <v>6</v>
      </c>
      <c r="E157">
        <v>2</v>
      </c>
      <c r="F157">
        <v>0</v>
      </c>
      <c r="G157">
        <v>7</v>
      </c>
      <c r="H157" t="s">
        <v>69</v>
      </c>
      <c r="I157">
        <v>15</v>
      </c>
    </row>
    <row r="158" spans="1:9" x14ac:dyDescent="0.3">
      <c r="A158">
        <v>109</v>
      </c>
      <c r="B158" t="s">
        <v>33</v>
      </c>
      <c r="C158" t="s">
        <v>14</v>
      </c>
      <c r="D158">
        <v>14</v>
      </c>
      <c r="E158">
        <v>2</v>
      </c>
      <c r="F158">
        <v>0</v>
      </c>
      <c r="G158">
        <v>16</v>
      </c>
      <c r="H158" t="s">
        <v>62</v>
      </c>
      <c r="I158">
        <v>32</v>
      </c>
    </row>
    <row r="159" spans="1:9" x14ac:dyDescent="0.3">
      <c r="A159">
        <v>109</v>
      </c>
      <c r="B159" t="s">
        <v>33</v>
      </c>
      <c r="C159" t="s">
        <v>15</v>
      </c>
      <c r="D159">
        <v>23</v>
      </c>
      <c r="E159">
        <v>1</v>
      </c>
      <c r="F159">
        <v>0</v>
      </c>
      <c r="G159">
        <v>16</v>
      </c>
      <c r="H159" t="s">
        <v>65</v>
      </c>
      <c r="I159">
        <v>40</v>
      </c>
    </row>
    <row r="160" spans="1:9" x14ac:dyDescent="0.3">
      <c r="A160">
        <v>109</v>
      </c>
      <c r="B160" t="s">
        <v>33</v>
      </c>
      <c r="C160" t="s">
        <v>17</v>
      </c>
      <c r="D160">
        <v>24</v>
      </c>
      <c r="E160">
        <v>0</v>
      </c>
      <c r="F160">
        <v>0</v>
      </c>
      <c r="G160">
        <v>20</v>
      </c>
      <c r="H160" t="s">
        <v>66</v>
      </c>
      <c r="I160">
        <v>44</v>
      </c>
    </row>
    <row r="161" spans="1:9" x14ac:dyDescent="0.3">
      <c r="A161">
        <v>109</v>
      </c>
      <c r="B161" t="s">
        <v>33</v>
      </c>
      <c r="C161" t="s">
        <v>28</v>
      </c>
      <c r="D161">
        <v>13</v>
      </c>
      <c r="E161">
        <v>0</v>
      </c>
      <c r="F161">
        <v>0</v>
      </c>
      <c r="G161">
        <v>14</v>
      </c>
      <c r="H161" t="s">
        <v>28</v>
      </c>
      <c r="I161">
        <v>27</v>
      </c>
    </row>
    <row r="162" spans="1:9" x14ac:dyDescent="0.3">
      <c r="A162">
        <v>110</v>
      </c>
      <c r="B162" t="s">
        <v>7</v>
      </c>
      <c r="C162" t="s">
        <v>11</v>
      </c>
      <c r="D162">
        <v>44</v>
      </c>
      <c r="E162">
        <v>14</v>
      </c>
      <c r="F162">
        <v>0</v>
      </c>
      <c r="G162">
        <v>43</v>
      </c>
      <c r="H162" t="s">
        <v>63</v>
      </c>
      <c r="I162">
        <v>101</v>
      </c>
    </row>
    <row r="163" spans="1:9" x14ac:dyDescent="0.3">
      <c r="A163">
        <v>110</v>
      </c>
      <c r="B163" t="s">
        <v>7</v>
      </c>
      <c r="C163" t="s">
        <v>12</v>
      </c>
      <c r="D163">
        <v>28</v>
      </c>
      <c r="E163">
        <v>4</v>
      </c>
      <c r="F163">
        <v>0</v>
      </c>
      <c r="G163">
        <v>21</v>
      </c>
      <c r="H163" t="s">
        <v>64</v>
      </c>
      <c r="I163">
        <v>53</v>
      </c>
    </row>
    <row r="164" spans="1:9" x14ac:dyDescent="0.3">
      <c r="A164">
        <v>110</v>
      </c>
      <c r="B164" t="s">
        <v>7</v>
      </c>
      <c r="C164" t="s">
        <v>14</v>
      </c>
      <c r="D164">
        <v>10</v>
      </c>
      <c r="E164">
        <v>6</v>
      </c>
      <c r="F164">
        <v>0</v>
      </c>
      <c r="G164">
        <v>16</v>
      </c>
      <c r="H164" t="s">
        <v>62</v>
      </c>
      <c r="I164">
        <v>32</v>
      </c>
    </row>
    <row r="165" spans="1:9" x14ac:dyDescent="0.3">
      <c r="A165">
        <v>110</v>
      </c>
      <c r="B165" t="s">
        <v>7</v>
      </c>
      <c r="C165" t="s">
        <v>15</v>
      </c>
      <c r="D165">
        <v>17</v>
      </c>
      <c r="E165">
        <v>0</v>
      </c>
      <c r="F165">
        <v>0</v>
      </c>
      <c r="G165">
        <v>27</v>
      </c>
      <c r="H165" t="s">
        <v>65</v>
      </c>
      <c r="I165">
        <v>44</v>
      </c>
    </row>
    <row r="166" spans="1:9" x14ac:dyDescent="0.3">
      <c r="A166">
        <v>110</v>
      </c>
      <c r="B166" t="s">
        <v>7</v>
      </c>
      <c r="C166" t="s">
        <v>16</v>
      </c>
      <c r="D166">
        <v>28</v>
      </c>
      <c r="E166">
        <v>4</v>
      </c>
      <c r="F166">
        <v>0</v>
      </c>
      <c r="G166">
        <v>23</v>
      </c>
      <c r="H166" t="s">
        <v>61</v>
      </c>
      <c r="I166">
        <v>55</v>
      </c>
    </row>
    <row r="167" spans="1:9" x14ac:dyDescent="0.3">
      <c r="A167">
        <v>110</v>
      </c>
      <c r="B167" t="s">
        <v>7</v>
      </c>
      <c r="C167" t="s">
        <v>17</v>
      </c>
      <c r="D167">
        <v>7</v>
      </c>
      <c r="E167">
        <v>5</v>
      </c>
      <c r="F167">
        <v>0</v>
      </c>
      <c r="G167">
        <v>11</v>
      </c>
      <c r="H167" t="s">
        <v>66</v>
      </c>
      <c r="I167">
        <v>23</v>
      </c>
    </row>
    <row r="168" spans="1:9" x14ac:dyDescent="0.3">
      <c r="A168">
        <v>110</v>
      </c>
      <c r="B168" t="s">
        <v>33</v>
      </c>
      <c r="C168" t="s">
        <v>8</v>
      </c>
      <c r="D168">
        <v>0</v>
      </c>
      <c r="E168">
        <v>0</v>
      </c>
      <c r="F168">
        <v>4</v>
      </c>
      <c r="G168">
        <v>0</v>
      </c>
      <c r="H168" t="s">
        <v>8</v>
      </c>
      <c r="I168">
        <v>4</v>
      </c>
    </row>
    <row r="169" spans="1:9" x14ac:dyDescent="0.3">
      <c r="A169">
        <v>110</v>
      </c>
      <c r="B169" t="s">
        <v>33</v>
      </c>
      <c r="C169" t="s">
        <v>9</v>
      </c>
      <c r="D169">
        <v>0</v>
      </c>
      <c r="E169">
        <v>0</v>
      </c>
      <c r="F169">
        <v>32</v>
      </c>
      <c r="G169">
        <v>0</v>
      </c>
      <c r="H169" t="s">
        <v>9</v>
      </c>
      <c r="I169">
        <v>32</v>
      </c>
    </row>
    <row r="170" spans="1:9" x14ac:dyDescent="0.3">
      <c r="A170">
        <v>110</v>
      </c>
      <c r="B170" t="s">
        <v>33</v>
      </c>
      <c r="C170" t="s">
        <v>10</v>
      </c>
      <c r="D170">
        <v>13</v>
      </c>
      <c r="E170">
        <v>0</v>
      </c>
      <c r="F170">
        <v>0</v>
      </c>
      <c r="G170">
        <v>14</v>
      </c>
      <c r="H170" t="s">
        <v>68</v>
      </c>
      <c r="I170">
        <v>27</v>
      </c>
    </row>
    <row r="171" spans="1:9" x14ac:dyDescent="0.3">
      <c r="A171">
        <v>110</v>
      </c>
      <c r="B171" t="s">
        <v>33</v>
      </c>
      <c r="C171" t="s">
        <v>11</v>
      </c>
      <c r="D171">
        <v>5</v>
      </c>
      <c r="E171">
        <v>0</v>
      </c>
      <c r="F171">
        <v>0</v>
      </c>
      <c r="G171">
        <v>6</v>
      </c>
      <c r="H171" t="s">
        <v>63</v>
      </c>
      <c r="I171">
        <v>11</v>
      </c>
    </row>
    <row r="172" spans="1:9" x14ac:dyDescent="0.3">
      <c r="A172">
        <v>110</v>
      </c>
      <c r="B172" t="s">
        <v>33</v>
      </c>
      <c r="C172" t="s">
        <v>12</v>
      </c>
      <c r="D172">
        <v>9</v>
      </c>
      <c r="E172">
        <v>2</v>
      </c>
      <c r="F172">
        <v>0</v>
      </c>
      <c r="G172">
        <v>15</v>
      </c>
      <c r="H172" t="s">
        <v>64</v>
      </c>
      <c r="I172">
        <v>26</v>
      </c>
    </row>
    <row r="173" spans="1:9" x14ac:dyDescent="0.3">
      <c r="A173">
        <v>110</v>
      </c>
      <c r="B173" t="s">
        <v>33</v>
      </c>
      <c r="C173" t="s">
        <v>13</v>
      </c>
      <c r="D173">
        <v>12</v>
      </c>
      <c r="E173">
        <v>12</v>
      </c>
      <c r="F173">
        <v>0</v>
      </c>
      <c r="G173">
        <v>21</v>
      </c>
      <c r="H173" t="s">
        <v>69</v>
      </c>
      <c r="I173">
        <v>45</v>
      </c>
    </row>
    <row r="174" spans="1:9" x14ac:dyDescent="0.3">
      <c r="A174">
        <v>110</v>
      </c>
      <c r="B174" t="s">
        <v>33</v>
      </c>
      <c r="C174" t="s">
        <v>14</v>
      </c>
      <c r="D174">
        <v>1</v>
      </c>
      <c r="E174">
        <v>0</v>
      </c>
      <c r="F174">
        <v>0</v>
      </c>
      <c r="G174">
        <v>13</v>
      </c>
      <c r="H174" t="s">
        <v>62</v>
      </c>
      <c r="I174">
        <v>14</v>
      </c>
    </row>
    <row r="175" spans="1:9" x14ac:dyDescent="0.3">
      <c r="A175">
        <v>110</v>
      </c>
      <c r="B175" t="s">
        <v>33</v>
      </c>
      <c r="C175" t="s">
        <v>15</v>
      </c>
      <c r="D175">
        <v>1</v>
      </c>
      <c r="E175">
        <v>0</v>
      </c>
      <c r="F175">
        <v>0</v>
      </c>
      <c r="G175">
        <v>8</v>
      </c>
      <c r="H175" t="s">
        <v>65</v>
      </c>
      <c r="I175">
        <v>9</v>
      </c>
    </row>
    <row r="176" spans="1:9" x14ac:dyDescent="0.3">
      <c r="A176">
        <v>110</v>
      </c>
      <c r="B176" t="s">
        <v>33</v>
      </c>
      <c r="C176" t="s">
        <v>16</v>
      </c>
      <c r="D176">
        <v>0</v>
      </c>
      <c r="E176">
        <v>0</v>
      </c>
      <c r="F176">
        <v>0</v>
      </c>
      <c r="G176">
        <v>4</v>
      </c>
      <c r="H176" t="s">
        <v>61</v>
      </c>
      <c r="I176">
        <v>4</v>
      </c>
    </row>
    <row r="177" spans="1:9" x14ac:dyDescent="0.3">
      <c r="A177">
        <v>110</v>
      </c>
      <c r="B177" t="s">
        <v>33</v>
      </c>
      <c r="C177" t="s">
        <v>17</v>
      </c>
      <c r="D177">
        <v>1</v>
      </c>
      <c r="E177">
        <v>0</v>
      </c>
      <c r="F177">
        <v>0</v>
      </c>
      <c r="G177">
        <v>9</v>
      </c>
      <c r="H177" t="s">
        <v>66</v>
      </c>
      <c r="I177">
        <v>10</v>
      </c>
    </row>
    <row r="178" spans="1:9" x14ac:dyDescent="0.3">
      <c r="A178">
        <v>110</v>
      </c>
      <c r="B178" t="s">
        <v>33</v>
      </c>
      <c r="C178" t="s">
        <v>28</v>
      </c>
      <c r="D178">
        <v>11</v>
      </c>
      <c r="E178">
        <v>3</v>
      </c>
      <c r="F178">
        <v>0</v>
      </c>
      <c r="G178">
        <v>13</v>
      </c>
      <c r="H178" t="s">
        <v>28</v>
      </c>
      <c r="I178">
        <v>27</v>
      </c>
    </row>
    <row r="179" spans="1:9" x14ac:dyDescent="0.3">
      <c r="A179">
        <v>111</v>
      </c>
      <c r="B179" t="s">
        <v>7</v>
      </c>
      <c r="C179" t="s">
        <v>11</v>
      </c>
      <c r="D179">
        <v>13</v>
      </c>
      <c r="E179">
        <v>3</v>
      </c>
      <c r="F179">
        <v>0</v>
      </c>
      <c r="G179">
        <v>13</v>
      </c>
      <c r="H179" t="s">
        <v>63</v>
      </c>
      <c r="I179">
        <v>29</v>
      </c>
    </row>
    <row r="180" spans="1:9" x14ac:dyDescent="0.3">
      <c r="A180">
        <v>111</v>
      </c>
      <c r="B180" t="s">
        <v>7</v>
      </c>
      <c r="C180" t="s">
        <v>12</v>
      </c>
      <c r="D180">
        <v>6</v>
      </c>
      <c r="E180">
        <v>1</v>
      </c>
      <c r="F180">
        <v>0</v>
      </c>
      <c r="G180">
        <v>6</v>
      </c>
      <c r="H180" t="s">
        <v>64</v>
      </c>
      <c r="I180">
        <v>13</v>
      </c>
    </row>
    <row r="181" spans="1:9" x14ac:dyDescent="0.3">
      <c r="A181">
        <v>111</v>
      </c>
      <c r="B181" t="s">
        <v>7</v>
      </c>
      <c r="C181" t="s">
        <v>13</v>
      </c>
      <c r="D181">
        <v>7</v>
      </c>
      <c r="E181">
        <v>0</v>
      </c>
      <c r="F181">
        <v>0</v>
      </c>
      <c r="G181">
        <v>6</v>
      </c>
      <c r="H181" t="s">
        <v>69</v>
      </c>
      <c r="I181">
        <v>13</v>
      </c>
    </row>
    <row r="182" spans="1:9" x14ac:dyDescent="0.3">
      <c r="A182">
        <v>111</v>
      </c>
      <c r="B182" t="s">
        <v>7</v>
      </c>
      <c r="C182" t="s">
        <v>14</v>
      </c>
      <c r="D182">
        <v>6</v>
      </c>
      <c r="E182">
        <v>0</v>
      </c>
      <c r="F182">
        <v>0</v>
      </c>
      <c r="G182">
        <v>4</v>
      </c>
      <c r="H182" t="s">
        <v>62</v>
      </c>
      <c r="I182">
        <v>10</v>
      </c>
    </row>
    <row r="183" spans="1:9" x14ac:dyDescent="0.3">
      <c r="A183">
        <v>111</v>
      </c>
      <c r="B183" t="s">
        <v>7</v>
      </c>
      <c r="C183" t="s">
        <v>15</v>
      </c>
      <c r="D183">
        <v>2</v>
      </c>
      <c r="E183">
        <v>0</v>
      </c>
      <c r="F183">
        <v>0</v>
      </c>
      <c r="G183">
        <v>4</v>
      </c>
      <c r="H183" t="s">
        <v>65</v>
      </c>
      <c r="I183">
        <v>6</v>
      </c>
    </row>
    <row r="184" spans="1:9" x14ac:dyDescent="0.3">
      <c r="A184">
        <v>111</v>
      </c>
      <c r="B184" t="s">
        <v>7</v>
      </c>
      <c r="C184" t="s">
        <v>16</v>
      </c>
      <c r="D184">
        <v>3</v>
      </c>
      <c r="E184">
        <v>0</v>
      </c>
      <c r="F184">
        <v>0</v>
      </c>
      <c r="G184">
        <v>5</v>
      </c>
      <c r="H184" t="s">
        <v>61</v>
      </c>
      <c r="I184">
        <v>8</v>
      </c>
    </row>
    <row r="185" spans="1:9" x14ac:dyDescent="0.3">
      <c r="A185">
        <v>111</v>
      </c>
      <c r="B185" t="s">
        <v>7</v>
      </c>
      <c r="C185" t="s">
        <v>17</v>
      </c>
      <c r="D185">
        <v>2</v>
      </c>
      <c r="E185">
        <v>0</v>
      </c>
      <c r="F185">
        <v>0</v>
      </c>
      <c r="G185">
        <v>4</v>
      </c>
      <c r="H185" t="s">
        <v>66</v>
      </c>
      <c r="I185">
        <v>6</v>
      </c>
    </row>
    <row r="186" spans="1:9" x14ac:dyDescent="0.3">
      <c r="A186">
        <v>111</v>
      </c>
      <c r="B186" t="s">
        <v>7</v>
      </c>
      <c r="C186" t="s">
        <v>20</v>
      </c>
      <c r="D186">
        <v>7</v>
      </c>
      <c r="E186">
        <v>0</v>
      </c>
      <c r="F186">
        <v>0</v>
      </c>
      <c r="G186">
        <v>3</v>
      </c>
      <c r="H186" t="s">
        <v>60</v>
      </c>
      <c r="I186">
        <v>10</v>
      </c>
    </row>
    <row r="187" spans="1:9" x14ac:dyDescent="0.3">
      <c r="A187">
        <v>111</v>
      </c>
      <c r="B187" t="s">
        <v>33</v>
      </c>
      <c r="C187" t="s">
        <v>8</v>
      </c>
      <c r="D187">
        <v>0</v>
      </c>
      <c r="E187">
        <v>0</v>
      </c>
      <c r="F187">
        <v>3</v>
      </c>
      <c r="G187">
        <v>0</v>
      </c>
      <c r="H187" t="s">
        <v>8</v>
      </c>
      <c r="I187">
        <v>3</v>
      </c>
    </row>
    <row r="188" spans="1:9" x14ac:dyDescent="0.3">
      <c r="A188">
        <v>111</v>
      </c>
      <c r="B188" t="s">
        <v>33</v>
      </c>
      <c r="C188" t="s">
        <v>9</v>
      </c>
      <c r="D188">
        <v>0</v>
      </c>
      <c r="E188">
        <v>0</v>
      </c>
      <c r="F188">
        <v>33</v>
      </c>
      <c r="G188">
        <v>0</v>
      </c>
      <c r="H188" t="s">
        <v>9</v>
      </c>
      <c r="I188">
        <v>33</v>
      </c>
    </row>
    <row r="189" spans="1:9" x14ac:dyDescent="0.3">
      <c r="A189">
        <v>111</v>
      </c>
      <c r="B189" t="s">
        <v>33</v>
      </c>
      <c r="C189" t="s">
        <v>11</v>
      </c>
      <c r="D189">
        <v>3</v>
      </c>
      <c r="E189">
        <v>3</v>
      </c>
      <c r="F189">
        <v>0</v>
      </c>
      <c r="G189">
        <v>12</v>
      </c>
      <c r="H189" t="s">
        <v>63</v>
      </c>
      <c r="I189">
        <v>18</v>
      </c>
    </row>
    <row r="190" spans="1:9" x14ac:dyDescent="0.3">
      <c r="A190">
        <v>111</v>
      </c>
      <c r="B190" t="s">
        <v>33</v>
      </c>
      <c r="C190" t="s">
        <v>12</v>
      </c>
      <c r="D190">
        <v>7</v>
      </c>
      <c r="E190">
        <v>0</v>
      </c>
      <c r="F190">
        <v>0</v>
      </c>
      <c r="G190">
        <v>10</v>
      </c>
      <c r="H190" t="s">
        <v>64</v>
      </c>
      <c r="I190">
        <v>17</v>
      </c>
    </row>
    <row r="191" spans="1:9" x14ac:dyDescent="0.3">
      <c r="A191">
        <v>111</v>
      </c>
      <c r="B191" t="s">
        <v>33</v>
      </c>
      <c r="C191" t="s">
        <v>13</v>
      </c>
      <c r="D191">
        <v>19</v>
      </c>
      <c r="E191">
        <v>0</v>
      </c>
      <c r="F191">
        <v>0</v>
      </c>
      <c r="G191">
        <v>16</v>
      </c>
      <c r="H191" t="s">
        <v>69</v>
      </c>
      <c r="I191">
        <v>35</v>
      </c>
    </row>
    <row r="192" spans="1:9" x14ac:dyDescent="0.3">
      <c r="A192">
        <v>111</v>
      </c>
      <c r="B192" t="s">
        <v>33</v>
      </c>
      <c r="C192" t="s">
        <v>14</v>
      </c>
      <c r="D192">
        <v>0</v>
      </c>
      <c r="E192">
        <v>0</v>
      </c>
      <c r="F192">
        <v>0</v>
      </c>
      <c r="G192">
        <v>1</v>
      </c>
      <c r="H192" t="s">
        <v>62</v>
      </c>
      <c r="I192">
        <v>1</v>
      </c>
    </row>
    <row r="193" spans="1:9" x14ac:dyDescent="0.3">
      <c r="A193">
        <v>111</v>
      </c>
      <c r="B193" t="s">
        <v>33</v>
      </c>
      <c r="C193" t="s">
        <v>15</v>
      </c>
      <c r="D193">
        <v>0</v>
      </c>
      <c r="E193">
        <v>0</v>
      </c>
      <c r="F193">
        <v>0</v>
      </c>
      <c r="G193">
        <v>3</v>
      </c>
      <c r="H193" t="s">
        <v>65</v>
      </c>
      <c r="I193">
        <v>3</v>
      </c>
    </row>
    <row r="194" spans="1:9" x14ac:dyDescent="0.3">
      <c r="A194">
        <v>111</v>
      </c>
      <c r="B194" t="s">
        <v>33</v>
      </c>
      <c r="C194" t="s">
        <v>17</v>
      </c>
      <c r="D194">
        <v>5</v>
      </c>
      <c r="E194">
        <v>0</v>
      </c>
      <c r="F194">
        <v>0</v>
      </c>
      <c r="G194">
        <v>1</v>
      </c>
      <c r="H194" t="s">
        <v>66</v>
      </c>
      <c r="I194">
        <v>6</v>
      </c>
    </row>
    <row r="195" spans="1:9" x14ac:dyDescent="0.3">
      <c r="A195">
        <v>112</v>
      </c>
      <c r="B195" t="s">
        <v>7</v>
      </c>
      <c r="C195" t="s">
        <v>11</v>
      </c>
      <c r="D195">
        <v>7</v>
      </c>
      <c r="E195">
        <v>4</v>
      </c>
      <c r="F195">
        <v>0</v>
      </c>
      <c r="G195">
        <v>17</v>
      </c>
      <c r="H195" t="s">
        <v>63</v>
      </c>
      <c r="I195">
        <v>28</v>
      </c>
    </row>
    <row r="196" spans="1:9" x14ac:dyDescent="0.3">
      <c r="A196">
        <v>112</v>
      </c>
      <c r="B196" t="s">
        <v>7</v>
      </c>
      <c r="C196" t="s">
        <v>12</v>
      </c>
      <c r="D196">
        <v>11</v>
      </c>
      <c r="E196">
        <v>7</v>
      </c>
      <c r="F196">
        <v>0</v>
      </c>
      <c r="G196">
        <v>16</v>
      </c>
      <c r="H196" t="s">
        <v>64</v>
      </c>
      <c r="I196">
        <v>34</v>
      </c>
    </row>
    <row r="197" spans="1:9" x14ac:dyDescent="0.3">
      <c r="A197">
        <v>112</v>
      </c>
      <c r="B197" t="s">
        <v>7</v>
      </c>
      <c r="C197" t="s">
        <v>13</v>
      </c>
      <c r="D197">
        <v>5</v>
      </c>
      <c r="E197">
        <v>4</v>
      </c>
      <c r="F197">
        <v>0</v>
      </c>
      <c r="G197">
        <v>14</v>
      </c>
      <c r="H197" t="s">
        <v>69</v>
      </c>
      <c r="I197">
        <v>23</v>
      </c>
    </row>
    <row r="198" spans="1:9" x14ac:dyDescent="0.3">
      <c r="A198">
        <v>112</v>
      </c>
      <c r="B198" t="s">
        <v>7</v>
      </c>
      <c r="C198" t="s">
        <v>14</v>
      </c>
      <c r="D198">
        <v>6</v>
      </c>
      <c r="E198">
        <v>4</v>
      </c>
      <c r="F198">
        <v>0</v>
      </c>
      <c r="G198">
        <v>12</v>
      </c>
      <c r="H198" t="s">
        <v>62</v>
      </c>
      <c r="I198">
        <v>22</v>
      </c>
    </row>
    <row r="199" spans="1:9" x14ac:dyDescent="0.3">
      <c r="A199">
        <v>112</v>
      </c>
      <c r="B199" t="s">
        <v>7</v>
      </c>
      <c r="C199" t="s">
        <v>15</v>
      </c>
      <c r="D199">
        <v>8</v>
      </c>
      <c r="E199">
        <v>4</v>
      </c>
      <c r="F199">
        <v>0</v>
      </c>
      <c r="G199">
        <v>17</v>
      </c>
      <c r="H199" t="s">
        <v>65</v>
      </c>
      <c r="I199">
        <v>29</v>
      </c>
    </row>
    <row r="200" spans="1:9" x14ac:dyDescent="0.3">
      <c r="A200">
        <v>112</v>
      </c>
      <c r="B200" t="s">
        <v>7</v>
      </c>
      <c r="C200" t="s">
        <v>16</v>
      </c>
      <c r="D200">
        <v>6</v>
      </c>
      <c r="E200">
        <v>5</v>
      </c>
      <c r="F200">
        <v>0</v>
      </c>
      <c r="G200">
        <v>15</v>
      </c>
      <c r="H200" t="s">
        <v>61</v>
      </c>
      <c r="I200">
        <v>26</v>
      </c>
    </row>
    <row r="201" spans="1:9" x14ac:dyDescent="0.3">
      <c r="A201">
        <v>112</v>
      </c>
      <c r="B201" t="s">
        <v>7</v>
      </c>
      <c r="C201" t="s">
        <v>17</v>
      </c>
      <c r="D201">
        <v>2</v>
      </c>
      <c r="E201">
        <v>6</v>
      </c>
      <c r="F201">
        <v>0</v>
      </c>
      <c r="G201">
        <v>15</v>
      </c>
      <c r="H201" t="s">
        <v>66</v>
      </c>
      <c r="I201">
        <v>23</v>
      </c>
    </row>
    <row r="202" spans="1:9" x14ac:dyDescent="0.3">
      <c r="A202">
        <v>112</v>
      </c>
      <c r="B202" t="s">
        <v>7</v>
      </c>
      <c r="C202" t="s">
        <v>20</v>
      </c>
      <c r="D202">
        <v>69</v>
      </c>
      <c r="E202">
        <v>1</v>
      </c>
      <c r="F202">
        <v>0</v>
      </c>
      <c r="G202">
        <v>51</v>
      </c>
      <c r="H202" t="s">
        <v>60</v>
      </c>
      <c r="I202">
        <v>121</v>
      </c>
    </row>
    <row r="203" spans="1:9" x14ac:dyDescent="0.3">
      <c r="A203">
        <v>112</v>
      </c>
      <c r="B203" t="s">
        <v>33</v>
      </c>
      <c r="C203" t="s">
        <v>8</v>
      </c>
      <c r="D203">
        <v>0</v>
      </c>
      <c r="E203">
        <v>0</v>
      </c>
      <c r="F203">
        <v>5</v>
      </c>
      <c r="G203">
        <v>0</v>
      </c>
      <c r="H203" t="s">
        <v>8</v>
      </c>
      <c r="I203">
        <v>5</v>
      </c>
    </row>
    <row r="204" spans="1:9" x14ac:dyDescent="0.3">
      <c r="A204">
        <v>112</v>
      </c>
      <c r="B204" t="s">
        <v>33</v>
      </c>
      <c r="C204" t="s">
        <v>9</v>
      </c>
      <c r="D204">
        <v>0</v>
      </c>
      <c r="E204">
        <v>0</v>
      </c>
      <c r="F204">
        <v>34</v>
      </c>
      <c r="G204">
        <v>0</v>
      </c>
      <c r="H204" t="s">
        <v>9</v>
      </c>
      <c r="I204">
        <v>34</v>
      </c>
    </row>
    <row r="205" spans="1:9" x14ac:dyDescent="0.3">
      <c r="A205">
        <v>112</v>
      </c>
      <c r="B205" t="s">
        <v>33</v>
      </c>
      <c r="C205" t="s">
        <v>12</v>
      </c>
      <c r="D205">
        <v>0</v>
      </c>
      <c r="E205">
        <v>0</v>
      </c>
      <c r="F205">
        <v>0</v>
      </c>
      <c r="G205">
        <v>1</v>
      </c>
      <c r="H205" t="s">
        <v>64</v>
      </c>
      <c r="I205">
        <v>1</v>
      </c>
    </row>
    <row r="206" spans="1:9" x14ac:dyDescent="0.3">
      <c r="A206">
        <v>112</v>
      </c>
      <c r="B206" t="s">
        <v>33</v>
      </c>
      <c r="C206" t="s">
        <v>17</v>
      </c>
      <c r="D206">
        <v>0</v>
      </c>
      <c r="E206">
        <v>0</v>
      </c>
      <c r="F206">
        <v>0</v>
      </c>
      <c r="G206">
        <v>1</v>
      </c>
      <c r="H206" t="s">
        <v>66</v>
      </c>
      <c r="I206">
        <v>1</v>
      </c>
    </row>
    <row r="207" spans="1:9" x14ac:dyDescent="0.3">
      <c r="A207">
        <v>113</v>
      </c>
      <c r="B207" t="s">
        <v>7</v>
      </c>
      <c r="C207" t="s">
        <v>11</v>
      </c>
      <c r="D207">
        <v>10</v>
      </c>
      <c r="E207">
        <v>1</v>
      </c>
      <c r="F207">
        <v>0</v>
      </c>
      <c r="G207">
        <v>10</v>
      </c>
      <c r="H207" t="s">
        <v>63</v>
      </c>
      <c r="I207">
        <v>21</v>
      </c>
    </row>
    <row r="208" spans="1:9" x14ac:dyDescent="0.3">
      <c r="A208">
        <v>113</v>
      </c>
      <c r="B208" t="s">
        <v>7</v>
      </c>
      <c r="C208" t="s">
        <v>12</v>
      </c>
      <c r="D208">
        <v>8</v>
      </c>
      <c r="E208">
        <v>6</v>
      </c>
      <c r="F208">
        <v>0</v>
      </c>
      <c r="G208">
        <v>9</v>
      </c>
      <c r="H208" t="s">
        <v>64</v>
      </c>
      <c r="I208">
        <v>23</v>
      </c>
    </row>
    <row r="209" spans="1:9" x14ac:dyDescent="0.3">
      <c r="A209">
        <v>113</v>
      </c>
      <c r="B209" t="s">
        <v>7</v>
      </c>
      <c r="C209" t="s">
        <v>13</v>
      </c>
      <c r="D209">
        <v>3</v>
      </c>
      <c r="E209">
        <v>1</v>
      </c>
      <c r="F209">
        <v>0</v>
      </c>
      <c r="G209">
        <v>13</v>
      </c>
      <c r="H209" t="s">
        <v>69</v>
      </c>
      <c r="I209">
        <v>17</v>
      </c>
    </row>
    <row r="210" spans="1:9" x14ac:dyDescent="0.3">
      <c r="A210">
        <v>113</v>
      </c>
      <c r="B210" t="s">
        <v>7</v>
      </c>
      <c r="C210" t="s">
        <v>14</v>
      </c>
      <c r="D210">
        <v>1</v>
      </c>
      <c r="E210">
        <v>25</v>
      </c>
      <c r="F210">
        <v>0</v>
      </c>
      <c r="G210">
        <v>25</v>
      </c>
      <c r="H210" t="s">
        <v>62</v>
      </c>
      <c r="I210">
        <v>51</v>
      </c>
    </row>
    <row r="211" spans="1:9" x14ac:dyDescent="0.3">
      <c r="A211">
        <v>113</v>
      </c>
      <c r="B211" t="s">
        <v>7</v>
      </c>
      <c r="C211" t="s">
        <v>15</v>
      </c>
      <c r="D211">
        <v>7</v>
      </c>
      <c r="E211">
        <v>2</v>
      </c>
      <c r="F211">
        <v>0</v>
      </c>
      <c r="G211">
        <v>11</v>
      </c>
      <c r="H211" t="s">
        <v>65</v>
      </c>
      <c r="I211">
        <v>20</v>
      </c>
    </row>
    <row r="212" spans="1:9" x14ac:dyDescent="0.3">
      <c r="A212">
        <v>113</v>
      </c>
      <c r="B212" t="s">
        <v>7</v>
      </c>
      <c r="C212" t="s">
        <v>16</v>
      </c>
      <c r="D212">
        <v>12</v>
      </c>
      <c r="E212">
        <v>1</v>
      </c>
      <c r="F212">
        <v>0</v>
      </c>
      <c r="G212">
        <v>10</v>
      </c>
      <c r="H212" t="s">
        <v>61</v>
      </c>
      <c r="I212">
        <v>23</v>
      </c>
    </row>
    <row r="213" spans="1:9" x14ac:dyDescent="0.3">
      <c r="A213">
        <v>113</v>
      </c>
      <c r="B213" t="s">
        <v>7</v>
      </c>
      <c r="C213" t="s">
        <v>17</v>
      </c>
      <c r="D213">
        <v>1</v>
      </c>
      <c r="E213">
        <v>1</v>
      </c>
      <c r="F213">
        <v>0</v>
      </c>
      <c r="G213">
        <v>6</v>
      </c>
      <c r="H213" t="s">
        <v>66</v>
      </c>
      <c r="I213">
        <v>8</v>
      </c>
    </row>
    <row r="214" spans="1:9" x14ac:dyDescent="0.3">
      <c r="A214">
        <v>113</v>
      </c>
      <c r="B214" t="s">
        <v>7</v>
      </c>
      <c r="C214" t="s">
        <v>20</v>
      </c>
      <c r="D214">
        <v>28</v>
      </c>
      <c r="E214">
        <v>29</v>
      </c>
      <c r="F214">
        <v>0</v>
      </c>
      <c r="G214">
        <v>35</v>
      </c>
      <c r="H214" t="s">
        <v>60</v>
      </c>
      <c r="I214">
        <v>92</v>
      </c>
    </row>
    <row r="215" spans="1:9" x14ac:dyDescent="0.3">
      <c r="A215">
        <v>113</v>
      </c>
      <c r="B215" t="s">
        <v>33</v>
      </c>
      <c r="C215" t="s">
        <v>8</v>
      </c>
      <c r="D215">
        <v>0</v>
      </c>
      <c r="E215">
        <v>0</v>
      </c>
      <c r="F215">
        <v>3</v>
      </c>
      <c r="G215">
        <v>0</v>
      </c>
      <c r="H215" t="s">
        <v>8</v>
      </c>
      <c r="I215">
        <v>3</v>
      </c>
    </row>
    <row r="216" spans="1:9" x14ac:dyDescent="0.3">
      <c r="A216">
        <v>113</v>
      </c>
      <c r="B216" t="s">
        <v>33</v>
      </c>
      <c r="C216" t="s">
        <v>9</v>
      </c>
      <c r="D216">
        <v>0</v>
      </c>
      <c r="E216">
        <v>0</v>
      </c>
      <c r="F216">
        <v>31</v>
      </c>
      <c r="G216">
        <v>0</v>
      </c>
      <c r="H216" t="s">
        <v>9</v>
      </c>
      <c r="I216">
        <v>31</v>
      </c>
    </row>
    <row r="217" spans="1:9" x14ac:dyDescent="0.3">
      <c r="A217">
        <v>113</v>
      </c>
      <c r="B217" t="s">
        <v>33</v>
      </c>
      <c r="C217" t="s">
        <v>10</v>
      </c>
      <c r="D217">
        <v>5</v>
      </c>
      <c r="E217">
        <v>0</v>
      </c>
      <c r="F217">
        <v>0</v>
      </c>
      <c r="G217">
        <v>4</v>
      </c>
      <c r="H217" t="s">
        <v>68</v>
      </c>
      <c r="I217">
        <v>9</v>
      </c>
    </row>
    <row r="218" spans="1:9" x14ac:dyDescent="0.3">
      <c r="A218">
        <v>113</v>
      </c>
      <c r="B218" t="s">
        <v>33</v>
      </c>
      <c r="C218" t="s">
        <v>14</v>
      </c>
      <c r="D218">
        <v>0</v>
      </c>
      <c r="E218">
        <v>0</v>
      </c>
      <c r="F218">
        <v>0</v>
      </c>
      <c r="G218">
        <v>3</v>
      </c>
      <c r="H218" t="s">
        <v>62</v>
      </c>
      <c r="I218">
        <v>3</v>
      </c>
    </row>
    <row r="219" spans="1:9" x14ac:dyDescent="0.3">
      <c r="A219">
        <v>114</v>
      </c>
      <c r="B219" t="s">
        <v>7</v>
      </c>
      <c r="C219" t="s">
        <v>10</v>
      </c>
      <c r="D219">
        <v>0</v>
      </c>
      <c r="E219">
        <v>0</v>
      </c>
      <c r="F219">
        <v>0</v>
      </c>
      <c r="G219">
        <v>3</v>
      </c>
      <c r="H219" t="s">
        <v>68</v>
      </c>
      <c r="I219">
        <v>3</v>
      </c>
    </row>
    <row r="220" spans="1:9" x14ac:dyDescent="0.3">
      <c r="A220">
        <v>114</v>
      </c>
      <c r="B220" t="s">
        <v>7</v>
      </c>
      <c r="C220" t="s">
        <v>11</v>
      </c>
      <c r="D220">
        <v>13</v>
      </c>
      <c r="E220">
        <v>0</v>
      </c>
      <c r="F220">
        <v>0</v>
      </c>
      <c r="G220">
        <v>15</v>
      </c>
      <c r="H220" t="s">
        <v>63</v>
      </c>
      <c r="I220">
        <v>28</v>
      </c>
    </row>
    <row r="221" spans="1:9" x14ac:dyDescent="0.3">
      <c r="A221">
        <v>114</v>
      </c>
      <c r="B221" t="s">
        <v>7</v>
      </c>
      <c r="C221" t="s">
        <v>12</v>
      </c>
      <c r="D221">
        <v>16</v>
      </c>
      <c r="E221">
        <v>2</v>
      </c>
      <c r="F221">
        <v>0</v>
      </c>
      <c r="G221">
        <v>16</v>
      </c>
      <c r="H221" t="s">
        <v>64</v>
      </c>
      <c r="I221">
        <v>34</v>
      </c>
    </row>
    <row r="222" spans="1:9" x14ac:dyDescent="0.3">
      <c r="A222">
        <v>114</v>
      </c>
      <c r="B222" t="s">
        <v>7</v>
      </c>
      <c r="C222" t="s">
        <v>13</v>
      </c>
      <c r="D222">
        <v>5</v>
      </c>
      <c r="E222">
        <v>0</v>
      </c>
      <c r="F222">
        <v>0</v>
      </c>
      <c r="G222">
        <v>9</v>
      </c>
      <c r="H222" t="s">
        <v>69</v>
      </c>
      <c r="I222">
        <v>14</v>
      </c>
    </row>
    <row r="223" spans="1:9" x14ac:dyDescent="0.3">
      <c r="A223">
        <v>114</v>
      </c>
      <c r="B223" t="s">
        <v>7</v>
      </c>
      <c r="C223" t="s">
        <v>14</v>
      </c>
      <c r="D223">
        <v>3</v>
      </c>
      <c r="E223">
        <v>2</v>
      </c>
      <c r="F223">
        <v>0</v>
      </c>
      <c r="G223">
        <v>10</v>
      </c>
      <c r="H223" t="s">
        <v>62</v>
      </c>
      <c r="I223">
        <v>15</v>
      </c>
    </row>
    <row r="224" spans="1:9" x14ac:dyDescent="0.3">
      <c r="A224">
        <v>114</v>
      </c>
      <c r="B224" t="s">
        <v>7</v>
      </c>
      <c r="C224" t="s">
        <v>15</v>
      </c>
      <c r="D224">
        <v>4</v>
      </c>
      <c r="E224">
        <v>0</v>
      </c>
      <c r="F224">
        <v>0</v>
      </c>
      <c r="G224">
        <v>11</v>
      </c>
      <c r="H224" t="s">
        <v>65</v>
      </c>
      <c r="I224">
        <v>15</v>
      </c>
    </row>
    <row r="225" spans="1:9" x14ac:dyDescent="0.3">
      <c r="A225">
        <v>114</v>
      </c>
      <c r="B225" t="s">
        <v>7</v>
      </c>
      <c r="C225" t="s">
        <v>16</v>
      </c>
      <c r="D225">
        <v>8</v>
      </c>
      <c r="E225">
        <v>0</v>
      </c>
      <c r="F225">
        <v>0</v>
      </c>
      <c r="G225">
        <v>13</v>
      </c>
      <c r="H225" t="s">
        <v>61</v>
      </c>
      <c r="I225">
        <v>21</v>
      </c>
    </row>
    <row r="226" spans="1:9" x14ac:dyDescent="0.3">
      <c r="A226">
        <v>114</v>
      </c>
      <c r="B226" t="s">
        <v>7</v>
      </c>
      <c r="C226" t="s">
        <v>17</v>
      </c>
      <c r="D226">
        <v>9</v>
      </c>
      <c r="E226">
        <v>8</v>
      </c>
      <c r="F226">
        <v>0</v>
      </c>
      <c r="G226">
        <v>12</v>
      </c>
      <c r="H226" t="s">
        <v>66</v>
      </c>
      <c r="I226">
        <v>29</v>
      </c>
    </row>
    <row r="227" spans="1:9" x14ac:dyDescent="0.3">
      <c r="A227">
        <v>114</v>
      </c>
      <c r="B227" t="s">
        <v>33</v>
      </c>
      <c r="C227" t="s">
        <v>8</v>
      </c>
      <c r="D227">
        <v>0</v>
      </c>
      <c r="E227">
        <v>0</v>
      </c>
      <c r="F227">
        <v>2</v>
      </c>
      <c r="G227">
        <v>0</v>
      </c>
      <c r="H227" t="s">
        <v>8</v>
      </c>
      <c r="I227">
        <v>2</v>
      </c>
    </row>
    <row r="228" spans="1:9" x14ac:dyDescent="0.3">
      <c r="A228">
        <v>114</v>
      </c>
      <c r="B228" t="s">
        <v>33</v>
      </c>
      <c r="C228" t="s">
        <v>9</v>
      </c>
      <c r="D228">
        <v>0</v>
      </c>
      <c r="E228">
        <v>0</v>
      </c>
      <c r="F228">
        <v>34</v>
      </c>
      <c r="G228">
        <v>0</v>
      </c>
      <c r="H228" t="s">
        <v>9</v>
      </c>
      <c r="I228">
        <v>34</v>
      </c>
    </row>
    <row r="229" spans="1:9" x14ac:dyDescent="0.3">
      <c r="A229">
        <v>114</v>
      </c>
      <c r="B229" t="s">
        <v>33</v>
      </c>
      <c r="C229" t="s">
        <v>11</v>
      </c>
      <c r="D229">
        <v>5</v>
      </c>
      <c r="E229">
        <v>6</v>
      </c>
      <c r="F229">
        <v>0</v>
      </c>
      <c r="G229">
        <v>7</v>
      </c>
      <c r="H229" t="s">
        <v>63</v>
      </c>
      <c r="I229">
        <v>18</v>
      </c>
    </row>
    <row r="230" spans="1:9" x14ac:dyDescent="0.3">
      <c r="A230">
        <v>114</v>
      </c>
      <c r="B230" t="s">
        <v>33</v>
      </c>
      <c r="C230" t="s">
        <v>12</v>
      </c>
      <c r="D230">
        <v>8</v>
      </c>
      <c r="E230">
        <v>14</v>
      </c>
      <c r="F230">
        <v>0</v>
      </c>
      <c r="G230">
        <v>11</v>
      </c>
      <c r="H230" t="s">
        <v>64</v>
      </c>
      <c r="I230">
        <v>33</v>
      </c>
    </row>
    <row r="231" spans="1:9" x14ac:dyDescent="0.3">
      <c r="A231">
        <v>114</v>
      </c>
      <c r="B231" t="s">
        <v>33</v>
      </c>
      <c r="C231" t="s">
        <v>13</v>
      </c>
      <c r="D231">
        <v>3</v>
      </c>
      <c r="E231">
        <v>0</v>
      </c>
      <c r="F231">
        <v>0</v>
      </c>
      <c r="G231">
        <v>6</v>
      </c>
      <c r="H231" t="s">
        <v>69</v>
      </c>
      <c r="I231">
        <v>9</v>
      </c>
    </row>
    <row r="232" spans="1:9" x14ac:dyDescent="0.3">
      <c r="A232">
        <v>114</v>
      </c>
      <c r="B232" t="s">
        <v>33</v>
      </c>
      <c r="C232" t="s">
        <v>14</v>
      </c>
      <c r="D232">
        <v>16</v>
      </c>
      <c r="E232">
        <v>6</v>
      </c>
      <c r="F232">
        <v>0</v>
      </c>
      <c r="G232">
        <v>16</v>
      </c>
      <c r="H232" t="s">
        <v>62</v>
      </c>
      <c r="I232">
        <v>38</v>
      </c>
    </row>
    <row r="233" spans="1:9" x14ac:dyDescent="0.3">
      <c r="A233">
        <v>114</v>
      </c>
      <c r="B233" t="s">
        <v>33</v>
      </c>
      <c r="C233" t="s">
        <v>15</v>
      </c>
      <c r="D233">
        <v>4</v>
      </c>
      <c r="E233">
        <v>0</v>
      </c>
      <c r="F233">
        <v>0</v>
      </c>
      <c r="G233">
        <v>3</v>
      </c>
      <c r="H233" t="s">
        <v>65</v>
      </c>
      <c r="I233">
        <v>7</v>
      </c>
    </row>
    <row r="234" spans="1:9" x14ac:dyDescent="0.3">
      <c r="A234">
        <v>114</v>
      </c>
      <c r="B234" t="s">
        <v>33</v>
      </c>
      <c r="C234" t="s">
        <v>16</v>
      </c>
      <c r="D234">
        <v>1</v>
      </c>
      <c r="E234">
        <v>0</v>
      </c>
      <c r="F234">
        <v>0</v>
      </c>
      <c r="G234">
        <v>1</v>
      </c>
      <c r="H234" t="s">
        <v>61</v>
      </c>
      <c r="I234">
        <v>2</v>
      </c>
    </row>
    <row r="235" spans="1:9" x14ac:dyDescent="0.3">
      <c r="A235">
        <v>114</v>
      </c>
      <c r="B235" t="s">
        <v>33</v>
      </c>
      <c r="C235" t="s">
        <v>17</v>
      </c>
      <c r="D235">
        <v>9</v>
      </c>
      <c r="E235">
        <v>4</v>
      </c>
      <c r="F235">
        <v>0</v>
      </c>
      <c r="G235">
        <v>8</v>
      </c>
      <c r="H235" t="s">
        <v>66</v>
      </c>
      <c r="I235">
        <v>21</v>
      </c>
    </row>
    <row r="236" spans="1:9" x14ac:dyDescent="0.3">
      <c r="A236">
        <v>115</v>
      </c>
      <c r="B236" t="s">
        <v>7</v>
      </c>
      <c r="C236" t="s">
        <v>11</v>
      </c>
      <c r="D236">
        <v>23</v>
      </c>
      <c r="E236">
        <v>0</v>
      </c>
      <c r="F236">
        <v>0</v>
      </c>
      <c r="G236">
        <v>30</v>
      </c>
      <c r="H236" t="s">
        <v>63</v>
      </c>
      <c r="I236">
        <v>53</v>
      </c>
    </row>
    <row r="237" spans="1:9" x14ac:dyDescent="0.3">
      <c r="A237">
        <v>115</v>
      </c>
      <c r="B237" t="s">
        <v>7</v>
      </c>
      <c r="C237" t="s">
        <v>12</v>
      </c>
      <c r="D237">
        <v>20</v>
      </c>
      <c r="E237">
        <v>0</v>
      </c>
      <c r="F237">
        <v>0</v>
      </c>
      <c r="G237">
        <v>33</v>
      </c>
      <c r="H237" t="s">
        <v>64</v>
      </c>
      <c r="I237">
        <v>53</v>
      </c>
    </row>
    <row r="238" spans="1:9" x14ac:dyDescent="0.3">
      <c r="A238">
        <v>115</v>
      </c>
      <c r="B238" t="s">
        <v>7</v>
      </c>
      <c r="C238" t="s">
        <v>13</v>
      </c>
      <c r="D238">
        <v>0</v>
      </c>
      <c r="E238">
        <v>0</v>
      </c>
      <c r="F238">
        <v>0</v>
      </c>
      <c r="G238">
        <v>1</v>
      </c>
      <c r="H238" t="s">
        <v>69</v>
      </c>
      <c r="I238">
        <v>1</v>
      </c>
    </row>
    <row r="239" spans="1:9" x14ac:dyDescent="0.3">
      <c r="A239">
        <v>115</v>
      </c>
      <c r="B239" t="s">
        <v>7</v>
      </c>
      <c r="C239" t="s">
        <v>14</v>
      </c>
      <c r="D239">
        <v>4</v>
      </c>
      <c r="E239">
        <v>0</v>
      </c>
      <c r="F239">
        <v>0</v>
      </c>
      <c r="G239">
        <v>7</v>
      </c>
      <c r="H239" t="s">
        <v>62</v>
      </c>
      <c r="I239">
        <v>11</v>
      </c>
    </row>
    <row r="240" spans="1:9" x14ac:dyDescent="0.3">
      <c r="A240">
        <v>115</v>
      </c>
      <c r="B240" t="s">
        <v>7</v>
      </c>
      <c r="C240" t="s">
        <v>15</v>
      </c>
      <c r="D240">
        <v>0</v>
      </c>
      <c r="E240">
        <v>0</v>
      </c>
      <c r="F240">
        <v>0</v>
      </c>
      <c r="G240">
        <v>6</v>
      </c>
      <c r="H240" t="s">
        <v>65</v>
      </c>
      <c r="I240">
        <v>6</v>
      </c>
    </row>
    <row r="241" spans="1:9" x14ac:dyDescent="0.3">
      <c r="A241">
        <v>115</v>
      </c>
      <c r="B241" t="s">
        <v>7</v>
      </c>
      <c r="C241" t="s">
        <v>16</v>
      </c>
      <c r="D241">
        <v>7</v>
      </c>
      <c r="E241">
        <v>0</v>
      </c>
      <c r="F241">
        <v>0</v>
      </c>
      <c r="G241">
        <v>16</v>
      </c>
      <c r="H241" t="s">
        <v>61</v>
      </c>
      <c r="I241">
        <v>23</v>
      </c>
    </row>
    <row r="242" spans="1:9" x14ac:dyDescent="0.3">
      <c r="A242">
        <v>115</v>
      </c>
      <c r="B242" t="s">
        <v>7</v>
      </c>
      <c r="C242" t="s">
        <v>17</v>
      </c>
      <c r="D242">
        <v>1</v>
      </c>
      <c r="E242">
        <v>0</v>
      </c>
      <c r="F242">
        <v>0</v>
      </c>
      <c r="G242">
        <v>5</v>
      </c>
      <c r="H242" t="s">
        <v>66</v>
      </c>
      <c r="I242">
        <v>6</v>
      </c>
    </row>
    <row r="243" spans="1:9" x14ac:dyDescent="0.3">
      <c r="A243">
        <v>115</v>
      </c>
      <c r="B243" t="s">
        <v>33</v>
      </c>
      <c r="C243" t="s">
        <v>8</v>
      </c>
      <c r="D243">
        <v>0</v>
      </c>
      <c r="E243">
        <v>0</v>
      </c>
      <c r="F243">
        <v>3</v>
      </c>
      <c r="G243">
        <v>0</v>
      </c>
      <c r="H243" t="s">
        <v>8</v>
      </c>
      <c r="I243">
        <v>3</v>
      </c>
    </row>
    <row r="244" spans="1:9" x14ac:dyDescent="0.3">
      <c r="A244">
        <v>115</v>
      </c>
      <c r="B244" t="s">
        <v>33</v>
      </c>
      <c r="C244" t="s">
        <v>9</v>
      </c>
      <c r="D244">
        <v>0</v>
      </c>
      <c r="E244">
        <v>0</v>
      </c>
      <c r="F244">
        <v>12</v>
      </c>
      <c r="G244">
        <v>0</v>
      </c>
      <c r="H244" t="s">
        <v>9</v>
      </c>
      <c r="I244">
        <v>12</v>
      </c>
    </row>
    <row r="245" spans="1:9" x14ac:dyDescent="0.3">
      <c r="A245">
        <v>115</v>
      </c>
      <c r="B245" t="s">
        <v>33</v>
      </c>
      <c r="C245" t="s">
        <v>14</v>
      </c>
      <c r="D245">
        <v>0</v>
      </c>
      <c r="E245">
        <v>0</v>
      </c>
      <c r="F245">
        <v>0</v>
      </c>
      <c r="G245">
        <v>6</v>
      </c>
      <c r="H245" t="s">
        <v>62</v>
      </c>
      <c r="I245">
        <v>6</v>
      </c>
    </row>
    <row r="246" spans="1:9" x14ac:dyDescent="0.3">
      <c r="A246">
        <v>115</v>
      </c>
      <c r="B246" t="s">
        <v>33</v>
      </c>
      <c r="C246" t="s">
        <v>15</v>
      </c>
      <c r="D246">
        <v>1</v>
      </c>
      <c r="E246">
        <v>0</v>
      </c>
      <c r="F246">
        <v>0</v>
      </c>
      <c r="G246">
        <v>6</v>
      </c>
      <c r="H246" t="s">
        <v>65</v>
      </c>
      <c r="I246">
        <v>7</v>
      </c>
    </row>
    <row r="247" spans="1:9" x14ac:dyDescent="0.3">
      <c r="A247">
        <v>115</v>
      </c>
      <c r="B247" t="s">
        <v>33</v>
      </c>
      <c r="C247" t="s">
        <v>17</v>
      </c>
      <c r="D247">
        <v>2</v>
      </c>
      <c r="E247">
        <v>6</v>
      </c>
      <c r="F247">
        <v>0</v>
      </c>
      <c r="G247">
        <v>12</v>
      </c>
      <c r="H247" t="s">
        <v>66</v>
      </c>
      <c r="I247">
        <v>20</v>
      </c>
    </row>
    <row r="248" spans="1:9" x14ac:dyDescent="0.3">
      <c r="A248">
        <v>116</v>
      </c>
      <c r="B248" t="s">
        <v>7</v>
      </c>
      <c r="C248" t="s">
        <v>11</v>
      </c>
      <c r="D248">
        <v>43</v>
      </c>
      <c r="E248">
        <v>0</v>
      </c>
      <c r="F248">
        <v>0</v>
      </c>
      <c r="G248">
        <v>39</v>
      </c>
      <c r="H248" t="s">
        <v>63</v>
      </c>
      <c r="I248">
        <v>82</v>
      </c>
    </row>
    <row r="249" spans="1:9" x14ac:dyDescent="0.3">
      <c r="A249">
        <v>116</v>
      </c>
      <c r="B249" t="s">
        <v>7</v>
      </c>
      <c r="C249" t="s">
        <v>12</v>
      </c>
      <c r="D249">
        <v>16</v>
      </c>
      <c r="E249">
        <v>24</v>
      </c>
      <c r="F249">
        <v>0</v>
      </c>
      <c r="G249">
        <v>35</v>
      </c>
      <c r="H249" t="s">
        <v>64</v>
      </c>
      <c r="I249">
        <v>75</v>
      </c>
    </row>
    <row r="250" spans="1:9" x14ac:dyDescent="0.3">
      <c r="A250">
        <v>116</v>
      </c>
      <c r="B250" t="s">
        <v>7</v>
      </c>
      <c r="C250" t="s">
        <v>14</v>
      </c>
      <c r="D250">
        <v>24</v>
      </c>
      <c r="E250">
        <v>5</v>
      </c>
      <c r="F250">
        <v>0</v>
      </c>
      <c r="G250">
        <v>36</v>
      </c>
      <c r="H250" t="s">
        <v>62</v>
      </c>
      <c r="I250">
        <v>65</v>
      </c>
    </row>
    <row r="251" spans="1:9" x14ac:dyDescent="0.3">
      <c r="A251">
        <v>116</v>
      </c>
      <c r="B251" t="s">
        <v>7</v>
      </c>
      <c r="C251" t="s">
        <v>15</v>
      </c>
      <c r="D251">
        <v>5</v>
      </c>
      <c r="E251">
        <v>2</v>
      </c>
      <c r="F251">
        <v>0</v>
      </c>
      <c r="G251">
        <v>16</v>
      </c>
      <c r="H251" t="s">
        <v>65</v>
      </c>
      <c r="I251">
        <v>23</v>
      </c>
    </row>
    <row r="252" spans="1:9" x14ac:dyDescent="0.3">
      <c r="A252">
        <v>116</v>
      </c>
      <c r="B252" t="s">
        <v>7</v>
      </c>
      <c r="C252" t="s">
        <v>16</v>
      </c>
      <c r="D252">
        <v>18</v>
      </c>
      <c r="E252">
        <v>3</v>
      </c>
      <c r="F252">
        <v>0</v>
      </c>
      <c r="G252">
        <v>28</v>
      </c>
      <c r="H252" t="s">
        <v>61</v>
      </c>
      <c r="I252">
        <v>49</v>
      </c>
    </row>
    <row r="253" spans="1:9" x14ac:dyDescent="0.3">
      <c r="A253">
        <v>116</v>
      </c>
      <c r="B253" t="s">
        <v>7</v>
      </c>
      <c r="C253" t="s">
        <v>17</v>
      </c>
      <c r="D253">
        <v>6</v>
      </c>
      <c r="E253">
        <v>5</v>
      </c>
      <c r="F253">
        <v>0</v>
      </c>
      <c r="G253">
        <v>17</v>
      </c>
      <c r="H253" t="s">
        <v>66</v>
      </c>
      <c r="I253">
        <v>28</v>
      </c>
    </row>
    <row r="254" spans="1:9" x14ac:dyDescent="0.3">
      <c r="A254">
        <v>116</v>
      </c>
      <c r="B254" t="s">
        <v>33</v>
      </c>
      <c r="C254" t="s">
        <v>8</v>
      </c>
      <c r="D254">
        <v>0</v>
      </c>
      <c r="E254">
        <v>0</v>
      </c>
      <c r="F254">
        <v>3</v>
      </c>
      <c r="G254">
        <v>0</v>
      </c>
      <c r="H254" t="s">
        <v>8</v>
      </c>
      <c r="I254">
        <v>3</v>
      </c>
    </row>
    <row r="255" spans="1:9" x14ac:dyDescent="0.3">
      <c r="A255">
        <v>116</v>
      </c>
      <c r="B255" t="s">
        <v>33</v>
      </c>
      <c r="C255" t="s">
        <v>9</v>
      </c>
      <c r="D255">
        <v>0</v>
      </c>
      <c r="E255">
        <v>0</v>
      </c>
      <c r="F255">
        <v>28</v>
      </c>
      <c r="G255">
        <v>0</v>
      </c>
      <c r="H255" t="s">
        <v>9</v>
      </c>
      <c r="I255">
        <v>28</v>
      </c>
    </row>
    <row r="256" spans="1:9" x14ac:dyDescent="0.3">
      <c r="A256">
        <v>117</v>
      </c>
      <c r="B256" t="s">
        <v>7</v>
      </c>
      <c r="C256" t="s">
        <v>11</v>
      </c>
      <c r="D256">
        <v>4</v>
      </c>
      <c r="E256">
        <v>0</v>
      </c>
      <c r="F256">
        <v>0</v>
      </c>
      <c r="G256">
        <v>5</v>
      </c>
      <c r="H256" t="s">
        <v>63</v>
      </c>
      <c r="I256">
        <v>9</v>
      </c>
    </row>
    <row r="257" spans="1:9" x14ac:dyDescent="0.3">
      <c r="A257">
        <v>117</v>
      </c>
      <c r="B257" t="s">
        <v>7</v>
      </c>
      <c r="C257" t="s">
        <v>12</v>
      </c>
      <c r="D257">
        <v>3</v>
      </c>
      <c r="E257">
        <v>0</v>
      </c>
      <c r="F257">
        <v>0</v>
      </c>
      <c r="G257">
        <v>6</v>
      </c>
      <c r="H257" t="s">
        <v>64</v>
      </c>
      <c r="I257">
        <v>9</v>
      </c>
    </row>
    <row r="258" spans="1:9" x14ac:dyDescent="0.3">
      <c r="A258">
        <v>117</v>
      </c>
      <c r="B258" t="s">
        <v>7</v>
      </c>
      <c r="C258" t="s">
        <v>14</v>
      </c>
      <c r="D258">
        <v>4</v>
      </c>
      <c r="E258">
        <v>0</v>
      </c>
      <c r="F258">
        <v>0</v>
      </c>
      <c r="G258">
        <v>6</v>
      </c>
      <c r="H258" t="s">
        <v>62</v>
      </c>
      <c r="I258">
        <v>10</v>
      </c>
    </row>
    <row r="259" spans="1:9" x14ac:dyDescent="0.3">
      <c r="A259">
        <v>117</v>
      </c>
      <c r="B259" t="s">
        <v>7</v>
      </c>
      <c r="C259" t="s">
        <v>15</v>
      </c>
      <c r="D259">
        <v>1</v>
      </c>
      <c r="E259">
        <v>0</v>
      </c>
      <c r="F259">
        <v>0</v>
      </c>
      <c r="G259">
        <v>4</v>
      </c>
      <c r="H259" t="s">
        <v>65</v>
      </c>
      <c r="I259">
        <v>5</v>
      </c>
    </row>
    <row r="260" spans="1:9" x14ac:dyDescent="0.3">
      <c r="A260">
        <v>117</v>
      </c>
      <c r="B260" t="s">
        <v>7</v>
      </c>
      <c r="C260" t="s">
        <v>16</v>
      </c>
      <c r="D260">
        <v>0</v>
      </c>
      <c r="E260">
        <v>0</v>
      </c>
      <c r="F260">
        <v>0</v>
      </c>
      <c r="G260">
        <v>4</v>
      </c>
      <c r="H260" t="s">
        <v>61</v>
      </c>
      <c r="I260">
        <v>4</v>
      </c>
    </row>
    <row r="261" spans="1:9" x14ac:dyDescent="0.3">
      <c r="A261">
        <v>117</v>
      </c>
      <c r="B261" t="s">
        <v>7</v>
      </c>
      <c r="C261" t="s">
        <v>17</v>
      </c>
      <c r="D261">
        <v>2</v>
      </c>
      <c r="E261">
        <v>0</v>
      </c>
      <c r="F261">
        <v>0</v>
      </c>
      <c r="G261">
        <v>5</v>
      </c>
      <c r="H261" t="s">
        <v>66</v>
      </c>
      <c r="I261">
        <v>7</v>
      </c>
    </row>
    <row r="262" spans="1:9" x14ac:dyDescent="0.3">
      <c r="A262">
        <v>117</v>
      </c>
      <c r="B262" t="s">
        <v>33</v>
      </c>
      <c r="C262" t="s">
        <v>8</v>
      </c>
      <c r="D262">
        <v>0</v>
      </c>
      <c r="E262">
        <v>0</v>
      </c>
      <c r="F262">
        <v>3</v>
      </c>
      <c r="G262">
        <v>0</v>
      </c>
      <c r="H262" t="s">
        <v>8</v>
      </c>
      <c r="I262">
        <v>3</v>
      </c>
    </row>
    <row r="263" spans="1:9" x14ac:dyDescent="0.3">
      <c r="A263">
        <v>117</v>
      </c>
      <c r="B263" t="s">
        <v>33</v>
      </c>
      <c r="C263" t="s">
        <v>9</v>
      </c>
      <c r="D263">
        <v>0</v>
      </c>
      <c r="E263">
        <v>0</v>
      </c>
      <c r="F263">
        <v>16</v>
      </c>
      <c r="G263">
        <v>0</v>
      </c>
      <c r="H263" t="s">
        <v>9</v>
      </c>
      <c r="I263">
        <v>16</v>
      </c>
    </row>
    <row r="264" spans="1:9" x14ac:dyDescent="0.3">
      <c r="A264">
        <v>117</v>
      </c>
      <c r="B264" t="s">
        <v>33</v>
      </c>
      <c r="C264" t="s">
        <v>10</v>
      </c>
      <c r="D264">
        <v>75</v>
      </c>
      <c r="E264">
        <v>13</v>
      </c>
      <c r="F264">
        <v>0</v>
      </c>
      <c r="G264">
        <v>50</v>
      </c>
      <c r="H264" t="s">
        <v>68</v>
      </c>
      <c r="I264">
        <v>138</v>
      </c>
    </row>
    <row r="265" spans="1:9" x14ac:dyDescent="0.3">
      <c r="A265">
        <v>117</v>
      </c>
      <c r="B265" t="s">
        <v>33</v>
      </c>
      <c r="C265" t="s">
        <v>13</v>
      </c>
      <c r="D265">
        <v>8</v>
      </c>
      <c r="E265">
        <v>0</v>
      </c>
      <c r="F265">
        <v>0</v>
      </c>
      <c r="G265">
        <v>8</v>
      </c>
      <c r="H265" t="s">
        <v>69</v>
      </c>
      <c r="I265">
        <v>16</v>
      </c>
    </row>
    <row r="266" spans="1:9" x14ac:dyDescent="0.3">
      <c r="A266">
        <v>117</v>
      </c>
      <c r="B266" t="s">
        <v>33</v>
      </c>
      <c r="C266" t="s">
        <v>14</v>
      </c>
      <c r="D266">
        <v>1</v>
      </c>
      <c r="E266">
        <v>0</v>
      </c>
      <c r="F266">
        <v>0</v>
      </c>
      <c r="G266">
        <v>8</v>
      </c>
      <c r="H266" t="s">
        <v>62</v>
      </c>
      <c r="I266">
        <v>9</v>
      </c>
    </row>
    <row r="267" spans="1:9" x14ac:dyDescent="0.3">
      <c r="A267">
        <v>117</v>
      </c>
      <c r="B267" t="s">
        <v>33</v>
      </c>
      <c r="C267" t="s">
        <v>28</v>
      </c>
      <c r="D267">
        <v>0</v>
      </c>
      <c r="E267">
        <v>0</v>
      </c>
      <c r="F267">
        <v>0</v>
      </c>
      <c r="G267">
        <v>3</v>
      </c>
      <c r="H267" t="s">
        <v>28</v>
      </c>
      <c r="I267">
        <v>3</v>
      </c>
    </row>
    <row r="268" spans="1:9" x14ac:dyDescent="0.3">
      <c r="A268">
        <v>118</v>
      </c>
      <c r="B268" t="s">
        <v>7</v>
      </c>
      <c r="C268" t="s">
        <v>11</v>
      </c>
      <c r="D268">
        <v>16</v>
      </c>
      <c r="E268">
        <v>10</v>
      </c>
      <c r="F268">
        <v>0</v>
      </c>
      <c r="G268">
        <v>19</v>
      </c>
      <c r="H268" t="s">
        <v>63</v>
      </c>
      <c r="I268">
        <v>45</v>
      </c>
    </row>
    <row r="269" spans="1:9" x14ac:dyDescent="0.3">
      <c r="A269">
        <v>118</v>
      </c>
      <c r="B269" t="s">
        <v>7</v>
      </c>
      <c r="C269" t="s">
        <v>12</v>
      </c>
      <c r="D269">
        <v>18</v>
      </c>
      <c r="E269">
        <v>9</v>
      </c>
      <c r="F269">
        <v>0</v>
      </c>
      <c r="G269">
        <v>21</v>
      </c>
      <c r="H269" t="s">
        <v>64</v>
      </c>
      <c r="I269">
        <v>48</v>
      </c>
    </row>
    <row r="270" spans="1:9" x14ac:dyDescent="0.3">
      <c r="A270">
        <v>118</v>
      </c>
      <c r="B270" t="s">
        <v>7</v>
      </c>
      <c r="C270" t="s">
        <v>14</v>
      </c>
      <c r="D270">
        <v>8</v>
      </c>
      <c r="E270">
        <v>2</v>
      </c>
      <c r="F270">
        <v>0</v>
      </c>
      <c r="G270">
        <v>16</v>
      </c>
      <c r="H270" t="s">
        <v>62</v>
      </c>
      <c r="I270">
        <v>26</v>
      </c>
    </row>
    <row r="271" spans="1:9" x14ac:dyDescent="0.3">
      <c r="A271">
        <v>118</v>
      </c>
      <c r="B271" t="s">
        <v>7</v>
      </c>
      <c r="C271" t="s">
        <v>15</v>
      </c>
      <c r="D271">
        <v>3</v>
      </c>
      <c r="E271">
        <v>4</v>
      </c>
      <c r="F271">
        <v>0</v>
      </c>
      <c r="G271">
        <v>12</v>
      </c>
      <c r="H271" t="s">
        <v>65</v>
      </c>
      <c r="I271">
        <v>19</v>
      </c>
    </row>
    <row r="272" spans="1:9" x14ac:dyDescent="0.3">
      <c r="A272">
        <v>118</v>
      </c>
      <c r="B272" t="s">
        <v>7</v>
      </c>
      <c r="C272" t="s">
        <v>16</v>
      </c>
      <c r="D272">
        <v>9</v>
      </c>
      <c r="E272">
        <v>4</v>
      </c>
      <c r="F272">
        <v>0</v>
      </c>
      <c r="G272">
        <v>21</v>
      </c>
      <c r="H272" t="s">
        <v>61</v>
      </c>
      <c r="I272">
        <v>34</v>
      </c>
    </row>
    <row r="273" spans="1:9" x14ac:dyDescent="0.3">
      <c r="A273">
        <v>118</v>
      </c>
      <c r="B273" t="s">
        <v>7</v>
      </c>
      <c r="C273" t="s">
        <v>17</v>
      </c>
      <c r="D273">
        <v>2</v>
      </c>
      <c r="E273">
        <v>0</v>
      </c>
      <c r="F273">
        <v>0</v>
      </c>
      <c r="G273">
        <v>8</v>
      </c>
      <c r="H273" t="s">
        <v>66</v>
      </c>
      <c r="I273">
        <v>10</v>
      </c>
    </row>
    <row r="274" spans="1:9" x14ac:dyDescent="0.3">
      <c r="A274">
        <v>118</v>
      </c>
      <c r="B274" t="s">
        <v>33</v>
      </c>
      <c r="C274" t="s">
        <v>8</v>
      </c>
      <c r="D274">
        <v>0</v>
      </c>
      <c r="E274">
        <v>0</v>
      </c>
      <c r="F274">
        <v>3</v>
      </c>
      <c r="G274">
        <v>0</v>
      </c>
      <c r="H274" t="s">
        <v>8</v>
      </c>
      <c r="I274">
        <v>3</v>
      </c>
    </row>
    <row r="275" spans="1:9" x14ac:dyDescent="0.3">
      <c r="A275">
        <v>118</v>
      </c>
      <c r="B275" t="s">
        <v>33</v>
      </c>
      <c r="C275" t="s">
        <v>9</v>
      </c>
      <c r="D275">
        <v>0</v>
      </c>
      <c r="E275">
        <v>0</v>
      </c>
      <c r="F275">
        <v>28</v>
      </c>
      <c r="G275">
        <v>0</v>
      </c>
      <c r="H275" t="s">
        <v>9</v>
      </c>
      <c r="I275">
        <v>28</v>
      </c>
    </row>
    <row r="276" spans="1:9" x14ac:dyDescent="0.3">
      <c r="A276">
        <v>118</v>
      </c>
      <c r="B276" t="s">
        <v>33</v>
      </c>
      <c r="C276" t="s">
        <v>10</v>
      </c>
      <c r="D276">
        <v>3</v>
      </c>
      <c r="E276">
        <v>0</v>
      </c>
      <c r="F276">
        <v>0</v>
      </c>
      <c r="G276">
        <v>4</v>
      </c>
      <c r="H276" t="s">
        <v>68</v>
      </c>
      <c r="I276">
        <v>7</v>
      </c>
    </row>
    <row r="277" spans="1:9" x14ac:dyDescent="0.3">
      <c r="A277">
        <v>118</v>
      </c>
      <c r="B277" t="s">
        <v>33</v>
      </c>
      <c r="C277" t="s">
        <v>11</v>
      </c>
      <c r="D277">
        <v>7</v>
      </c>
      <c r="E277">
        <v>0</v>
      </c>
      <c r="F277">
        <v>0</v>
      </c>
      <c r="G277">
        <v>11</v>
      </c>
      <c r="H277" t="s">
        <v>63</v>
      </c>
      <c r="I277">
        <v>18</v>
      </c>
    </row>
    <row r="278" spans="1:9" x14ac:dyDescent="0.3">
      <c r="A278">
        <v>118</v>
      </c>
      <c r="B278" t="s">
        <v>33</v>
      </c>
      <c r="C278" t="s">
        <v>12</v>
      </c>
      <c r="D278">
        <v>23</v>
      </c>
      <c r="E278">
        <v>0</v>
      </c>
      <c r="F278">
        <v>0</v>
      </c>
      <c r="G278">
        <v>13</v>
      </c>
      <c r="H278" t="s">
        <v>64</v>
      </c>
      <c r="I278">
        <v>36</v>
      </c>
    </row>
    <row r="279" spans="1:9" x14ac:dyDescent="0.3">
      <c r="A279">
        <v>118</v>
      </c>
      <c r="B279" t="s">
        <v>33</v>
      </c>
      <c r="C279" t="s">
        <v>14</v>
      </c>
      <c r="D279">
        <v>3</v>
      </c>
      <c r="E279">
        <v>0</v>
      </c>
      <c r="F279">
        <v>0</v>
      </c>
      <c r="G279">
        <v>4</v>
      </c>
      <c r="H279" t="s">
        <v>62</v>
      </c>
      <c r="I279">
        <v>7</v>
      </c>
    </row>
    <row r="280" spans="1:9" x14ac:dyDescent="0.3">
      <c r="A280">
        <v>118</v>
      </c>
      <c r="B280" t="s">
        <v>33</v>
      </c>
      <c r="C280" t="s">
        <v>15</v>
      </c>
      <c r="D280">
        <v>2</v>
      </c>
      <c r="E280">
        <v>0</v>
      </c>
      <c r="F280">
        <v>0</v>
      </c>
      <c r="G280">
        <v>8</v>
      </c>
      <c r="H280" t="s">
        <v>65</v>
      </c>
      <c r="I280">
        <v>10</v>
      </c>
    </row>
    <row r="281" spans="1:9" x14ac:dyDescent="0.3">
      <c r="A281">
        <v>118</v>
      </c>
      <c r="B281" t="s">
        <v>33</v>
      </c>
      <c r="C281" t="s">
        <v>17</v>
      </c>
      <c r="D281">
        <v>2</v>
      </c>
      <c r="E281">
        <v>0</v>
      </c>
      <c r="F281">
        <v>0</v>
      </c>
      <c r="G281">
        <v>10</v>
      </c>
      <c r="H281" t="s">
        <v>66</v>
      </c>
      <c r="I281">
        <v>12</v>
      </c>
    </row>
    <row r="282" spans="1:9" x14ac:dyDescent="0.3">
      <c r="A282">
        <v>119</v>
      </c>
      <c r="B282" t="s">
        <v>7</v>
      </c>
      <c r="C282" t="s">
        <v>11</v>
      </c>
      <c r="D282">
        <v>5</v>
      </c>
      <c r="E282">
        <v>1</v>
      </c>
      <c r="F282">
        <v>0</v>
      </c>
      <c r="G282">
        <v>12</v>
      </c>
      <c r="H282" t="s">
        <v>63</v>
      </c>
      <c r="I282">
        <v>18</v>
      </c>
    </row>
    <row r="283" spans="1:9" x14ac:dyDescent="0.3">
      <c r="A283">
        <v>119</v>
      </c>
      <c r="B283" t="s">
        <v>7</v>
      </c>
      <c r="C283" t="s">
        <v>12</v>
      </c>
      <c r="D283">
        <v>9</v>
      </c>
      <c r="E283">
        <v>4</v>
      </c>
      <c r="F283">
        <v>0</v>
      </c>
      <c r="G283">
        <v>15</v>
      </c>
      <c r="H283" t="s">
        <v>64</v>
      </c>
      <c r="I283">
        <v>28</v>
      </c>
    </row>
    <row r="284" spans="1:9" x14ac:dyDescent="0.3">
      <c r="A284">
        <v>119</v>
      </c>
      <c r="B284" t="s">
        <v>7</v>
      </c>
      <c r="C284" t="s">
        <v>14</v>
      </c>
      <c r="D284">
        <v>6</v>
      </c>
      <c r="E284">
        <v>3</v>
      </c>
      <c r="F284">
        <v>0</v>
      </c>
      <c r="G284">
        <v>10</v>
      </c>
      <c r="H284" t="s">
        <v>62</v>
      </c>
      <c r="I284">
        <v>19</v>
      </c>
    </row>
    <row r="285" spans="1:9" x14ac:dyDescent="0.3">
      <c r="A285">
        <v>119</v>
      </c>
      <c r="B285" t="s">
        <v>7</v>
      </c>
      <c r="C285" t="s">
        <v>15</v>
      </c>
      <c r="D285">
        <v>13</v>
      </c>
      <c r="E285">
        <v>4</v>
      </c>
      <c r="F285">
        <v>0</v>
      </c>
      <c r="G285">
        <v>17</v>
      </c>
      <c r="H285" t="s">
        <v>65</v>
      </c>
      <c r="I285">
        <v>34</v>
      </c>
    </row>
    <row r="286" spans="1:9" x14ac:dyDescent="0.3">
      <c r="A286">
        <v>119</v>
      </c>
      <c r="B286" t="s">
        <v>7</v>
      </c>
      <c r="C286" t="s">
        <v>16</v>
      </c>
      <c r="D286">
        <v>10</v>
      </c>
      <c r="E286">
        <v>19</v>
      </c>
      <c r="F286">
        <v>0</v>
      </c>
      <c r="G286">
        <v>17</v>
      </c>
      <c r="H286" t="s">
        <v>61</v>
      </c>
      <c r="I286">
        <v>46</v>
      </c>
    </row>
    <row r="287" spans="1:9" x14ac:dyDescent="0.3">
      <c r="A287">
        <v>119</v>
      </c>
      <c r="B287" t="s">
        <v>7</v>
      </c>
      <c r="C287" t="s">
        <v>17</v>
      </c>
      <c r="D287">
        <v>1</v>
      </c>
      <c r="E287">
        <v>19</v>
      </c>
      <c r="F287">
        <v>0</v>
      </c>
      <c r="G287">
        <v>12</v>
      </c>
      <c r="H287" t="s">
        <v>66</v>
      </c>
      <c r="I287">
        <v>32</v>
      </c>
    </row>
    <row r="288" spans="1:9" x14ac:dyDescent="0.3">
      <c r="A288">
        <v>119</v>
      </c>
      <c r="B288" t="s">
        <v>33</v>
      </c>
      <c r="C288" t="s">
        <v>8</v>
      </c>
      <c r="D288">
        <v>0</v>
      </c>
      <c r="E288">
        <v>0</v>
      </c>
      <c r="F288">
        <v>6</v>
      </c>
      <c r="G288">
        <v>0</v>
      </c>
      <c r="H288" t="s">
        <v>8</v>
      </c>
      <c r="I288">
        <v>6</v>
      </c>
    </row>
    <row r="289" spans="1:9" x14ac:dyDescent="0.3">
      <c r="A289">
        <v>119</v>
      </c>
      <c r="B289" t="s">
        <v>33</v>
      </c>
      <c r="C289" t="s">
        <v>9</v>
      </c>
      <c r="D289">
        <v>0</v>
      </c>
      <c r="E289">
        <v>0</v>
      </c>
      <c r="F289">
        <v>50</v>
      </c>
      <c r="G289">
        <v>0</v>
      </c>
      <c r="H289" t="s">
        <v>9</v>
      </c>
      <c r="I289">
        <v>50</v>
      </c>
    </row>
    <row r="290" spans="1:9" x14ac:dyDescent="0.3">
      <c r="A290">
        <v>119</v>
      </c>
      <c r="B290" t="s">
        <v>33</v>
      </c>
      <c r="C290" t="s">
        <v>12</v>
      </c>
      <c r="D290">
        <v>3</v>
      </c>
      <c r="E290">
        <v>0</v>
      </c>
      <c r="F290">
        <v>0</v>
      </c>
      <c r="G290">
        <v>2</v>
      </c>
      <c r="H290" t="s">
        <v>64</v>
      </c>
      <c r="I290">
        <v>5</v>
      </c>
    </row>
    <row r="291" spans="1:9" x14ac:dyDescent="0.3">
      <c r="A291">
        <v>119</v>
      </c>
      <c r="B291" t="s">
        <v>33</v>
      </c>
      <c r="C291" t="s">
        <v>13</v>
      </c>
      <c r="D291">
        <v>2</v>
      </c>
      <c r="E291">
        <v>2</v>
      </c>
      <c r="F291">
        <v>0</v>
      </c>
      <c r="G291">
        <v>4</v>
      </c>
      <c r="H291" t="s">
        <v>69</v>
      </c>
      <c r="I291">
        <v>8</v>
      </c>
    </row>
    <row r="292" spans="1:9" x14ac:dyDescent="0.3">
      <c r="A292">
        <v>119</v>
      </c>
      <c r="B292" t="s">
        <v>33</v>
      </c>
      <c r="C292" t="s">
        <v>14</v>
      </c>
      <c r="D292">
        <v>6</v>
      </c>
      <c r="E292">
        <v>3</v>
      </c>
      <c r="F292">
        <v>0</v>
      </c>
      <c r="G292">
        <v>7</v>
      </c>
      <c r="H292" t="s">
        <v>62</v>
      </c>
      <c r="I292">
        <v>16</v>
      </c>
    </row>
    <row r="293" spans="1:9" x14ac:dyDescent="0.3">
      <c r="A293">
        <v>119</v>
      </c>
      <c r="B293" t="s">
        <v>33</v>
      </c>
      <c r="C293" t="s">
        <v>15</v>
      </c>
      <c r="D293">
        <v>5</v>
      </c>
      <c r="E293">
        <v>0</v>
      </c>
      <c r="F293">
        <v>0</v>
      </c>
      <c r="G293">
        <v>3</v>
      </c>
      <c r="H293" t="s">
        <v>65</v>
      </c>
      <c r="I293">
        <v>8</v>
      </c>
    </row>
    <row r="294" spans="1:9" x14ac:dyDescent="0.3">
      <c r="A294">
        <v>119</v>
      </c>
      <c r="B294" t="s">
        <v>33</v>
      </c>
      <c r="C294" t="s">
        <v>17</v>
      </c>
      <c r="D294">
        <v>3</v>
      </c>
      <c r="E294">
        <v>10</v>
      </c>
      <c r="F294">
        <v>0</v>
      </c>
      <c r="G294">
        <v>6</v>
      </c>
      <c r="H294" t="s">
        <v>66</v>
      </c>
      <c r="I294">
        <v>19</v>
      </c>
    </row>
    <row r="295" spans="1:9" x14ac:dyDescent="0.3">
      <c r="A295">
        <v>119</v>
      </c>
      <c r="B295" t="s">
        <v>33</v>
      </c>
      <c r="C295" t="s">
        <v>28</v>
      </c>
      <c r="D295">
        <v>7</v>
      </c>
      <c r="E295">
        <v>0</v>
      </c>
      <c r="F295">
        <v>0</v>
      </c>
      <c r="G295">
        <v>3</v>
      </c>
      <c r="H295" t="s">
        <v>28</v>
      </c>
      <c r="I295">
        <v>10</v>
      </c>
    </row>
    <row r="296" spans="1:9" x14ac:dyDescent="0.3">
      <c r="A296">
        <v>119</v>
      </c>
      <c r="B296" t="s">
        <v>33</v>
      </c>
      <c r="C296" t="s">
        <v>29</v>
      </c>
      <c r="D296">
        <v>1</v>
      </c>
      <c r="E296">
        <v>0</v>
      </c>
      <c r="F296">
        <v>0</v>
      </c>
      <c r="G296">
        <v>2</v>
      </c>
      <c r="H296" t="s">
        <v>67</v>
      </c>
      <c r="I296">
        <v>3</v>
      </c>
    </row>
    <row r="297" spans="1:9" x14ac:dyDescent="0.3">
      <c r="A297">
        <v>120</v>
      </c>
      <c r="B297" t="s">
        <v>7</v>
      </c>
      <c r="C297" t="s">
        <v>11</v>
      </c>
      <c r="D297">
        <v>4</v>
      </c>
      <c r="E297">
        <v>0</v>
      </c>
      <c r="F297">
        <v>0</v>
      </c>
      <c r="G297">
        <v>5</v>
      </c>
      <c r="H297" t="s">
        <v>63</v>
      </c>
      <c r="I297">
        <v>9</v>
      </c>
    </row>
    <row r="298" spans="1:9" x14ac:dyDescent="0.3">
      <c r="A298">
        <v>120</v>
      </c>
      <c r="B298" t="s">
        <v>7</v>
      </c>
      <c r="C298" t="s">
        <v>12</v>
      </c>
      <c r="D298">
        <v>3</v>
      </c>
      <c r="E298">
        <v>0</v>
      </c>
      <c r="F298">
        <v>0</v>
      </c>
      <c r="G298">
        <v>4</v>
      </c>
      <c r="H298" t="s">
        <v>64</v>
      </c>
      <c r="I298">
        <v>7</v>
      </c>
    </row>
    <row r="299" spans="1:9" x14ac:dyDescent="0.3">
      <c r="A299">
        <v>120</v>
      </c>
      <c r="B299" t="s">
        <v>7</v>
      </c>
      <c r="C299" t="s">
        <v>14</v>
      </c>
      <c r="D299">
        <v>0</v>
      </c>
      <c r="E299">
        <v>0</v>
      </c>
      <c r="F299">
        <v>0</v>
      </c>
      <c r="G299">
        <v>3</v>
      </c>
      <c r="H299" t="s">
        <v>62</v>
      </c>
      <c r="I299">
        <v>3</v>
      </c>
    </row>
    <row r="300" spans="1:9" x14ac:dyDescent="0.3">
      <c r="A300">
        <v>120</v>
      </c>
      <c r="B300" t="s">
        <v>7</v>
      </c>
      <c r="C300" t="s">
        <v>15</v>
      </c>
      <c r="D300">
        <v>0</v>
      </c>
      <c r="E300">
        <v>0</v>
      </c>
      <c r="F300">
        <v>0</v>
      </c>
      <c r="G300">
        <v>3</v>
      </c>
      <c r="H300" t="s">
        <v>65</v>
      </c>
      <c r="I300">
        <v>3</v>
      </c>
    </row>
    <row r="301" spans="1:9" x14ac:dyDescent="0.3">
      <c r="A301">
        <v>120</v>
      </c>
      <c r="B301" t="s">
        <v>7</v>
      </c>
      <c r="C301" t="s">
        <v>16</v>
      </c>
      <c r="D301">
        <v>1</v>
      </c>
      <c r="E301">
        <v>0</v>
      </c>
      <c r="F301">
        <v>0</v>
      </c>
      <c r="G301">
        <v>3</v>
      </c>
      <c r="H301" t="s">
        <v>61</v>
      </c>
      <c r="I301">
        <v>4</v>
      </c>
    </row>
    <row r="302" spans="1:9" x14ac:dyDescent="0.3">
      <c r="A302">
        <v>120</v>
      </c>
      <c r="B302" t="s">
        <v>7</v>
      </c>
      <c r="C302" t="s">
        <v>17</v>
      </c>
      <c r="D302">
        <v>1</v>
      </c>
      <c r="E302">
        <v>0</v>
      </c>
      <c r="F302">
        <v>0</v>
      </c>
      <c r="G302">
        <v>2</v>
      </c>
      <c r="H302" t="s">
        <v>66</v>
      </c>
      <c r="I302">
        <v>3</v>
      </c>
    </row>
    <row r="303" spans="1:9" x14ac:dyDescent="0.3">
      <c r="A303">
        <v>120</v>
      </c>
      <c r="B303" t="s">
        <v>33</v>
      </c>
      <c r="C303" t="s">
        <v>8</v>
      </c>
      <c r="D303">
        <v>0</v>
      </c>
      <c r="E303">
        <v>0</v>
      </c>
      <c r="F303">
        <v>5</v>
      </c>
      <c r="G303">
        <v>0</v>
      </c>
      <c r="H303" t="s">
        <v>8</v>
      </c>
      <c r="I303">
        <v>5</v>
      </c>
    </row>
    <row r="304" spans="1:9" x14ac:dyDescent="0.3">
      <c r="A304">
        <v>120</v>
      </c>
      <c r="B304" t="s">
        <v>33</v>
      </c>
      <c r="C304" t="s">
        <v>9</v>
      </c>
      <c r="D304">
        <v>0</v>
      </c>
      <c r="E304">
        <v>0</v>
      </c>
      <c r="F304">
        <v>45</v>
      </c>
      <c r="G304">
        <v>0</v>
      </c>
      <c r="H304" t="s">
        <v>9</v>
      </c>
      <c r="I304">
        <v>45</v>
      </c>
    </row>
    <row r="305" spans="1:9" x14ac:dyDescent="0.3">
      <c r="A305">
        <v>120</v>
      </c>
      <c r="B305" t="s">
        <v>33</v>
      </c>
      <c r="C305" t="s">
        <v>11</v>
      </c>
      <c r="D305">
        <v>9</v>
      </c>
      <c r="E305">
        <v>7</v>
      </c>
      <c r="F305">
        <v>0</v>
      </c>
      <c r="G305">
        <v>14</v>
      </c>
      <c r="H305" t="s">
        <v>63</v>
      </c>
      <c r="I305">
        <v>30</v>
      </c>
    </row>
    <row r="306" spans="1:9" x14ac:dyDescent="0.3">
      <c r="A306">
        <v>120</v>
      </c>
      <c r="B306" t="s">
        <v>33</v>
      </c>
      <c r="C306" t="s">
        <v>12</v>
      </c>
      <c r="D306">
        <v>34</v>
      </c>
      <c r="E306">
        <v>0</v>
      </c>
      <c r="F306">
        <v>0</v>
      </c>
      <c r="G306">
        <v>22</v>
      </c>
      <c r="H306" t="s">
        <v>64</v>
      </c>
      <c r="I306">
        <v>56</v>
      </c>
    </row>
    <row r="307" spans="1:9" x14ac:dyDescent="0.3">
      <c r="A307">
        <v>120</v>
      </c>
      <c r="B307" t="s">
        <v>33</v>
      </c>
      <c r="C307" t="s">
        <v>14</v>
      </c>
      <c r="D307">
        <v>14</v>
      </c>
      <c r="E307">
        <v>0</v>
      </c>
      <c r="F307">
        <v>0</v>
      </c>
      <c r="G307">
        <v>16</v>
      </c>
      <c r="H307" t="s">
        <v>62</v>
      </c>
      <c r="I307">
        <v>30</v>
      </c>
    </row>
    <row r="308" spans="1:9" x14ac:dyDescent="0.3">
      <c r="A308">
        <v>120</v>
      </c>
      <c r="B308" t="s">
        <v>33</v>
      </c>
      <c r="C308" t="s">
        <v>15</v>
      </c>
      <c r="D308">
        <v>4</v>
      </c>
      <c r="E308">
        <v>0</v>
      </c>
      <c r="F308">
        <v>0</v>
      </c>
      <c r="G308">
        <v>12</v>
      </c>
      <c r="H308" t="s">
        <v>65</v>
      </c>
      <c r="I308">
        <v>16</v>
      </c>
    </row>
    <row r="309" spans="1:9" x14ac:dyDescent="0.3">
      <c r="A309">
        <v>120</v>
      </c>
      <c r="B309" t="s">
        <v>33</v>
      </c>
      <c r="C309" t="s">
        <v>16</v>
      </c>
      <c r="D309">
        <v>6</v>
      </c>
      <c r="E309">
        <v>6</v>
      </c>
      <c r="F309">
        <v>0</v>
      </c>
      <c r="G309">
        <v>14</v>
      </c>
      <c r="H309" t="s">
        <v>61</v>
      </c>
      <c r="I309">
        <v>26</v>
      </c>
    </row>
    <row r="310" spans="1:9" x14ac:dyDescent="0.3">
      <c r="A310">
        <v>120</v>
      </c>
      <c r="B310" t="s">
        <v>33</v>
      </c>
      <c r="C310" t="s">
        <v>17</v>
      </c>
      <c r="D310">
        <v>7</v>
      </c>
      <c r="E310">
        <v>6</v>
      </c>
      <c r="F310">
        <v>0</v>
      </c>
      <c r="G310">
        <v>17</v>
      </c>
      <c r="H310" t="s">
        <v>66</v>
      </c>
      <c r="I310">
        <v>30</v>
      </c>
    </row>
    <row r="311" spans="1:9" x14ac:dyDescent="0.3">
      <c r="A311">
        <v>121</v>
      </c>
      <c r="B311" t="s">
        <v>7</v>
      </c>
      <c r="C311" t="s">
        <v>11</v>
      </c>
      <c r="D311">
        <v>30</v>
      </c>
      <c r="E311">
        <v>3</v>
      </c>
      <c r="F311">
        <v>0</v>
      </c>
      <c r="G311">
        <v>20</v>
      </c>
      <c r="H311" t="s">
        <v>63</v>
      </c>
      <c r="I311">
        <v>53</v>
      </c>
    </row>
    <row r="312" spans="1:9" x14ac:dyDescent="0.3">
      <c r="A312">
        <v>121</v>
      </c>
      <c r="B312" t="s">
        <v>7</v>
      </c>
      <c r="C312" t="s">
        <v>12</v>
      </c>
      <c r="D312">
        <v>34</v>
      </c>
      <c r="E312">
        <v>4</v>
      </c>
      <c r="F312">
        <v>0</v>
      </c>
      <c r="G312">
        <v>37</v>
      </c>
      <c r="H312" t="s">
        <v>64</v>
      </c>
      <c r="I312">
        <v>75</v>
      </c>
    </row>
    <row r="313" spans="1:9" x14ac:dyDescent="0.3">
      <c r="A313">
        <v>121</v>
      </c>
      <c r="B313" t="s">
        <v>7</v>
      </c>
      <c r="C313" t="s">
        <v>14</v>
      </c>
      <c r="D313">
        <v>9</v>
      </c>
      <c r="E313">
        <v>22</v>
      </c>
      <c r="F313">
        <v>0</v>
      </c>
      <c r="G313">
        <v>30</v>
      </c>
      <c r="H313" t="s">
        <v>62</v>
      </c>
      <c r="I313">
        <v>61</v>
      </c>
    </row>
    <row r="314" spans="1:9" x14ac:dyDescent="0.3">
      <c r="A314">
        <v>121</v>
      </c>
      <c r="B314" t="s">
        <v>7</v>
      </c>
      <c r="C314" t="s">
        <v>15</v>
      </c>
      <c r="D314">
        <v>9</v>
      </c>
      <c r="E314">
        <v>2</v>
      </c>
      <c r="F314">
        <v>0</v>
      </c>
      <c r="G314">
        <v>26</v>
      </c>
      <c r="H314" t="s">
        <v>65</v>
      </c>
      <c r="I314">
        <v>37</v>
      </c>
    </row>
    <row r="315" spans="1:9" x14ac:dyDescent="0.3">
      <c r="A315">
        <v>121</v>
      </c>
      <c r="B315" t="s">
        <v>7</v>
      </c>
      <c r="C315" t="s">
        <v>16</v>
      </c>
      <c r="D315">
        <v>10</v>
      </c>
      <c r="E315">
        <v>1</v>
      </c>
      <c r="F315">
        <v>0</v>
      </c>
      <c r="G315">
        <v>12</v>
      </c>
      <c r="H315" t="s">
        <v>61</v>
      </c>
      <c r="I315">
        <v>23</v>
      </c>
    </row>
    <row r="316" spans="1:9" x14ac:dyDescent="0.3">
      <c r="A316">
        <v>121</v>
      </c>
      <c r="B316" t="s">
        <v>33</v>
      </c>
      <c r="C316" t="s">
        <v>8</v>
      </c>
      <c r="D316">
        <v>0</v>
      </c>
      <c r="E316">
        <v>0</v>
      </c>
      <c r="F316">
        <v>2</v>
      </c>
      <c r="G316">
        <v>0</v>
      </c>
      <c r="H316" t="s">
        <v>8</v>
      </c>
      <c r="I316">
        <v>2</v>
      </c>
    </row>
    <row r="317" spans="1:9" x14ac:dyDescent="0.3">
      <c r="A317">
        <v>121</v>
      </c>
      <c r="B317" t="s">
        <v>33</v>
      </c>
      <c r="C317" t="s">
        <v>9</v>
      </c>
      <c r="D317">
        <v>0</v>
      </c>
      <c r="E317">
        <v>0</v>
      </c>
      <c r="F317">
        <v>58</v>
      </c>
      <c r="G317">
        <v>0</v>
      </c>
      <c r="H317" t="s">
        <v>9</v>
      </c>
      <c r="I317">
        <v>58</v>
      </c>
    </row>
    <row r="318" spans="1:9" x14ac:dyDescent="0.3">
      <c r="A318">
        <v>121</v>
      </c>
      <c r="B318" t="s">
        <v>33</v>
      </c>
      <c r="C318" t="s">
        <v>11</v>
      </c>
      <c r="D318">
        <v>0</v>
      </c>
      <c r="E318">
        <v>0</v>
      </c>
      <c r="F318">
        <v>0</v>
      </c>
      <c r="G318">
        <v>5</v>
      </c>
      <c r="H318" t="s">
        <v>63</v>
      </c>
      <c r="I318">
        <v>5</v>
      </c>
    </row>
    <row r="319" spans="1:9" x14ac:dyDescent="0.3">
      <c r="A319">
        <v>121</v>
      </c>
      <c r="B319" t="s">
        <v>33</v>
      </c>
      <c r="C319" t="s">
        <v>12</v>
      </c>
      <c r="D319">
        <v>2</v>
      </c>
      <c r="E319">
        <v>0</v>
      </c>
      <c r="F319">
        <v>0</v>
      </c>
      <c r="G319">
        <v>3</v>
      </c>
      <c r="H319" t="s">
        <v>64</v>
      </c>
      <c r="I319">
        <v>5</v>
      </c>
    </row>
    <row r="320" spans="1:9" x14ac:dyDescent="0.3">
      <c r="A320">
        <v>121</v>
      </c>
      <c r="B320" t="s">
        <v>33</v>
      </c>
      <c r="C320" t="s">
        <v>14</v>
      </c>
      <c r="D320">
        <v>1</v>
      </c>
      <c r="E320">
        <v>0</v>
      </c>
      <c r="F320">
        <v>0</v>
      </c>
      <c r="G320">
        <v>3</v>
      </c>
      <c r="H320" t="s">
        <v>62</v>
      </c>
      <c r="I320">
        <v>4</v>
      </c>
    </row>
    <row r="321" spans="1:9" x14ac:dyDescent="0.3">
      <c r="A321">
        <v>121</v>
      </c>
      <c r="B321" t="s">
        <v>33</v>
      </c>
      <c r="C321" t="s">
        <v>15</v>
      </c>
      <c r="D321">
        <v>0</v>
      </c>
      <c r="E321">
        <v>0</v>
      </c>
      <c r="F321">
        <v>0</v>
      </c>
      <c r="G321">
        <v>5</v>
      </c>
      <c r="H321" t="s">
        <v>65</v>
      </c>
      <c r="I321">
        <v>5</v>
      </c>
    </row>
    <row r="322" spans="1:9" x14ac:dyDescent="0.3">
      <c r="A322">
        <v>121</v>
      </c>
      <c r="B322" t="s">
        <v>33</v>
      </c>
      <c r="C322" t="s">
        <v>16</v>
      </c>
      <c r="D322">
        <v>0</v>
      </c>
      <c r="E322">
        <v>0</v>
      </c>
      <c r="F322">
        <v>0</v>
      </c>
      <c r="G322">
        <v>1</v>
      </c>
      <c r="H322" t="s">
        <v>61</v>
      </c>
      <c r="I322">
        <v>1</v>
      </c>
    </row>
    <row r="323" spans="1:9" x14ac:dyDescent="0.3">
      <c r="A323">
        <v>121</v>
      </c>
      <c r="B323" t="s">
        <v>33</v>
      </c>
      <c r="C323" t="s">
        <v>17</v>
      </c>
      <c r="D323">
        <v>15</v>
      </c>
      <c r="E323">
        <v>0</v>
      </c>
      <c r="F323">
        <v>0</v>
      </c>
      <c r="G323">
        <v>13</v>
      </c>
      <c r="H323" t="s">
        <v>66</v>
      </c>
      <c r="I323">
        <v>28</v>
      </c>
    </row>
    <row r="324" spans="1:9" x14ac:dyDescent="0.3">
      <c r="A324">
        <v>122</v>
      </c>
      <c r="B324" t="s">
        <v>7</v>
      </c>
      <c r="C324" t="s">
        <v>11</v>
      </c>
      <c r="D324">
        <v>16</v>
      </c>
      <c r="E324">
        <v>0</v>
      </c>
      <c r="F324">
        <v>0</v>
      </c>
      <c r="G324">
        <v>11</v>
      </c>
      <c r="H324" t="s">
        <v>63</v>
      </c>
      <c r="I324">
        <v>27</v>
      </c>
    </row>
    <row r="325" spans="1:9" x14ac:dyDescent="0.3">
      <c r="A325">
        <v>122</v>
      </c>
      <c r="B325" t="s">
        <v>7</v>
      </c>
      <c r="C325" t="s">
        <v>12</v>
      </c>
      <c r="D325">
        <v>25</v>
      </c>
      <c r="E325">
        <v>0</v>
      </c>
      <c r="F325">
        <v>0</v>
      </c>
      <c r="G325">
        <v>13</v>
      </c>
      <c r="H325" t="s">
        <v>64</v>
      </c>
      <c r="I325">
        <v>38</v>
      </c>
    </row>
    <row r="326" spans="1:9" x14ac:dyDescent="0.3">
      <c r="A326">
        <v>122</v>
      </c>
      <c r="B326" t="s">
        <v>7</v>
      </c>
      <c r="C326" t="s">
        <v>14</v>
      </c>
      <c r="D326">
        <v>10</v>
      </c>
      <c r="E326">
        <v>3</v>
      </c>
      <c r="F326">
        <v>0</v>
      </c>
      <c r="G326">
        <v>6</v>
      </c>
      <c r="H326" t="s">
        <v>62</v>
      </c>
      <c r="I326">
        <v>19</v>
      </c>
    </row>
    <row r="327" spans="1:9" x14ac:dyDescent="0.3">
      <c r="A327">
        <v>122</v>
      </c>
      <c r="B327" t="s">
        <v>7</v>
      </c>
      <c r="C327" t="s">
        <v>15</v>
      </c>
      <c r="D327">
        <v>10</v>
      </c>
      <c r="E327">
        <v>0</v>
      </c>
      <c r="F327">
        <v>0</v>
      </c>
      <c r="G327">
        <v>10</v>
      </c>
      <c r="H327" t="s">
        <v>65</v>
      </c>
      <c r="I327">
        <v>20</v>
      </c>
    </row>
    <row r="328" spans="1:9" x14ac:dyDescent="0.3">
      <c r="A328">
        <v>122</v>
      </c>
      <c r="B328" t="s">
        <v>33</v>
      </c>
      <c r="C328" t="s">
        <v>8</v>
      </c>
      <c r="D328">
        <v>0</v>
      </c>
      <c r="E328">
        <v>0</v>
      </c>
      <c r="F328">
        <v>5</v>
      </c>
      <c r="G328">
        <v>0</v>
      </c>
      <c r="H328" t="s">
        <v>8</v>
      </c>
      <c r="I328">
        <v>5</v>
      </c>
    </row>
    <row r="329" spans="1:9" x14ac:dyDescent="0.3">
      <c r="A329">
        <v>122</v>
      </c>
      <c r="B329" t="s">
        <v>33</v>
      </c>
      <c r="C329" t="s">
        <v>9</v>
      </c>
      <c r="D329">
        <v>0</v>
      </c>
      <c r="E329">
        <v>0</v>
      </c>
      <c r="F329">
        <v>32</v>
      </c>
      <c r="G329">
        <v>0</v>
      </c>
      <c r="H329" t="s">
        <v>9</v>
      </c>
      <c r="I329">
        <v>32</v>
      </c>
    </row>
    <row r="330" spans="1:9" x14ac:dyDescent="0.3">
      <c r="A330">
        <v>122</v>
      </c>
      <c r="B330" t="s">
        <v>33</v>
      </c>
      <c r="C330" t="s">
        <v>10</v>
      </c>
      <c r="D330">
        <v>1</v>
      </c>
      <c r="E330">
        <v>2</v>
      </c>
      <c r="F330">
        <v>0</v>
      </c>
      <c r="G330">
        <v>3</v>
      </c>
      <c r="H330" t="s">
        <v>68</v>
      </c>
      <c r="I330">
        <v>6</v>
      </c>
    </row>
    <row r="331" spans="1:9" x14ac:dyDescent="0.3">
      <c r="A331">
        <v>122</v>
      </c>
      <c r="B331" t="s">
        <v>33</v>
      </c>
      <c r="C331" t="s">
        <v>11</v>
      </c>
      <c r="D331">
        <v>7</v>
      </c>
      <c r="E331">
        <v>7</v>
      </c>
      <c r="F331">
        <v>0</v>
      </c>
      <c r="G331">
        <v>6</v>
      </c>
      <c r="H331" t="s">
        <v>63</v>
      </c>
      <c r="I331">
        <v>20</v>
      </c>
    </row>
    <row r="332" spans="1:9" x14ac:dyDescent="0.3">
      <c r="A332">
        <v>122</v>
      </c>
      <c r="B332" t="s">
        <v>33</v>
      </c>
      <c r="C332" t="s">
        <v>12</v>
      </c>
      <c r="D332">
        <v>11</v>
      </c>
      <c r="E332">
        <v>0</v>
      </c>
      <c r="F332">
        <v>0</v>
      </c>
      <c r="G332">
        <v>8</v>
      </c>
      <c r="H332" t="s">
        <v>64</v>
      </c>
      <c r="I332">
        <v>19</v>
      </c>
    </row>
    <row r="333" spans="1:9" x14ac:dyDescent="0.3">
      <c r="A333">
        <v>122</v>
      </c>
      <c r="B333" t="s">
        <v>33</v>
      </c>
      <c r="C333" t="s">
        <v>13</v>
      </c>
      <c r="D333">
        <v>9</v>
      </c>
      <c r="E333">
        <v>5</v>
      </c>
      <c r="F333">
        <v>0</v>
      </c>
      <c r="G333">
        <v>8</v>
      </c>
      <c r="H333" t="s">
        <v>69</v>
      </c>
      <c r="I333">
        <v>22</v>
      </c>
    </row>
    <row r="334" spans="1:9" x14ac:dyDescent="0.3">
      <c r="A334">
        <v>122</v>
      </c>
      <c r="B334" t="s">
        <v>33</v>
      </c>
      <c r="C334" t="s">
        <v>14</v>
      </c>
      <c r="D334">
        <v>8</v>
      </c>
      <c r="E334">
        <v>21</v>
      </c>
      <c r="F334">
        <v>0</v>
      </c>
      <c r="G334">
        <v>17</v>
      </c>
      <c r="H334" t="s">
        <v>62</v>
      </c>
      <c r="I334">
        <v>46</v>
      </c>
    </row>
    <row r="335" spans="1:9" x14ac:dyDescent="0.3">
      <c r="A335">
        <v>122</v>
      </c>
      <c r="B335" t="s">
        <v>33</v>
      </c>
      <c r="C335" t="s">
        <v>16</v>
      </c>
      <c r="D335">
        <v>2</v>
      </c>
      <c r="E335">
        <v>0</v>
      </c>
      <c r="F335">
        <v>0</v>
      </c>
      <c r="G335">
        <v>2</v>
      </c>
      <c r="H335" t="s">
        <v>61</v>
      </c>
      <c r="I335">
        <v>4</v>
      </c>
    </row>
    <row r="336" spans="1:9" x14ac:dyDescent="0.3">
      <c r="A336">
        <v>122</v>
      </c>
      <c r="B336" t="s">
        <v>33</v>
      </c>
      <c r="C336" t="s">
        <v>17</v>
      </c>
      <c r="D336">
        <v>3</v>
      </c>
      <c r="E336">
        <v>0</v>
      </c>
      <c r="F336">
        <v>0</v>
      </c>
      <c r="G336">
        <v>2</v>
      </c>
      <c r="H336" t="s">
        <v>66</v>
      </c>
      <c r="I336">
        <v>5</v>
      </c>
    </row>
    <row r="337" spans="1:9" x14ac:dyDescent="0.3">
      <c r="A337">
        <v>122</v>
      </c>
      <c r="B337" t="s">
        <v>33</v>
      </c>
      <c r="C337" t="s">
        <v>28</v>
      </c>
      <c r="D337">
        <v>4</v>
      </c>
      <c r="E337">
        <v>1</v>
      </c>
      <c r="F337">
        <v>0</v>
      </c>
      <c r="G337">
        <v>4</v>
      </c>
      <c r="H337" t="s">
        <v>28</v>
      </c>
      <c r="I337">
        <v>9</v>
      </c>
    </row>
    <row r="338" spans="1:9" x14ac:dyDescent="0.3">
      <c r="A338">
        <v>122</v>
      </c>
      <c r="B338" t="s">
        <v>33</v>
      </c>
      <c r="C338" t="s">
        <v>29</v>
      </c>
      <c r="D338">
        <v>1</v>
      </c>
      <c r="E338">
        <v>0</v>
      </c>
      <c r="F338">
        <v>0</v>
      </c>
      <c r="G338">
        <v>3</v>
      </c>
      <c r="H338" t="s">
        <v>67</v>
      </c>
      <c r="I338">
        <v>4</v>
      </c>
    </row>
    <row r="339" spans="1:9" x14ac:dyDescent="0.3">
      <c r="A339">
        <v>123</v>
      </c>
      <c r="B339" t="s">
        <v>7</v>
      </c>
      <c r="C339" t="s">
        <v>11</v>
      </c>
      <c r="D339">
        <v>11</v>
      </c>
      <c r="E339">
        <v>8</v>
      </c>
      <c r="F339">
        <v>0</v>
      </c>
      <c r="G339">
        <v>15</v>
      </c>
      <c r="H339" t="s">
        <v>63</v>
      </c>
      <c r="I339">
        <v>34</v>
      </c>
    </row>
    <row r="340" spans="1:9" x14ac:dyDescent="0.3">
      <c r="A340">
        <v>123</v>
      </c>
      <c r="B340" t="s">
        <v>7</v>
      </c>
      <c r="C340" t="s">
        <v>12</v>
      </c>
      <c r="D340">
        <v>6</v>
      </c>
      <c r="E340">
        <v>14</v>
      </c>
      <c r="F340">
        <v>0</v>
      </c>
      <c r="G340">
        <v>19</v>
      </c>
      <c r="H340" t="s">
        <v>64</v>
      </c>
      <c r="I340">
        <v>39</v>
      </c>
    </row>
    <row r="341" spans="1:9" x14ac:dyDescent="0.3">
      <c r="A341">
        <v>123</v>
      </c>
      <c r="B341" t="s">
        <v>7</v>
      </c>
      <c r="C341" t="s">
        <v>14</v>
      </c>
      <c r="D341">
        <v>2</v>
      </c>
      <c r="E341">
        <v>11</v>
      </c>
      <c r="F341">
        <v>0</v>
      </c>
      <c r="G341">
        <v>13</v>
      </c>
      <c r="H341" t="s">
        <v>62</v>
      </c>
      <c r="I341">
        <v>26</v>
      </c>
    </row>
    <row r="342" spans="1:9" x14ac:dyDescent="0.3">
      <c r="A342">
        <v>123</v>
      </c>
      <c r="B342" t="s">
        <v>7</v>
      </c>
      <c r="C342" t="s">
        <v>15</v>
      </c>
      <c r="D342">
        <v>4</v>
      </c>
      <c r="E342">
        <v>4</v>
      </c>
      <c r="F342">
        <v>0</v>
      </c>
      <c r="G342">
        <v>9</v>
      </c>
      <c r="H342" t="s">
        <v>65</v>
      </c>
      <c r="I342">
        <v>17</v>
      </c>
    </row>
    <row r="343" spans="1:9" x14ac:dyDescent="0.3">
      <c r="A343">
        <v>123</v>
      </c>
      <c r="B343" t="s">
        <v>7</v>
      </c>
      <c r="C343" t="s">
        <v>16</v>
      </c>
      <c r="D343">
        <v>2</v>
      </c>
      <c r="E343">
        <v>9</v>
      </c>
      <c r="F343">
        <v>0</v>
      </c>
      <c r="G343">
        <v>13</v>
      </c>
      <c r="H343" t="s">
        <v>61</v>
      </c>
      <c r="I343">
        <v>24</v>
      </c>
    </row>
    <row r="344" spans="1:9" x14ac:dyDescent="0.3">
      <c r="A344">
        <v>123</v>
      </c>
      <c r="B344" t="s">
        <v>7</v>
      </c>
      <c r="C344" t="s">
        <v>17</v>
      </c>
      <c r="D344">
        <v>2</v>
      </c>
      <c r="E344">
        <v>6</v>
      </c>
      <c r="F344">
        <v>0</v>
      </c>
      <c r="G344">
        <v>12</v>
      </c>
      <c r="H344" t="s">
        <v>66</v>
      </c>
      <c r="I344">
        <v>20</v>
      </c>
    </row>
    <row r="345" spans="1:9" x14ac:dyDescent="0.3">
      <c r="A345">
        <v>123</v>
      </c>
      <c r="B345" t="s">
        <v>33</v>
      </c>
      <c r="C345" t="s">
        <v>8</v>
      </c>
      <c r="D345">
        <v>0</v>
      </c>
      <c r="E345">
        <v>0</v>
      </c>
      <c r="F345">
        <v>4</v>
      </c>
      <c r="G345">
        <v>0</v>
      </c>
      <c r="H345" t="s">
        <v>8</v>
      </c>
      <c r="I345">
        <v>4</v>
      </c>
    </row>
    <row r="346" spans="1:9" x14ac:dyDescent="0.3">
      <c r="A346">
        <v>123</v>
      </c>
      <c r="B346" t="s">
        <v>33</v>
      </c>
      <c r="C346" t="s">
        <v>9</v>
      </c>
      <c r="D346">
        <v>0</v>
      </c>
      <c r="E346">
        <v>0</v>
      </c>
      <c r="F346">
        <v>44</v>
      </c>
      <c r="G346">
        <v>0</v>
      </c>
      <c r="H346" t="s">
        <v>9</v>
      </c>
      <c r="I346">
        <v>44</v>
      </c>
    </row>
    <row r="347" spans="1:9" x14ac:dyDescent="0.3">
      <c r="A347">
        <v>123</v>
      </c>
      <c r="B347" t="s">
        <v>33</v>
      </c>
      <c r="C347" t="s">
        <v>11</v>
      </c>
      <c r="D347">
        <v>4</v>
      </c>
      <c r="E347">
        <v>4</v>
      </c>
      <c r="F347">
        <v>0</v>
      </c>
      <c r="G347">
        <v>4</v>
      </c>
      <c r="H347" t="s">
        <v>63</v>
      </c>
      <c r="I347">
        <v>12</v>
      </c>
    </row>
    <row r="348" spans="1:9" x14ac:dyDescent="0.3">
      <c r="A348">
        <v>123</v>
      </c>
      <c r="B348" t="s">
        <v>33</v>
      </c>
      <c r="C348" t="s">
        <v>12</v>
      </c>
      <c r="D348">
        <v>7</v>
      </c>
      <c r="E348">
        <v>1</v>
      </c>
      <c r="F348">
        <v>0</v>
      </c>
      <c r="G348">
        <v>7</v>
      </c>
      <c r="H348" t="s">
        <v>64</v>
      </c>
      <c r="I348">
        <v>15</v>
      </c>
    </row>
    <row r="349" spans="1:9" x14ac:dyDescent="0.3">
      <c r="A349">
        <v>123</v>
      </c>
      <c r="B349" t="s">
        <v>33</v>
      </c>
      <c r="C349" t="s">
        <v>14</v>
      </c>
      <c r="D349">
        <v>5</v>
      </c>
      <c r="E349">
        <v>2</v>
      </c>
      <c r="F349">
        <v>0</v>
      </c>
      <c r="G349">
        <v>5</v>
      </c>
      <c r="H349" t="s">
        <v>62</v>
      </c>
      <c r="I349">
        <v>12</v>
      </c>
    </row>
    <row r="350" spans="1:9" x14ac:dyDescent="0.3">
      <c r="A350">
        <v>123</v>
      </c>
      <c r="B350" t="s">
        <v>33</v>
      </c>
      <c r="C350" t="s">
        <v>15</v>
      </c>
      <c r="D350">
        <v>5</v>
      </c>
      <c r="E350">
        <v>0</v>
      </c>
      <c r="F350">
        <v>0</v>
      </c>
      <c r="G350">
        <v>4</v>
      </c>
      <c r="H350" t="s">
        <v>65</v>
      </c>
      <c r="I350">
        <v>9</v>
      </c>
    </row>
    <row r="351" spans="1:9" x14ac:dyDescent="0.3">
      <c r="A351">
        <v>123</v>
      </c>
      <c r="B351" t="s">
        <v>33</v>
      </c>
      <c r="C351" t="s">
        <v>16</v>
      </c>
      <c r="D351">
        <v>2</v>
      </c>
      <c r="E351">
        <v>0</v>
      </c>
      <c r="F351">
        <v>0</v>
      </c>
      <c r="G351">
        <v>4</v>
      </c>
      <c r="H351" t="s">
        <v>61</v>
      </c>
      <c r="I351">
        <v>6</v>
      </c>
    </row>
    <row r="352" spans="1:9" x14ac:dyDescent="0.3">
      <c r="A352">
        <v>123</v>
      </c>
      <c r="B352" t="s">
        <v>33</v>
      </c>
      <c r="C352" t="s">
        <v>17</v>
      </c>
      <c r="D352">
        <v>6</v>
      </c>
      <c r="E352">
        <v>0</v>
      </c>
      <c r="F352">
        <v>0</v>
      </c>
      <c r="G352">
        <v>4</v>
      </c>
      <c r="H352" t="s">
        <v>66</v>
      </c>
      <c r="I352">
        <v>10</v>
      </c>
    </row>
    <row r="353" spans="1:9" x14ac:dyDescent="0.3">
      <c r="A353">
        <v>124</v>
      </c>
      <c r="B353" t="s">
        <v>7</v>
      </c>
      <c r="C353" t="s">
        <v>11</v>
      </c>
      <c r="D353">
        <v>20</v>
      </c>
      <c r="E353">
        <v>3</v>
      </c>
      <c r="F353">
        <v>0</v>
      </c>
      <c r="G353">
        <v>26</v>
      </c>
      <c r="H353" t="s">
        <v>63</v>
      </c>
      <c r="I353">
        <v>49</v>
      </c>
    </row>
    <row r="354" spans="1:9" x14ac:dyDescent="0.3">
      <c r="A354">
        <v>124</v>
      </c>
      <c r="B354" t="s">
        <v>7</v>
      </c>
      <c r="C354" t="s">
        <v>12</v>
      </c>
      <c r="D354">
        <v>38</v>
      </c>
      <c r="E354">
        <v>27</v>
      </c>
      <c r="F354">
        <v>0</v>
      </c>
      <c r="G354">
        <v>47</v>
      </c>
      <c r="H354" t="s">
        <v>64</v>
      </c>
      <c r="I354">
        <v>112</v>
      </c>
    </row>
    <row r="355" spans="1:9" x14ac:dyDescent="0.3">
      <c r="A355">
        <v>124</v>
      </c>
      <c r="B355" t="s">
        <v>7</v>
      </c>
      <c r="C355" t="s">
        <v>14</v>
      </c>
      <c r="D355">
        <v>10</v>
      </c>
      <c r="E355">
        <v>22</v>
      </c>
      <c r="F355">
        <v>0</v>
      </c>
      <c r="G355">
        <v>26</v>
      </c>
      <c r="H355" t="s">
        <v>62</v>
      </c>
      <c r="I355">
        <v>58</v>
      </c>
    </row>
    <row r="356" spans="1:9" x14ac:dyDescent="0.3">
      <c r="A356">
        <v>124</v>
      </c>
      <c r="B356" t="s">
        <v>7</v>
      </c>
      <c r="C356" t="s">
        <v>15</v>
      </c>
      <c r="D356">
        <v>0</v>
      </c>
      <c r="E356">
        <v>0</v>
      </c>
      <c r="F356">
        <v>0</v>
      </c>
      <c r="G356">
        <v>1</v>
      </c>
      <c r="H356" t="s">
        <v>65</v>
      </c>
      <c r="I356">
        <v>1</v>
      </c>
    </row>
    <row r="357" spans="1:9" x14ac:dyDescent="0.3">
      <c r="A357">
        <v>124</v>
      </c>
      <c r="B357" t="s">
        <v>7</v>
      </c>
      <c r="C357" t="s">
        <v>16</v>
      </c>
      <c r="D357">
        <v>12</v>
      </c>
      <c r="E357">
        <v>4</v>
      </c>
      <c r="F357">
        <v>0</v>
      </c>
      <c r="G357">
        <v>22</v>
      </c>
      <c r="H357" t="s">
        <v>61</v>
      </c>
      <c r="I357">
        <v>38</v>
      </c>
    </row>
    <row r="358" spans="1:9" x14ac:dyDescent="0.3">
      <c r="A358">
        <v>124</v>
      </c>
      <c r="B358" t="s">
        <v>7</v>
      </c>
      <c r="C358" t="s">
        <v>17</v>
      </c>
      <c r="D358">
        <v>11</v>
      </c>
      <c r="E358">
        <v>2</v>
      </c>
      <c r="F358">
        <v>0</v>
      </c>
      <c r="G358">
        <v>19</v>
      </c>
      <c r="H358" t="s">
        <v>66</v>
      </c>
      <c r="I358">
        <v>32</v>
      </c>
    </row>
    <row r="359" spans="1:9" x14ac:dyDescent="0.3">
      <c r="A359">
        <v>124</v>
      </c>
      <c r="B359" t="s">
        <v>33</v>
      </c>
      <c r="C359" t="s">
        <v>8</v>
      </c>
      <c r="D359">
        <v>0</v>
      </c>
      <c r="E359">
        <v>0</v>
      </c>
      <c r="F359">
        <v>4</v>
      </c>
      <c r="G359">
        <v>0</v>
      </c>
      <c r="H359" t="s">
        <v>8</v>
      </c>
      <c r="I359">
        <v>4</v>
      </c>
    </row>
    <row r="360" spans="1:9" x14ac:dyDescent="0.3">
      <c r="A360">
        <v>124</v>
      </c>
      <c r="B360" t="s">
        <v>33</v>
      </c>
      <c r="C360" t="s">
        <v>9</v>
      </c>
      <c r="D360">
        <v>0</v>
      </c>
      <c r="E360">
        <v>0</v>
      </c>
      <c r="F360">
        <v>20</v>
      </c>
      <c r="G360">
        <v>0</v>
      </c>
      <c r="H360" t="s">
        <v>9</v>
      </c>
      <c r="I360">
        <v>20</v>
      </c>
    </row>
    <row r="361" spans="1:9" x14ac:dyDescent="0.3">
      <c r="A361">
        <v>124</v>
      </c>
      <c r="B361" t="s">
        <v>33</v>
      </c>
      <c r="C361" t="s">
        <v>15</v>
      </c>
      <c r="D361">
        <v>24</v>
      </c>
      <c r="E361">
        <v>0</v>
      </c>
      <c r="F361">
        <v>0</v>
      </c>
      <c r="G361">
        <v>24</v>
      </c>
      <c r="H361" t="s">
        <v>65</v>
      </c>
      <c r="I361">
        <v>48</v>
      </c>
    </row>
    <row r="362" spans="1:9" x14ac:dyDescent="0.3">
      <c r="A362">
        <v>125</v>
      </c>
      <c r="B362" t="s">
        <v>7</v>
      </c>
      <c r="C362" t="s">
        <v>11</v>
      </c>
      <c r="D362">
        <v>11</v>
      </c>
      <c r="E362">
        <v>0</v>
      </c>
      <c r="F362">
        <v>0</v>
      </c>
      <c r="G362">
        <v>11</v>
      </c>
      <c r="H362" t="s">
        <v>63</v>
      </c>
      <c r="I362">
        <v>22</v>
      </c>
    </row>
    <row r="363" spans="1:9" x14ac:dyDescent="0.3">
      <c r="A363">
        <v>125</v>
      </c>
      <c r="B363" t="s">
        <v>7</v>
      </c>
      <c r="C363" t="s">
        <v>12</v>
      </c>
      <c r="D363">
        <v>28</v>
      </c>
      <c r="E363">
        <v>2</v>
      </c>
      <c r="F363">
        <v>0</v>
      </c>
      <c r="G363">
        <v>20</v>
      </c>
      <c r="H363" t="s">
        <v>64</v>
      </c>
      <c r="I363">
        <v>50</v>
      </c>
    </row>
    <row r="364" spans="1:9" x14ac:dyDescent="0.3">
      <c r="A364">
        <v>125</v>
      </c>
      <c r="B364" t="s">
        <v>7</v>
      </c>
      <c r="C364" t="s">
        <v>13</v>
      </c>
      <c r="D364">
        <v>6</v>
      </c>
      <c r="E364">
        <v>6</v>
      </c>
      <c r="F364">
        <v>0</v>
      </c>
      <c r="G364">
        <v>14</v>
      </c>
      <c r="H364" t="s">
        <v>69</v>
      </c>
      <c r="I364">
        <v>26</v>
      </c>
    </row>
    <row r="365" spans="1:9" x14ac:dyDescent="0.3">
      <c r="A365">
        <v>125</v>
      </c>
      <c r="B365" t="s">
        <v>7</v>
      </c>
      <c r="C365" t="s">
        <v>14</v>
      </c>
      <c r="D365">
        <v>1</v>
      </c>
      <c r="E365">
        <v>0</v>
      </c>
      <c r="F365">
        <v>0</v>
      </c>
      <c r="G365">
        <v>13</v>
      </c>
      <c r="H365" t="s">
        <v>62</v>
      </c>
      <c r="I365">
        <v>14</v>
      </c>
    </row>
    <row r="366" spans="1:9" x14ac:dyDescent="0.3">
      <c r="A366">
        <v>125</v>
      </c>
      <c r="B366" t="s">
        <v>7</v>
      </c>
      <c r="C366" t="s">
        <v>15</v>
      </c>
      <c r="D366">
        <v>2</v>
      </c>
      <c r="E366">
        <v>0</v>
      </c>
      <c r="F366">
        <v>0</v>
      </c>
      <c r="G366">
        <v>9</v>
      </c>
      <c r="H366" t="s">
        <v>65</v>
      </c>
      <c r="I366">
        <v>11</v>
      </c>
    </row>
    <row r="367" spans="1:9" x14ac:dyDescent="0.3">
      <c r="A367">
        <v>125</v>
      </c>
      <c r="B367" t="s">
        <v>7</v>
      </c>
      <c r="C367" t="s">
        <v>16</v>
      </c>
      <c r="D367">
        <v>9</v>
      </c>
      <c r="E367">
        <v>5</v>
      </c>
      <c r="F367">
        <v>0</v>
      </c>
      <c r="G367">
        <v>14</v>
      </c>
      <c r="H367" t="s">
        <v>61</v>
      </c>
      <c r="I367">
        <v>28</v>
      </c>
    </row>
    <row r="368" spans="1:9" x14ac:dyDescent="0.3">
      <c r="A368">
        <v>125</v>
      </c>
      <c r="B368" t="s">
        <v>7</v>
      </c>
      <c r="C368" t="s">
        <v>17</v>
      </c>
      <c r="D368">
        <v>2</v>
      </c>
      <c r="E368">
        <v>0</v>
      </c>
      <c r="F368">
        <v>0</v>
      </c>
      <c r="G368">
        <v>7</v>
      </c>
      <c r="H368" t="s">
        <v>66</v>
      </c>
      <c r="I368">
        <v>9</v>
      </c>
    </row>
    <row r="369" spans="1:9" x14ac:dyDescent="0.3">
      <c r="A369">
        <v>125</v>
      </c>
      <c r="B369" t="s">
        <v>7</v>
      </c>
      <c r="C369" t="s">
        <v>20</v>
      </c>
      <c r="D369">
        <v>0</v>
      </c>
      <c r="E369">
        <v>0</v>
      </c>
      <c r="F369">
        <v>0</v>
      </c>
      <c r="G369">
        <v>1</v>
      </c>
      <c r="H369" t="s">
        <v>60</v>
      </c>
      <c r="I369">
        <v>1</v>
      </c>
    </row>
    <row r="370" spans="1:9" x14ac:dyDescent="0.3">
      <c r="A370">
        <v>125</v>
      </c>
      <c r="B370" t="s">
        <v>7</v>
      </c>
      <c r="C370" t="s">
        <v>29</v>
      </c>
      <c r="D370">
        <v>2</v>
      </c>
      <c r="E370">
        <v>0</v>
      </c>
      <c r="F370">
        <v>0</v>
      </c>
      <c r="G370">
        <v>1</v>
      </c>
      <c r="H370" t="s">
        <v>67</v>
      </c>
      <c r="I370">
        <v>3</v>
      </c>
    </row>
    <row r="371" spans="1:9" x14ac:dyDescent="0.3">
      <c r="A371">
        <v>125</v>
      </c>
      <c r="B371" t="s">
        <v>33</v>
      </c>
      <c r="C371" t="s">
        <v>9</v>
      </c>
      <c r="D371">
        <v>0</v>
      </c>
      <c r="E371">
        <v>0</v>
      </c>
      <c r="F371">
        <v>65</v>
      </c>
      <c r="G371">
        <v>0</v>
      </c>
      <c r="H371" t="s">
        <v>9</v>
      </c>
      <c r="I371">
        <v>65</v>
      </c>
    </row>
    <row r="372" spans="1:9" x14ac:dyDescent="0.3">
      <c r="A372">
        <v>125</v>
      </c>
      <c r="B372" t="s">
        <v>33</v>
      </c>
      <c r="C372" t="s">
        <v>10</v>
      </c>
      <c r="D372">
        <v>2</v>
      </c>
      <c r="E372">
        <v>7</v>
      </c>
      <c r="F372">
        <v>0</v>
      </c>
      <c r="G372">
        <v>7</v>
      </c>
      <c r="H372" t="s">
        <v>68</v>
      </c>
      <c r="I372">
        <v>16</v>
      </c>
    </row>
    <row r="373" spans="1:9" x14ac:dyDescent="0.3">
      <c r="A373">
        <v>125</v>
      </c>
      <c r="B373" t="s">
        <v>33</v>
      </c>
      <c r="C373" t="s">
        <v>13</v>
      </c>
      <c r="D373">
        <v>15</v>
      </c>
      <c r="E373">
        <v>5</v>
      </c>
      <c r="F373">
        <v>0</v>
      </c>
      <c r="G373">
        <v>21</v>
      </c>
      <c r="H373" t="s">
        <v>69</v>
      </c>
      <c r="I373">
        <v>41</v>
      </c>
    </row>
    <row r="374" spans="1:9" x14ac:dyDescent="0.3">
      <c r="A374">
        <v>125</v>
      </c>
      <c r="B374" t="s">
        <v>33</v>
      </c>
      <c r="C374" t="s">
        <v>20</v>
      </c>
      <c r="D374">
        <v>7</v>
      </c>
      <c r="E374">
        <v>0</v>
      </c>
      <c r="F374">
        <v>0</v>
      </c>
      <c r="G374">
        <v>2</v>
      </c>
      <c r="H374" t="s">
        <v>60</v>
      </c>
      <c r="I374">
        <v>9</v>
      </c>
    </row>
    <row r="375" spans="1:9" x14ac:dyDescent="0.3">
      <c r="A375">
        <v>125</v>
      </c>
      <c r="B375" t="s">
        <v>33</v>
      </c>
      <c r="C375" t="s">
        <v>28</v>
      </c>
      <c r="D375">
        <v>8</v>
      </c>
      <c r="E375">
        <v>13</v>
      </c>
      <c r="F375">
        <v>0</v>
      </c>
      <c r="G375">
        <v>17</v>
      </c>
      <c r="H375" t="s">
        <v>28</v>
      </c>
      <c r="I375">
        <v>38</v>
      </c>
    </row>
    <row r="376" spans="1:9" x14ac:dyDescent="0.3">
      <c r="A376">
        <v>125</v>
      </c>
      <c r="B376" t="s">
        <v>33</v>
      </c>
      <c r="C376" t="s">
        <v>29</v>
      </c>
      <c r="D376">
        <v>1</v>
      </c>
      <c r="E376">
        <v>2</v>
      </c>
      <c r="F376">
        <v>0</v>
      </c>
      <c r="G376">
        <v>3</v>
      </c>
      <c r="H376" t="s">
        <v>67</v>
      </c>
      <c r="I376">
        <v>6</v>
      </c>
    </row>
    <row r="377" spans="1:9" x14ac:dyDescent="0.3">
      <c r="A377">
        <v>126</v>
      </c>
      <c r="B377" t="s">
        <v>7</v>
      </c>
      <c r="C377" t="s">
        <v>11</v>
      </c>
      <c r="D377">
        <v>19</v>
      </c>
      <c r="E377">
        <v>3</v>
      </c>
      <c r="F377">
        <v>0</v>
      </c>
      <c r="G377">
        <v>26</v>
      </c>
      <c r="H377" t="s">
        <v>63</v>
      </c>
      <c r="I377">
        <v>48</v>
      </c>
    </row>
    <row r="378" spans="1:9" x14ac:dyDescent="0.3">
      <c r="A378">
        <v>126</v>
      </c>
      <c r="B378" t="s">
        <v>7</v>
      </c>
      <c r="C378" t="s">
        <v>12</v>
      </c>
      <c r="D378">
        <v>46</v>
      </c>
      <c r="E378">
        <v>7</v>
      </c>
      <c r="F378">
        <v>0</v>
      </c>
      <c r="G378">
        <v>33</v>
      </c>
      <c r="H378" t="s">
        <v>64</v>
      </c>
      <c r="I378">
        <v>86</v>
      </c>
    </row>
    <row r="379" spans="1:9" x14ac:dyDescent="0.3">
      <c r="A379">
        <v>126</v>
      </c>
      <c r="B379" t="s">
        <v>7</v>
      </c>
      <c r="C379" t="s">
        <v>13</v>
      </c>
      <c r="D379">
        <v>0</v>
      </c>
      <c r="E379">
        <v>6</v>
      </c>
      <c r="F379">
        <v>0</v>
      </c>
      <c r="G379">
        <v>8</v>
      </c>
      <c r="H379" t="s">
        <v>69</v>
      </c>
      <c r="I379">
        <v>14</v>
      </c>
    </row>
    <row r="380" spans="1:9" x14ac:dyDescent="0.3">
      <c r="A380">
        <v>126</v>
      </c>
      <c r="B380" t="s">
        <v>7</v>
      </c>
      <c r="C380" t="s">
        <v>14</v>
      </c>
      <c r="D380">
        <v>11</v>
      </c>
      <c r="E380">
        <v>8</v>
      </c>
      <c r="F380">
        <v>0</v>
      </c>
      <c r="G380">
        <v>21</v>
      </c>
      <c r="H380" t="s">
        <v>62</v>
      </c>
      <c r="I380">
        <v>40</v>
      </c>
    </row>
    <row r="381" spans="1:9" x14ac:dyDescent="0.3">
      <c r="A381">
        <v>126</v>
      </c>
      <c r="B381" t="s">
        <v>7</v>
      </c>
      <c r="C381" t="s">
        <v>15</v>
      </c>
      <c r="D381">
        <v>6</v>
      </c>
      <c r="E381">
        <v>0</v>
      </c>
      <c r="F381">
        <v>0</v>
      </c>
      <c r="G381">
        <v>8</v>
      </c>
      <c r="H381" t="s">
        <v>65</v>
      </c>
      <c r="I381">
        <v>14</v>
      </c>
    </row>
    <row r="382" spans="1:9" x14ac:dyDescent="0.3">
      <c r="A382">
        <v>126</v>
      </c>
      <c r="B382" t="s">
        <v>7</v>
      </c>
      <c r="C382" t="s">
        <v>16</v>
      </c>
      <c r="D382">
        <v>16</v>
      </c>
      <c r="E382">
        <v>6</v>
      </c>
      <c r="F382">
        <v>0</v>
      </c>
      <c r="G382">
        <v>24</v>
      </c>
      <c r="H382" t="s">
        <v>61</v>
      </c>
      <c r="I382">
        <v>46</v>
      </c>
    </row>
    <row r="383" spans="1:9" x14ac:dyDescent="0.3">
      <c r="A383">
        <v>126</v>
      </c>
      <c r="B383" t="s">
        <v>7</v>
      </c>
      <c r="C383" t="s">
        <v>17</v>
      </c>
      <c r="D383">
        <v>4</v>
      </c>
      <c r="E383">
        <v>0</v>
      </c>
      <c r="F383">
        <v>0</v>
      </c>
      <c r="G383">
        <v>11</v>
      </c>
      <c r="H383" t="s">
        <v>66</v>
      </c>
      <c r="I383">
        <v>15</v>
      </c>
    </row>
    <row r="384" spans="1:9" x14ac:dyDescent="0.3">
      <c r="A384">
        <v>126</v>
      </c>
      <c r="B384" t="s">
        <v>7</v>
      </c>
      <c r="C384" t="s">
        <v>29</v>
      </c>
      <c r="D384">
        <v>6</v>
      </c>
      <c r="E384">
        <v>0</v>
      </c>
      <c r="F384">
        <v>0</v>
      </c>
      <c r="G384">
        <v>7</v>
      </c>
      <c r="H384" t="s">
        <v>67</v>
      </c>
      <c r="I384">
        <v>13</v>
      </c>
    </row>
    <row r="385" spans="1:9" x14ac:dyDescent="0.3">
      <c r="A385">
        <v>126</v>
      </c>
      <c r="B385" t="s">
        <v>33</v>
      </c>
      <c r="C385" t="s">
        <v>8</v>
      </c>
      <c r="D385">
        <v>0</v>
      </c>
      <c r="E385">
        <v>0</v>
      </c>
      <c r="F385">
        <v>3</v>
      </c>
      <c r="G385">
        <v>0</v>
      </c>
      <c r="H385" t="s">
        <v>8</v>
      </c>
      <c r="I385">
        <v>3</v>
      </c>
    </row>
    <row r="386" spans="1:9" x14ac:dyDescent="0.3">
      <c r="A386">
        <v>126</v>
      </c>
      <c r="B386" t="s">
        <v>33</v>
      </c>
      <c r="C386" t="s">
        <v>9</v>
      </c>
      <c r="D386">
        <v>0</v>
      </c>
      <c r="E386">
        <v>0</v>
      </c>
      <c r="F386">
        <v>77</v>
      </c>
      <c r="G386">
        <v>0</v>
      </c>
      <c r="H386" t="s">
        <v>9</v>
      </c>
      <c r="I386">
        <v>77</v>
      </c>
    </row>
    <row r="387" spans="1:9" x14ac:dyDescent="0.3">
      <c r="A387">
        <v>126</v>
      </c>
      <c r="B387" t="s">
        <v>33</v>
      </c>
      <c r="C387" t="s">
        <v>13</v>
      </c>
      <c r="D387">
        <v>5</v>
      </c>
      <c r="E387">
        <v>0</v>
      </c>
      <c r="F387">
        <v>0</v>
      </c>
      <c r="G387">
        <v>6</v>
      </c>
      <c r="H387" t="s">
        <v>69</v>
      </c>
      <c r="I387">
        <v>11</v>
      </c>
    </row>
    <row r="388" spans="1:9" x14ac:dyDescent="0.3">
      <c r="A388">
        <v>126</v>
      </c>
      <c r="B388" t="s">
        <v>33</v>
      </c>
      <c r="C388" t="s">
        <v>28</v>
      </c>
      <c r="D388">
        <v>15</v>
      </c>
      <c r="E388">
        <v>0</v>
      </c>
      <c r="F388">
        <v>0</v>
      </c>
      <c r="G388">
        <v>14</v>
      </c>
      <c r="H388" t="s">
        <v>28</v>
      </c>
      <c r="I388">
        <v>29</v>
      </c>
    </row>
    <row r="389" spans="1:9" x14ac:dyDescent="0.3">
      <c r="A389">
        <v>127</v>
      </c>
      <c r="B389" t="s">
        <v>7</v>
      </c>
      <c r="C389" t="s">
        <v>11</v>
      </c>
      <c r="D389">
        <v>15</v>
      </c>
      <c r="E389">
        <v>0</v>
      </c>
      <c r="F389">
        <v>0</v>
      </c>
      <c r="G389">
        <v>30</v>
      </c>
      <c r="H389" t="s">
        <v>63</v>
      </c>
      <c r="I389">
        <v>45</v>
      </c>
    </row>
    <row r="390" spans="1:9" x14ac:dyDescent="0.3">
      <c r="A390">
        <v>127</v>
      </c>
      <c r="B390" t="s">
        <v>7</v>
      </c>
      <c r="C390" t="s">
        <v>12</v>
      </c>
      <c r="D390">
        <v>40</v>
      </c>
      <c r="E390">
        <v>23</v>
      </c>
      <c r="F390">
        <v>0</v>
      </c>
      <c r="G390">
        <v>40</v>
      </c>
      <c r="H390" t="s">
        <v>64</v>
      </c>
      <c r="I390">
        <v>103</v>
      </c>
    </row>
    <row r="391" spans="1:9" x14ac:dyDescent="0.3">
      <c r="A391">
        <v>127</v>
      </c>
      <c r="B391" t="s">
        <v>7</v>
      </c>
      <c r="C391" t="s">
        <v>13</v>
      </c>
      <c r="D391">
        <v>15</v>
      </c>
      <c r="E391">
        <v>0</v>
      </c>
      <c r="F391">
        <v>0</v>
      </c>
      <c r="G391">
        <v>15</v>
      </c>
      <c r="H391" t="s">
        <v>69</v>
      </c>
      <c r="I391">
        <v>30</v>
      </c>
    </row>
    <row r="392" spans="1:9" x14ac:dyDescent="0.3">
      <c r="A392">
        <v>127</v>
      </c>
      <c r="B392" t="s">
        <v>7</v>
      </c>
      <c r="C392" t="s">
        <v>14</v>
      </c>
      <c r="D392">
        <v>8</v>
      </c>
      <c r="E392">
        <v>6</v>
      </c>
      <c r="F392">
        <v>0</v>
      </c>
      <c r="G392">
        <v>20</v>
      </c>
      <c r="H392" t="s">
        <v>62</v>
      </c>
      <c r="I392">
        <v>34</v>
      </c>
    </row>
    <row r="393" spans="1:9" x14ac:dyDescent="0.3">
      <c r="A393">
        <v>127</v>
      </c>
      <c r="B393" t="s">
        <v>7</v>
      </c>
      <c r="C393" t="s">
        <v>15</v>
      </c>
      <c r="D393">
        <v>5</v>
      </c>
      <c r="E393">
        <v>0</v>
      </c>
      <c r="F393">
        <v>0</v>
      </c>
      <c r="G393">
        <v>13</v>
      </c>
      <c r="H393" t="s">
        <v>65</v>
      </c>
      <c r="I393">
        <v>18</v>
      </c>
    </row>
    <row r="394" spans="1:9" x14ac:dyDescent="0.3">
      <c r="A394">
        <v>127</v>
      </c>
      <c r="B394" t="s">
        <v>7</v>
      </c>
      <c r="C394" t="s">
        <v>16</v>
      </c>
      <c r="D394">
        <v>6</v>
      </c>
      <c r="E394">
        <v>3</v>
      </c>
      <c r="F394">
        <v>0</v>
      </c>
      <c r="G394">
        <v>22</v>
      </c>
      <c r="H394" t="s">
        <v>61</v>
      </c>
      <c r="I394">
        <v>31</v>
      </c>
    </row>
    <row r="395" spans="1:9" x14ac:dyDescent="0.3">
      <c r="A395">
        <v>127</v>
      </c>
      <c r="B395" t="s">
        <v>7</v>
      </c>
      <c r="C395" t="s">
        <v>29</v>
      </c>
      <c r="D395">
        <v>0</v>
      </c>
      <c r="E395">
        <v>0</v>
      </c>
      <c r="F395">
        <v>0</v>
      </c>
      <c r="G395">
        <v>7</v>
      </c>
      <c r="H395" t="s">
        <v>67</v>
      </c>
      <c r="I395">
        <v>7</v>
      </c>
    </row>
    <row r="396" spans="1:9" x14ac:dyDescent="0.3">
      <c r="A396">
        <v>127</v>
      </c>
      <c r="B396" t="s">
        <v>33</v>
      </c>
      <c r="C396" t="s">
        <v>8</v>
      </c>
      <c r="D396">
        <v>0</v>
      </c>
      <c r="E396">
        <v>0</v>
      </c>
      <c r="F396">
        <v>1</v>
      </c>
      <c r="G396">
        <v>0</v>
      </c>
      <c r="H396" t="s">
        <v>8</v>
      </c>
      <c r="I396">
        <v>1</v>
      </c>
    </row>
    <row r="397" spans="1:9" x14ac:dyDescent="0.3">
      <c r="A397">
        <v>127</v>
      </c>
      <c r="B397" t="s">
        <v>33</v>
      </c>
      <c r="C397" t="s">
        <v>9</v>
      </c>
      <c r="D397">
        <v>0</v>
      </c>
      <c r="E397">
        <v>0</v>
      </c>
      <c r="F397">
        <v>38</v>
      </c>
      <c r="G397">
        <v>0</v>
      </c>
      <c r="H397" t="s">
        <v>9</v>
      </c>
      <c r="I397">
        <v>38</v>
      </c>
    </row>
    <row r="398" spans="1:9" x14ac:dyDescent="0.3">
      <c r="A398">
        <v>127</v>
      </c>
      <c r="B398" t="s">
        <v>33</v>
      </c>
      <c r="C398" t="s">
        <v>17</v>
      </c>
      <c r="D398">
        <v>7</v>
      </c>
      <c r="E398">
        <v>1</v>
      </c>
      <c r="F398">
        <v>0</v>
      </c>
      <c r="G398">
        <v>11</v>
      </c>
      <c r="H398" t="s">
        <v>66</v>
      </c>
      <c r="I398">
        <v>19</v>
      </c>
    </row>
    <row r="399" spans="1:9" x14ac:dyDescent="0.3">
      <c r="A399">
        <v>127</v>
      </c>
      <c r="B399" t="s">
        <v>33</v>
      </c>
      <c r="C399" t="s">
        <v>28</v>
      </c>
      <c r="D399">
        <v>20</v>
      </c>
      <c r="E399">
        <v>13</v>
      </c>
      <c r="F399">
        <v>0</v>
      </c>
      <c r="G399">
        <v>26</v>
      </c>
      <c r="H399" t="s">
        <v>28</v>
      </c>
      <c r="I399">
        <v>59</v>
      </c>
    </row>
    <row r="400" spans="1:9" x14ac:dyDescent="0.3">
      <c r="A400">
        <v>128</v>
      </c>
      <c r="B400" t="s">
        <v>7</v>
      </c>
      <c r="C400" t="s">
        <v>11</v>
      </c>
      <c r="D400">
        <v>19</v>
      </c>
      <c r="E400">
        <v>11</v>
      </c>
      <c r="F400">
        <v>0</v>
      </c>
      <c r="G400">
        <v>27</v>
      </c>
      <c r="H400" t="s">
        <v>63</v>
      </c>
      <c r="I400">
        <v>57</v>
      </c>
    </row>
    <row r="401" spans="1:9" x14ac:dyDescent="0.3">
      <c r="A401">
        <v>128</v>
      </c>
      <c r="B401" t="s">
        <v>7</v>
      </c>
      <c r="C401" t="s">
        <v>12</v>
      </c>
      <c r="D401">
        <v>27</v>
      </c>
      <c r="E401">
        <v>13</v>
      </c>
      <c r="F401">
        <v>0</v>
      </c>
      <c r="G401">
        <v>32</v>
      </c>
      <c r="H401" t="s">
        <v>64</v>
      </c>
      <c r="I401">
        <v>72</v>
      </c>
    </row>
    <row r="402" spans="1:9" x14ac:dyDescent="0.3">
      <c r="A402">
        <v>128</v>
      </c>
      <c r="B402" t="s">
        <v>7</v>
      </c>
      <c r="C402" t="s">
        <v>13</v>
      </c>
      <c r="D402">
        <v>3</v>
      </c>
      <c r="E402">
        <v>1</v>
      </c>
      <c r="F402">
        <v>0</v>
      </c>
      <c r="G402">
        <v>12</v>
      </c>
      <c r="H402" t="s">
        <v>69</v>
      </c>
      <c r="I402">
        <v>16</v>
      </c>
    </row>
    <row r="403" spans="1:9" x14ac:dyDescent="0.3">
      <c r="A403">
        <v>128</v>
      </c>
      <c r="B403" t="s">
        <v>7</v>
      </c>
      <c r="C403" t="s">
        <v>14</v>
      </c>
      <c r="D403">
        <v>2</v>
      </c>
      <c r="E403">
        <v>1</v>
      </c>
      <c r="F403">
        <v>0</v>
      </c>
      <c r="G403">
        <v>15</v>
      </c>
      <c r="H403" t="s">
        <v>62</v>
      </c>
      <c r="I403">
        <v>18</v>
      </c>
    </row>
    <row r="404" spans="1:9" x14ac:dyDescent="0.3">
      <c r="A404">
        <v>128</v>
      </c>
      <c r="B404" t="s">
        <v>7</v>
      </c>
      <c r="C404" t="s">
        <v>15</v>
      </c>
      <c r="D404">
        <v>17</v>
      </c>
      <c r="E404">
        <v>2</v>
      </c>
      <c r="F404">
        <v>0</v>
      </c>
      <c r="G404">
        <v>33</v>
      </c>
      <c r="H404" t="s">
        <v>65</v>
      </c>
      <c r="I404">
        <v>52</v>
      </c>
    </row>
    <row r="405" spans="1:9" x14ac:dyDescent="0.3">
      <c r="A405">
        <v>128</v>
      </c>
      <c r="B405" t="s">
        <v>7</v>
      </c>
      <c r="C405" t="s">
        <v>16</v>
      </c>
      <c r="D405">
        <v>4</v>
      </c>
      <c r="E405">
        <v>5</v>
      </c>
      <c r="F405">
        <v>0</v>
      </c>
      <c r="G405">
        <v>15</v>
      </c>
      <c r="H405" t="s">
        <v>61</v>
      </c>
      <c r="I405">
        <v>24</v>
      </c>
    </row>
    <row r="406" spans="1:9" x14ac:dyDescent="0.3">
      <c r="A406">
        <v>128</v>
      </c>
      <c r="B406" t="s">
        <v>7</v>
      </c>
      <c r="C406" t="s">
        <v>20</v>
      </c>
      <c r="D406">
        <v>0</v>
      </c>
      <c r="E406">
        <v>0</v>
      </c>
      <c r="F406">
        <v>0</v>
      </c>
      <c r="G406">
        <v>2</v>
      </c>
      <c r="H406" t="s">
        <v>60</v>
      </c>
      <c r="I406">
        <v>2</v>
      </c>
    </row>
    <row r="407" spans="1:9" x14ac:dyDescent="0.3">
      <c r="A407">
        <v>128</v>
      </c>
      <c r="B407" t="s">
        <v>7</v>
      </c>
      <c r="C407" t="s">
        <v>29</v>
      </c>
      <c r="D407">
        <v>2</v>
      </c>
      <c r="E407">
        <v>2</v>
      </c>
      <c r="F407">
        <v>0</v>
      </c>
      <c r="G407">
        <v>9</v>
      </c>
      <c r="H407" t="s">
        <v>67</v>
      </c>
      <c r="I407">
        <v>13</v>
      </c>
    </row>
    <row r="408" spans="1:9" x14ac:dyDescent="0.3">
      <c r="A408">
        <v>128</v>
      </c>
      <c r="B408" t="s">
        <v>33</v>
      </c>
      <c r="C408" t="s">
        <v>8</v>
      </c>
      <c r="D408">
        <v>0</v>
      </c>
      <c r="E408">
        <v>0</v>
      </c>
      <c r="F408">
        <v>4</v>
      </c>
      <c r="G408">
        <v>0</v>
      </c>
      <c r="H408" t="s">
        <v>8</v>
      </c>
      <c r="I408">
        <v>4</v>
      </c>
    </row>
    <row r="409" spans="1:9" x14ac:dyDescent="0.3">
      <c r="A409">
        <v>128</v>
      </c>
      <c r="B409" t="s">
        <v>33</v>
      </c>
      <c r="C409" t="s">
        <v>9</v>
      </c>
      <c r="D409">
        <v>0</v>
      </c>
      <c r="E409">
        <v>0</v>
      </c>
      <c r="F409">
        <v>85</v>
      </c>
      <c r="G409">
        <v>0</v>
      </c>
      <c r="H409" t="s">
        <v>9</v>
      </c>
      <c r="I409">
        <v>85</v>
      </c>
    </row>
    <row r="410" spans="1:9" x14ac:dyDescent="0.3">
      <c r="A410">
        <v>128</v>
      </c>
      <c r="B410" t="s">
        <v>33</v>
      </c>
      <c r="C410" t="s">
        <v>13</v>
      </c>
      <c r="D410">
        <v>0</v>
      </c>
      <c r="E410">
        <v>0</v>
      </c>
      <c r="F410">
        <v>0</v>
      </c>
      <c r="G410">
        <v>1</v>
      </c>
      <c r="H410" t="s">
        <v>69</v>
      </c>
      <c r="I410">
        <v>1</v>
      </c>
    </row>
    <row r="411" spans="1:9" x14ac:dyDescent="0.3">
      <c r="A411">
        <v>128</v>
      </c>
      <c r="B411" t="s">
        <v>33</v>
      </c>
      <c r="C411" t="s">
        <v>17</v>
      </c>
      <c r="D411">
        <v>8</v>
      </c>
      <c r="E411">
        <v>1</v>
      </c>
      <c r="F411">
        <v>0</v>
      </c>
      <c r="G411">
        <v>19</v>
      </c>
      <c r="H411" t="s">
        <v>66</v>
      </c>
      <c r="I411">
        <v>28</v>
      </c>
    </row>
    <row r="412" spans="1:9" x14ac:dyDescent="0.3">
      <c r="A412">
        <v>128</v>
      </c>
      <c r="B412" t="s">
        <v>33</v>
      </c>
      <c r="C412" t="s">
        <v>28</v>
      </c>
      <c r="D412">
        <v>16</v>
      </c>
      <c r="E412">
        <v>1</v>
      </c>
      <c r="F412">
        <v>0</v>
      </c>
      <c r="G412">
        <v>28</v>
      </c>
      <c r="H412" t="s">
        <v>28</v>
      </c>
      <c r="I412">
        <v>45</v>
      </c>
    </row>
    <row r="413" spans="1:9" x14ac:dyDescent="0.3">
      <c r="A413">
        <v>128</v>
      </c>
      <c r="B413" t="s">
        <v>33</v>
      </c>
      <c r="C413" t="s">
        <v>29</v>
      </c>
      <c r="D413">
        <v>0</v>
      </c>
      <c r="E413">
        <v>0</v>
      </c>
      <c r="F413">
        <v>0</v>
      </c>
      <c r="G413">
        <v>1</v>
      </c>
      <c r="H413" t="s">
        <v>67</v>
      </c>
      <c r="I413">
        <v>1</v>
      </c>
    </row>
    <row r="414" spans="1:9" x14ac:dyDescent="0.3">
      <c r="A414">
        <v>129</v>
      </c>
      <c r="B414" t="s">
        <v>7</v>
      </c>
      <c r="C414" t="s">
        <v>11</v>
      </c>
      <c r="D414">
        <v>12</v>
      </c>
      <c r="E414">
        <v>0</v>
      </c>
      <c r="F414">
        <v>0</v>
      </c>
      <c r="G414">
        <v>14</v>
      </c>
      <c r="H414" t="s">
        <v>63</v>
      </c>
      <c r="I414">
        <v>26</v>
      </c>
    </row>
    <row r="415" spans="1:9" x14ac:dyDescent="0.3">
      <c r="A415">
        <v>129</v>
      </c>
      <c r="B415" t="s">
        <v>7</v>
      </c>
      <c r="C415" t="s">
        <v>12</v>
      </c>
      <c r="D415">
        <v>22</v>
      </c>
      <c r="E415">
        <v>1</v>
      </c>
      <c r="F415">
        <v>0</v>
      </c>
      <c r="G415">
        <v>15</v>
      </c>
      <c r="H415" t="s">
        <v>64</v>
      </c>
      <c r="I415">
        <v>38</v>
      </c>
    </row>
    <row r="416" spans="1:9" x14ac:dyDescent="0.3">
      <c r="A416">
        <v>129</v>
      </c>
      <c r="B416" t="s">
        <v>7</v>
      </c>
      <c r="C416" t="s">
        <v>13</v>
      </c>
      <c r="D416">
        <v>4</v>
      </c>
      <c r="E416">
        <v>0</v>
      </c>
      <c r="F416">
        <v>0</v>
      </c>
      <c r="G416">
        <v>11</v>
      </c>
      <c r="H416" t="s">
        <v>69</v>
      </c>
      <c r="I416">
        <v>15</v>
      </c>
    </row>
    <row r="417" spans="1:9" x14ac:dyDescent="0.3">
      <c r="A417">
        <v>129</v>
      </c>
      <c r="B417" t="s">
        <v>7</v>
      </c>
      <c r="C417" t="s">
        <v>14</v>
      </c>
      <c r="D417">
        <v>2</v>
      </c>
      <c r="E417">
        <v>4</v>
      </c>
      <c r="F417">
        <v>0</v>
      </c>
      <c r="G417">
        <v>15</v>
      </c>
      <c r="H417" t="s">
        <v>62</v>
      </c>
      <c r="I417">
        <v>21</v>
      </c>
    </row>
    <row r="418" spans="1:9" x14ac:dyDescent="0.3">
      <c r="A418">
        <v>129</v>
      </c>
      <c r="B418" t="s">
        <v>7</v>
      </c>
      <c r="C418" t="s">
        <v>15</v>
      </c>
      <c r="D418">
        <v>2</v>
      </c>
      <c r="E418">
        <v>5</v>
      </c>
      <c r="F418">
        <v>0</v>
      </c>
      <c r="G418">
        <v>12</v>
      </c>
      <c r="H418" t="s">
        <v>65</v>
      </c>
      <c r="I418">
        <v>19</v>
      </c>
    </row>
    <row r="419" spans="1:9" x14ac:dyDescent="0.3">
      <c r="A419">
        <v>129</v>
      </c>
      <c r="B419" t="s">
        <v>33</v>
      </c>
      <c r="C419" t="s">
        <v>8</v>
      </c>
      <c r="D419">
        <v>0</v>
      </c>
      <c r="E419">
        <v>0</v>
      </c>
      <c r="F419">
        <v>4</v>
      </c>
      <c r="G419">
        <v>0</v>
      </c>
      <c r="H419" t="s">
        <v>8</v>
      </c>
      <c r="I419">
        <v>4</v>
      </c>
    </row>
    <row r="420" spans="1:9" x14ac:dyDescent="0.3">
      <c r="A420">
        <v>129</v>
      </c>
      <c r="B420" t="s">
        <v>33</v>
      </c>
      <c r="C420" t="s">
        <v>9</v>
      </c>
      <c r="D420">
        <v>0</v>
      </c>
      <c r="E420">
        <v>0</v>
      </c>
      <c r="F420">
        <v>47</v>
      </c>
      <c r="G420">
        <v>0</v>
      </c>
      <c r="H420" t="s">
        <v>9</v>
      </c>
      <c r="I420">
        <v>47</v>
      </c>
    </row>
    <row r="421" spans="1:9" x14ac:dyDescent="0.3">
      <c r="A421">
        <v>129</v>
      </c>
      <c r="B421" t="s">
        <v>33</v>
      </c>
      <c r="C421" t="s">
        <v>10</v>
      </c>
      <c r="D421">
        <v>18</v>
      </c>
      <c r="E421">
        <v>0</v>
      </c>
      <c r="F421">
        <v>0</v>
      </c>
      <c r="G421">
        <v>13</v>
      </c>
      <c r="H421" t="s">
        <v>68</v>
      </c>
      <c r="I421">
        <v>31</v>
      </c>
    </row>
    <row r="422" spans="1:9" x14ac:dyDescent="0.3">
      <c r="A422">
        <v>129</v>
      </c>
      <c r="B422" t="s">
        <v>33</v>
      </c>
      <c r="C422" t="s">
        <v>11</v>
      </c>
      <c r="D422">
        <v>4</v>
      </c>
      <c r="E422">
        <v>1</v>
      </c>
      <c r="F422">
        <v>0</v>
      </c>
      <c r="G422">
        <v>9</v>
      </c>
      <c r="H422" t="s">
        <v>63</v>
      </c>
      <c r="I422">
        <v>14</v>
      </c>
    </row>
    <row r="423" spans="1:9" x14ac:dyDescent="0.3">
      <c r="A423">
        <v>129</v>
      </c>
      <c r="B423" t="s">
        <v>33</v>
      </c>
      <c r="C423" t="s">
        <v>12</v>
      </c>
      <c r="D423">
        <v>15</v>
      </c>
      <c r="E423">
        <v>2</v>
      </c>
      <c r="F423">
        <v>0</v>
      </c>
      <c r="G423">
        <v>13</v>
      </c>
      <c r="H423" t="s">
        <v>64</v>
      </c>
      <c r="I423">
        <v>30</v>
      </c>
    </row>
    <row r="424" spans="1:9" x14ac:dyDescent="0.3">
      <c r="A424">
        <v>129</v>
      </c>
      <c r="B424" t="s">
        <v>33</v>
      </c>
      <c r="C424" t="s">
        <v>13</v>
      </c>
      <c r="D424">
        <v>9</v>
      </c>
      <c r="E424">
        <v>11</v>
      </c>
      <c r="F424">
        <v>0</v>
      </c>
      <c r="G424">
        <v>11</v>
      </c>
      <c r="H424" t="s">
        <v>69</v>
      </c>
      <c r="I424">
        <v>31</v>
      </c>
    </row>
    <row r="425" spans="1:9" x14ac:dyDescent="0.3">
      <c r="A425">
        <v>129</v>
      </c>
      <c r="B425" t="s">
        <v>33</v>
      </c>
      <c r="C425" t="s">
        <v>14</v>
      </c>
      <c r="D425">
        <v>3</v>
      </c>
      <c r="E425">
        <v>3</v>
      </c>
      <c r="F425">
        <v>0</v>
      </c>
      <c r="G425">
        <v>6</v>
      </c>
      <c r="H425" t="s">
        <v>62</v>
      </c>
      <c r="I425">
        <v>12</v>
      </c>
    </row>
    <row r="426" spans="1:9" x14ac:dyDescent="0.3">
      <c r="A426">
        <v>129</v>
      </c>
      <c r="B426" t="s">
        <v>33</v>
      </c>
      <c r="C426" t="s">
        <v>15</v>
      </c>
      <c r="D426">
        <v>2</v>
      </c>
      <c r="E426">
        <v>0</v>
      </c>
      <c r="F426">
        <v>0</v>
      </c>
      <c r="G426">
        <v>8</v>
      </c>
      <c r="H426" t="s">
        <v>65</v>
      </c>
      <c r="I426">
        <v>10</v>
      </c>
    </row>
    <row r="427" spans="1:9" x14ac:dyDescent="0.3">
      <c r="A427">
        <v>129</v>
      </c>
      <c r="B427" t="s">
        <v>33</v>
      </c>
      <c r="C427" t="s">
        <v>17</v>
      </c>
      <c r="D427">
        <v>5</v>
      </c>
      <c r="E427">
        <v>1</v>
      </c>
      <c r="F427">
        <v>0</v>
      </c>
      <c r="G427">
        <v>3</v>
      </c>
      <c r="H427" t="s">
        <v>66</v>
      </c>
      <c r="I427">
        <v>9</v>
      </c>
    </row>
    <row r="428" spans="1:9" x14ac:dyDescent="0.3">
      <c r="A428">
        <v>129</v>
      </c>
      <c r="B428" t="s">
        <v>33</v>
      </c>
      <c r="C428" t="s">
        <v>19</v>
      </c>
      <c r="D428">
        <v>15</v>
      </c>
      <c r="E428">
        <v>21</v>
      </c>
      <c r="F428">
        <v>0</v>
      </c>
      <c r="G428">
        <v>21</v>
      </c>
      <c r="H428" t="s">
        <v>70</v>
      </c>
      <c r="I428">
        <v>57</v>
      </c>
    </row>
    <row r="429" spans="1:9" x14ac:dyDescent="0.3">
      <c r="A429">
        <v>129</v>
      </c>
      <c r="B429" t="s">
        <v>33</v>
      </c>
      <c r="C429" t="s">
        <v>28</v>
      </c>
      <c r="D429">
        <v>0</v>
      </c>
      <c r="E429">
        <v>0</v>
      </c>
      <c r="F429">
        <v>0</v>
      </c>
      <c r="G429">
        <v>3</v>
      </c>
      <c r="H429" t="s">
        <v>28</v>
      </c>
      <c r="I429">
        <v>3</v>
      </c>
    </row>
    <row r="430" spans="1:9" x14ac:dyDescent="0.3">
      <c r="A430">
        <v>129</v>
      </c>
      <c r="B430" t="s">
        <v>33</v>
      </c>
      <c r="C430" t="s">
        <v>29</v>
      </c>
      <c r="D430">
        <v>4</v>
      </c>
      <c r="E430">
        <v>0</v>
      </c>
      <c r="F430">
        <v>0</v>
      </c>
      <c r="G430">
        <v>4</v>
      </c>
      <c r="H430" t="s">
        <v>67</v>
      </c>
      <c r="I430">
        <v>8</v>
      </c>
    </row>
    <row r="431" spans="1:9" x14ac:dyDescent="0.3">
      <c r="A431">
        <v>130</v>
      </c>
      <c r="B431" t="s">
        <v>7</v>
      </c>
      <c r="C431" t="s">
        <v>11</v>
      </c>
      <c r="D431">
        <v>0</v>
      </c>
      <c r="E431">
        <v>0</v>
      </c>
      <c r="F431">
        <v>0</v>
      </c>
      <c r="G431">
        <v>2</v>
      </c>
      <c r="H431" t="s">
        <v>63</v>
      </c>
      <c r="I431">
        <v>2</v>
      </c>
    </row>
    <row r="432" spans="1:9" x14ac:dyDescent="0.3">
      <c r="A432">
        <v>130</v>
      </c>
      <c r="B432" t="s">
        <v>7</v>
      </c>
      <c r="C432" t="s">
        <v>12</v>
      </c>
      <c r="D432">
        <v>12</v>
      </c>
      <c r="E432">
        <v>16</v>
      </c>
      <c r="F432">
        <v>0</v>
      </c>
      <c r="G432">
        <v>15</v>
      </c>
      <c r="H432" t="s">
        <v>64</v>
      </c>
      <c r="I432">
        <v>43</v>
      </c>
    </row>
    <row r="433" spans="1:9" x14ac:dyDescent="0.3">
      <c r="A433">
        <v>130</v>
      </c>
      <c r="B433" t="s">
        <v>7</v>
      </c>
      <c r="C433" t="s">
        <v>13</v>
      </c>
      <c r="D433">
        <v>6</v>
      </c>
      <c r="E433">
        <v>0</v>
      </c>
      <c r="F433">
        <v>0</v>
      </c>
      <c r="G433">
        <v>7</v>
      </c>
      <c r="H433" t="s">
        <v>69</v>
      </c>
      <c r="I433">
        <v>13</v>
      </c>
    </row>
    <row r="434" spans="1:9" x14ac:dyDescent="0.3">
      <c r="A434">
        <v>130</v>
      </c>
      <c r="B434" t="s">
        <v>7</v>
      </c>
      <c r="C434" t="s">
        <v>14</v>
      </c>
      <c r="D434">
        <v>0</v>
      </c>
      <c r="E434">
        <v>0</v>
      </c>
      <c r="F434">
        <v>0</v>
      </c>
      <c r="G434">
        <v>2</v>
      </c>
      <c r="H434" t="s">
        <v>62</v>
      </c>
      <c r="I434">
        <v>2</v>
      </c>
    </row>
    <row r="435" spans="1:9" x14ac:dyDescent="0.3">
      <c r="A435">
        <v>130</v>
      </c>
      <c r="B435" t="s">
        <v>7</v>
      </c>
      <c r="C435" t="s">
        <v>15</v>
      </c>
      <c r="D435">
        <v>0</v>
      </c>
      <c r="E435">
        <v>0</v>
      </c>
      <c r="F435">
        <v>0</v>
      </c>
      <c r="G435">
        <v>2</v>
      </c>
      <c r="H435" t="s">
        <v>65</v>
      </c>
      <c r="I435">
        <v>2</v>
      </c>
    </row>
    <row r="436" spans="1:9" x14ac:dyDescent="0.3">
      <c r="A436">
        <v>130</v>
      </c>
      <c r="B436" t="s">
        <v>7</v>
      </c>
      <c r="C436" t="s">
        <v>16</v>
      </c>
      <c r="D436">
        <v>9</v>
      </c>
      <c r="E436">
        <v>9</v>
      </c>
      <c r="F436">
        <v>0</v>
      </c>
      <c r="G436">
        <v>18</v>
      </c>
      <c r="H436" t="s">
        <v>61</v>
      </c>
      <c r="I436">
        <v>36</v>
      </c>
    </row>
    <row r="437" spans="1:9" x14ac:dyDescent="0.3">
      <c r="A437">
        <v>130</v>
      </c>
      <c r="B437" t="s">
        <v>7</v>
      </c>
      <c r="C437" t="s">
        <v>26</v>
      </c>
      <c r="D437">
        <v>7</v>
      </c>
      <c r="E437">
        <v>5</v>
      </c>
      <c r="F437">
        <v>0</v>
      </c>
      <c r="G437">
        <v>11</v>
      </c>
      <c r="H437" t="s">
        <v>71</v>
      </c>
      <c r="I437">
        <v>23</v>
      </c>
    </row>
    <row r="438" spans="1:9" x14ac:dyDescent="0.3">
      <c r="A438">
        <v>130</v>
      </c>
      <c r="B438" t="s">
        <v>33</v>
      </c>
      <c r="C438" t="s">
        <v>8</v>
      </c>
      <c r="D438">
        <v>0</v>
      </c>
      <c r="E438">
        <v>0</v>
      </c>
      <c r="F438">
        <v>3</v>
      </c>
      <c r="G438">
        <v>0</v>
      </c>
      <c r="H438" t="s">
        <v>8</v>
      </c>
      <c r="I438">
        <v>3</v>
      </c>
    </row>
    <row r="439" spans="1:9" x14ac:dyDescent="0.3">
      <c r="A439">
        <v>130</v>
      </c>
      <c r="B439" t="s">
        <v>33</v>
      </c>
      <c r="C439" t="s">
        <v>9</v>
      </c>
      <c r="D439">
        <v>0</v>
      </c>
      <c r="E439">
        <v>0</v>
      </c>
      <c r="F439">
        <v>65</v>
      </c>
      <c r="G439">
        <v>0</v>
      </c>
      <c r="H439" t="s">
        <v>9</v>
      </c>
      <c r="I439">
        <v>65</v>
      </c>
    </row>
    <row r="440" spans="1:9" x14ac:dyDescent="0.3">
      <c r="A440">
        <v>130</v>
      </c>
      <c r="B440" t="s">
        <v>33</v>
      </c>
      <c r="C440" t="s">
        <v>10</v>
      </c>
      <c r="D440">
        <v>0</v>
      </c>
      <c r="E440">
        <v>0</v>
      </c>
      <c r="F440">
        <v>0</v>
      </c>
      <c r="G440">
        <v>3</v>
      </c>
      <c r="H440" t="s">
        <v>68</v>
      </c>
      <c r="I440">
        <v>3</v>
      </c>
    </row>
    <row r="441" spans="1:9" x14ac:dyDescent="0.3">
      <c r="A441">
        <v>130</v>
      </c>
      <c r="B441" t="s">
        <v>33</v>
      </c>
      <c r="C441" t="s">
        <v>11</v>
      </c>
      <c r="D441">
        <v>0</v>
      </c>
      <c r="E441">
        <v>0</v>
      </c>
      <c r="F441">
        <v>0</v>
      </c>
      <c r="G441">
        <v>3</v>
      </c>
      <c r="H441" t="s">
        <v>63</v>
      </c>
      <c r="I441">
        <v>3</v>
      </c>
    </row>
    <row r="442" spans="1:9" x14ac:dyDescent="0.3">
      <c r="A442">
        <v>130</v>
      </c>
      <c r="B442" t="s">
        <v>33</v>
      </c>
      <c r="C442" t="s">
        <v>12</v>
      </c>
      <c r="D442">
        <v>16</v>
      </c>
      <c r="E442">
        <v>8</v>
      </c>
      <c r="F442">
        <v>0</v>
      </c>
      <c r="G442">
        <v>14</v>
      </c>
      <c r="H442" t="s">
        <v>64</v>
      </c>
      <c r="I442">
        <v>38</v>
      </c>
    </row>
    <row r="443" spans="1:9" x14ac:dyDescent="0.3">
      <c r="A443">
        <v>130</v>
      </c>
      <c r="B443" t="s">
        <v>33</v>
      </c>
      <c r="C443" t="s">
        <v>13</v>
      </c>
      <c r="D443">
        <v>12</v>
      </c>
      <c r="E443">
        <v>5</v>
      </c>
      <c r="F443">
        <v>0</v>
      </c>
      <c r="G443">
        <v>20</v>
      </c>
      <c r="H443" t="s">
        <v>69</v>
      </c>
      <c r="I443">
        <v>37</v>
      </c>
    </row>
    <row r="444" spans="1:9" x14ac:dyDescent="0.3">
      <c r="A444">
        <v>130</v>
      </c>
      <c r="B444" t="s">
        <v>33</v>
      </c>
      <c r="C444" t="s">
        <v>14</v>
      </c>
      <c r="D444">
        <v>5</v>
      </c>
      <c r="E444">
        <v>3</v>
      </c>
      <c r="F444">
        <v>0</v>
      </c>
      <c r="G444">
        <v>7</v>
      </c>
      <c r="H444" t="s">
        <v>62</v>
      </c>
      <c r="I444">
        <v>15</v>
      </c>
    </row>
    <row r="445" spans="1:9" x14ac:dyDescent="0.3">
      <c r="A445">
        <v>130</v>
      </c>
      <c r="B445" t="s">
        <v>33</v>
      </c>
      <c r="C445" t="s">
        <v>15</v>
      </c>
      <c r="D445">
        <v>0</v>
      </c>
      <c r="E445">
        <v>0</v>
      </c>
      <c r="F445">
        <v>0</v>
      </c>
      <c r="G445">
        <v>4</v>
      </c>
      <c r="H445" t="s">
        <v>65</v>
      </c>
      <c r="I445">
        <v>4</v>
      </c>
    </row>
    <row r="446" spans="1:9" x14ac:dyDescent="0.3">
      <c r="A446">
        <v>130</v>
      </c>
      <c r="B446" t="s">
        <v>33</v>
      </c>
      <c r="C446" t="s">
        <v>19</v>
      </c>
      <c r="D446">
        <v>6</v>
      </c>
      <c r="E446">
        <v>0</v>
      </c>
      <c r="F446">
        <v>9</v>
      </c>
      <c r="G446">
        <v>12</v>
      </c>
      <c r="H446" t="s">
        <v>70</v>
      </c>
      <c r="I446">
        <v>27</v>
      </c>
    </row>
    <row r="447" spans="1:9" x14ac:dyDescent="0.3">
      <c r="A447">
        <v>131</v>
      </c>
      <c r="B447" t="s">
        <v>7</v>
      </c>
      <c r="C447" t="s">
        <v>11</v>
      </c>
      <c r="D447">
        <v>0</v>
      </c>
      <c r="E447">
        <v>0</v>
      </c>
      <c r="F447">
        <v>0</v>
      </c>
      <c r="G447">
        <v>1</v>
      </c>
      <c r="H447" t="s">
        <v>63</v>
      </c>
      <c r="I447">
        <v>1</v>
      </c>
    </row>
    <row r="448" spans="1:9" x14ac:dyDescent="0.3">
      <c r="A448">
        <v>131</v>
      </c>
      <c r="B448" t="s">
        <v>7</v>
      </c>
      <c r="C448" t="s">
        <v>12</v>
      </c>
      <c r="D448">
        <v>24</v>
      </c>
      <c r="E448">
        <v>8</v>
      </c>
      <c r="F448">
        <v>0</v>
      </c>
      <c r="G448">
        <v>29</v>
      </c>
      <c r="H448" t="s">
        <v>64</v>
      </c>
      <c r="I448">
        <v>61</v>
      </c>
    </row>
    <row r="449" spans="1:9" x14ac:dyDescent="0.3">
      <c r="A449">
        <v>131</v>
      </c>
      <c r="B449" t="s">
        <v>7</v>
      </c>
      <c r="C449" t="s">
        <v>13</v>
      </c>
      <c r="D449">
        <v>16</v>
      </c>
      <c r="E449">
        <v>3</v>
      </c>
      <c r="F449">
        <v>0</v>
      </c>
      <c r="G449">
        <v>26</v>
      </c>
      <c r="H449" t="s">
        <v>69</v>
      </c>
      <c r="I449">
        <v>45</v>
      </c>
    </row>
    <row r="450" spans="1:9" x14ac:dyDescent="0.3">
      <c r="A450">
        <v>131</v>
      </c>
      <c r="B450" t="s">
        <v>7</v>
      </c>
      <c r="C450" t="s">
        <v>14</v>
      </c>
      <c r="D450">
        <v>0</v>
      </c>
      <c r="E450">
        <v>0</v>
      </c>
      <c r="F450">
        <v>0</v>
      </c>
      <c r="G450">
        <v>1</v>
      </c>
      <c r="H450" t="s">
        <v>62</v>
      </c>
      <c r="I450">
        <v>1</v>
      </c>
    </row>
    <row r="451" spans="1:9" x14ac:dyDescent="0.3">
      <c r="A451">
        <v>131</v>
      </c>
      <c r="B451" t="s">
        <v>7</v>
      </c>
      <c r="C451" t="s">
        <v>15</v>
      </c>
      <c r="D451">
        <v>0</v>
      </c>
      <c r="E451">
        <v>0</v>
      </c>
      <c r="F451">
        <v>0</v>
      </c>
      <c r="G451">
        <v>1</v>
      </c>
      <c r="H451" t="s">
        <v>65</v>
      </c>
      <c r="I451">
        <v>1</v>
      </c>
    </row>
    <row r="452" spans="1:9" x14ac:dyDescent="0.3">
      <c r="A452">
        <v>131</v>
      </c>
      <c r="B452" t="s">
        <v>7</v>
      </c>
      <c r="C452" t="s">
        <v>16</v>
      </c>
      <c r="D452">
        <v>10</v>
      </c>
      <c r="E452">
        <v>4</v>
      </c>
      <c r="F452">
        <v>0</v>
      </c>
      <c r="G452">
        <v>19</v>
      </c>
      <c r="H452" t="s">
        <v>61</v>
      </c>
      <c r="I452">
        <v>33</v>
      </c>
    </row>
    <row r="453" spans="1:9" x14ac:dyDescent="0.3">
      <c r="A453">
        <v>131</v>
      </c>
      <c r="B453" t="s">
        <v>7</v>
      </c>
      <c r="C453" t="s">
        <v>26</v>
      </c>
      <c r="D453">
        <v>0</v>
      </c>
      <c r="E453">
        <v>4</v>
      </c>
      <c r="F453">
        <v>0</v>
      </c>
      <c r="G453">
        <v>15</v>
      </c>
      <c r="H453" t="s">
        <v>71</v>
      </c>
      <c r="I453">
        <v>19</v>
      </c>
    </row>
    <row r="454" spans="1:9" x14ac:dyDescent="0.3">
      <c r="A454">
        <v>131</v>
      </c>
      <c r="B454" t="s">
        <v>33</v>
      </c>
      <c r="C454" t="s">
        <v>8</v>
      </c>
      <c r="D454">
        <v>0</v>
      </c>
      <c r="E454">
        <v>0</v>
      </c>
      <c r="F454">
        <v>5</v>
      </c>
      <c r="G454">
        <v>0</v>
      </c>
      <c r="H454" t="s">
        <v>8</v>
      </c>
      <c r="I454">
        <v>5</v>
      </c>
    </row>
    <row r="455" spans="1:9" x14ac:dyDescent="0.3">
      <c r="A455">
        <v>131</v>
      </c>
      <c r="B455" t="s">
        <v>33</v>
      </c>
      <c r="C455" t="s">
        <v>9</v>
      </c>
      <c r="D455">
        <v>0</v>
      </c>
      <c r="E455">
        <v>0</v>
      </c>
      <c r="F455">
        <v>39</v>
      </c>
      <c r="G455">
        <v>0</v>
      </c>
      <c r="H455" t="s">
        <v>9</v>
      </c>
      <c r="I455">
        <v>39</v>
      </c>
    </row>
    <row r="456" spans="1:9" x14ac:dyDescent="0.3">
      <c r="A456">
        <v>131</v>
      </c>
      <c r="B456" t="s">
        <v>33</v>
      </c>
      <c r="C456" t="s">
        <v>10</v>
      </c>
      <c r="D456">
        <v>8</v>
      </c>
      <c r="E456">
        <v>0</v>
      </c>
      <c r="F456">
        <v>0</v>
      </c>
      <c r="G456">
        <v>10</v>
      </c>
      <c r="H456" t="s">
        <v>68</v>
      </c>
      <c r="I456">
        <v>18</v>
      </c>
    </row>
    <row r="457" spans="1:9" x14ac:dyDescent="0.3">
      <c r="A457">
        <v>131</v>
      </c>
      <c r="B457" t="s">
        <v>33</v>
      </c>
      <c r="C457" t="s">
        <v>11</v>
      </c>
      <c r="D457">
        <v>11</v>
      </c>
      <c r="E457">
        <v>1</v>
      </c>
      <c r="F457">
        <v>0</v>
      </c>
      <c r="G457">
        <v>16</v>
      </c>
      <c r="H457" t="s">
        <v>63</v>
      </c>
      <c r="I457">
        <v>28</v>
      </c>
    </row>
    <row r="458" spans="1:9" x14ac:dyDescent="0.3">
      <c r="A458">
        <v>131</v>
      </c>
      <c r="B458" t="s">
        <v>33</v>
      </c>
      <c r="C458" t="s">
        <v>12</v>
      </c>
      <c r="D458">
        <v>8</v>
      </c>
      <c r="E458">
        <v>1</v>
      </c>
      <c r="F458">
        <v>0</v>
      </c>
      <c r="G458">
        <v>10</v>
      </c>
      <c r="H458" t="s">
        <v>64</v>
      </c>
      <c r="I458">
        <v>19</v>
      </c>
    </row>
    <row r="459" spans="1:9" x14ac:dyDescent="0.3">
      <c r="A459">
        <v>131</v>
      </c>
      <c r="B459" t="s">
        <v>33</v>
      </c>
      <c r="C459" t="s">
        <v>13</v>
      </c>
      <c r="D459">
        <v>7</v>
      </c>
      <c r="E459">
        <v>2</v>
      </c>
      <c r="F459">
        <v>0</v>
      </c>
      <c r="G459">
        <v>9</v>
      </c>
      <c r="H459" t="s">
        <v>69</v>
      </c>
      <c r="I459">
        <v>18</v>
      </c>
    </row>
    <row r="460" spans="1:9" x14ac:dyDescent="0.3">
      <c r="A460">
        <v>131</v>
      </c>
      <c r="B460" t="s">
        <v>33</v>
      </c>
      <c r="C460" t="s">
        <v>14</v>
      </c>
      <c r="D460">
        <v>5</v>
      </c>
      <c r="E460">
        <v>2</v>
      </c>
      <c r="F460">
        <v>0</v>
      </c>
      <c r="G460">
        <v>13</v>
      </c>
      <c r="H460" t="s">
        <v>62</v>
      </c>
      <c r="I460">
        <v>20</v>
      </c>
    </row>
    <row r="461" spans="1:9" x14ac:dyDescent="0.3">
      <c r="A461">
        <v>131</v>
      </c>
      <c r="B461" t="s">
        <v>33</v>
      </c>
      <c r="C461" t="s">
        <v>15</v>
      </c>
      <c r="D461">
        <v>7</v>
      </c>
      <c r="E461">
        <v>1</v>
      </c>
      <c r="F461">
        <v>0</v>
      </c>
      <c r="G461">
        <v>13</v>
      </c>
      <c r="H461" t="s">
        <v>65</v>
      </c>
      <c r="I461">
        <v>21</v>
      </c>
    </row>
    <row r="462" spans="1:9" x14ac:dyDescent="0.3">
      <c r="A462">
        <v>131</v>
      </c>
      <c r="B462" t="s">
        <v>33</v>
      </c>
      <c r="C462" t="s">
        <v>16</v>
      </c>
      <c r="D462">
        <v>0</v>
      </c>
      <c r="E462">
        <v>0</v>
      </c>
      <c r="F462">
        <v>0</v>
      </c>
      <c r="G462">
        <v>1</v>
      </c>
      <c r="H462" t="s">
        <v>61</v>
      </c>
      <c r="I462">
        <v>1</v>
      </c>
    </row>
    <row r="463" spans="1:9" x14ac:dyDescent="0.3">
      <c r="A463">
        <v>131</v>
      </c>
      <c r="B463" t="s">
        <v>33</v>
      </c>
      <c r="C463" t="s">
        <v>19</v>
      </c>
      <c r="D463">
        <v>18</v>
      </c>
      <c r="E463">
        <v>14</v>
      </c>
      <c r="F463">
        <v>0</v>
      </c>
      <c r="G463">
        <v>32</v>
      </c>
      <c r="H463" t="s">
        <v>70</v>
      </c>
      <c r="I463">
        <v>64</v>
      </c>
    </row>
    <row r="464" spans="1:9" x14ac:dyDescent="0.3">
      <c r="A464">
        <v>131</v>
      </c>
      <c r="B464" t="s">
        <v>33</v>
      </c>
      <c r="C464" t="s">
        <v>26</v>
      </c>
      <c r="D464">
        <v>3</v>
      </c>
      <c r="E464">
        <v>0</v>
      </c>
      <c r="F464">
        <v>0</v>
      </c>
      <c r="G464">
        <v>2</v>
      </c>
      <c r="H464" t="s">
        <v>71</v>
      </c>
      <c r="I464">
        <v>5</v>
      </c>
    </row>
    <row r="465" spans="1:9" x14ac:dyDescent="0.3">
      <c r="A465">
        <v>132</v>
      </c>
      <c r="B465" t="s">
        <v>7</v>
      </c>
      <c r="C465" t="s">
        <v>11</v>
      </c>
      <c r="D465">
        <v>20</v>
      </c>
      <c r="E465">
        <v>2</v>
      </c>
      <c r="F465">
        <v>0</v>
      </c>
      <c r="G465">
        <v>21</v>
      </c>
      <c r="H465" t="s">
        <v>63</v>
      </c>
      <c r="I465">
        <v>43</v>
      </c>
    </row>
    <row r="466" spans="1:9" x14ac:dyDescent="0.3">
      <c r="A466">
        <v>132</v>
      </c>
      <c r="B466" t="s">
        <v>7</v>
      </c>
      <c r="C466" t="s">
        <v>12</v>
      </c>
      <c r="D466">
        <v>27</v>
      </c>
      <c r="E466">
        <v>3</v>
      </c>
      <c r="F466">
        <v>0</v>
      </c>
      <c r="G466">
        <v>20</v>
      </c>
      <c r="H466" t="s">
        <v>64</v>
      </c>
      <c r="I466">
        <v>50</v>
      </c>
    </row>
    <row r="467" spans="1:9" x14ac:dyDescent="0.3">
      <c r="A467">
        <v>132</v>
      </c>
      <c r="B467" t="s">
        <v>7</v>
      </c>
      <c r="C467" t="s">
        <v>13</v>
      </c>
      <c r="D467">
        <v>4</v>
      </c>
      <c r="E467">
        <v>0</v>
      </c>
      <c r="F467">
        <v>0</v>
      </c>
      <c r="G467">
        <v>7</v>
      </c>
      <c r="H467" t="s">
        <v>69</v>
      </c>
      <c r="I467">
        <v>11</v>
      </c>
    </row>
    <row r="468" spans="1:9" x14ac:dyDescent="0.3">
      <c r="A468">
        <v>132</v>
      </c>
      <c r="B468" t="s">
        <v>7</v>
      </c>
      <c r="C468" t="s">
        <v>14</v>
      </c>
      <c r="D468">
        <v>4</v>
      </c>
      <c r="E468">
        <v>15</v>
      </c>
      <c r="F468">
        <v>0</v>
      </c>
      <c r="G468">
        <v>18</v>
      </c>
      <c r="H468" t="s">
        <v>62</v>
      </c>
      <c r="I468">
        <v>37</v>
      </c>
    </row>
    <row r="469" spans="1:9" x14ac:dyDescent="0.3">
      <c r="A469">
        <v>132</v>
      </c>
      <c r="B469" t="s">
        <v>7</v>
      </c>
      <c r="C469" t="s">
        <v>15</v>
      </c>
      <c r="D469">
        <v>4</v>
      </c>
      <c r="E469">
        <v>3</v>
      </c>
      <c r="F469">
        <v>0</v>
      </c>
      <c r="G469">
        <v>14</v>
      </c>
      <c r="H469" t="s">
        <v>65</v>
      </c>
      <c r="I469">
        <v>21</v>
      </c>
    </row>
    <row r="470" spans="1:9" x14ac:dyDescent="0.3">
      <c r="A470">
        <v>132</v>
      </c>
      <c r="B470" t="s">
        <v>7</v>
      </c>
      <c r="C470" t="s">
        <v>16</v>
      </c>
      <c r="D470">
        <v>9</v>
      </c>
      <c r="E470">
        <v>1</v>
      </c>
      <c r="F470">
        <v>0</v>
      </c>
      <c r="G470">
        <v>14</v>
      </c>
      <c r="H470" t="s">
        <v>61</v>
      </c>
      <c r="I470">
        <v>24</v>
      </c>
    </row>
    <row r="471" spans="1:9" x14ac:dyDescent="0.3">
      <c r="A471">
        <v>132</v>
      </c>
      <c r="B471" t="s">
        <v>7</v>
      </c>
      <c r="C471" t="s">
        <v>18</v>
      </c>
      <c r="D471">
        <v>1</v>
      </c>
      <c r="E471">
        <v>0</v>
      </c>
      <c r="F471">
        <v>0</v>
      </c>
      <c r="G471">
        <v>3</v>
      </c>
      <c r="H471" t="s">
        <v>72</v>
      </c>
      <c r="I471">
        <v>4</v>
      </c>
    </row>
    <row r="472" spans="1:9" x14ac:dyDescent="0.3">
      <c r="A472">
        <v>132</v>
      </c>
      <c r="B472" t="s">
        <v>7</v>
      </c>
      <c r="C472" t="s">
        <v>26</v>
      </c>
      <c r="D472">
        <v>0</v>
      </c>
      <c r="E472">
        <v>0</v>
      </c>
      <c r="F472">
        <v>0</v>
      </c>
      <c r="G472">
        <v>1</v>
      </c>
      <c r="H472" t="s">
        <v>71</v>
      </c>
      <c r="I472">
        <v>1</v>
      </c>
    </row>
    <row r="473" spans="1:9" x14ac:dyDescent="0.3">
      <c r="A473">
        <v>132</v>
      </c>
      <c r="B473" t="s">
        <v>33</v>
      </c>
      <c r="C473" t="s">
        <v>8</v>
      </c>
      <c r="D473">
        <v>0</v>
      </c>
      <c r="E473">
        <v>0</v>
      </c>
      <c r="F473">
        <v>3</v>
      </c>
      <c r="G473">
        <v>0</v>
      </c>
      <c r="H473" t="s">
        <v>8</v>
      </c>
      <c r="I473">
        <v>3</v>
      </c>
    </row>
    <row r="474" spans="1:9" x14ac:dyDescent="0.3">
      <c r="A474">
        <v>132</v>
      </c>
      <c r="B474" t="s">
        <v>33</v>
      </c>
      <c r="C474" t="s">
        <v>9</v>
      </c>
      <c r="D474">
        <v>0</v>
      </c>
      <c r="E474">
        <v>0</v>
      </c>
      <c r="F474">
        <v>36</v>
      </c>
      <c r="G474">
        <v>0</v>
      </c>
      <c r="H474" t="s">
        <v>9</v>
      </c>
      <c r="I474">
        <v>36</v>
      </c>
    </row>
    <row r="475" spans="1:9" x14ac:dyDescent="0.3">
      <c r="A475">
        <v>132</v>
      </c>
      <c r="B475" t="s">
        <v>33</v>
      </c>
      <c r="C475" t="s">
        <v>10</v>
      </c>
      <c r="D475">
        <v>4</v>
      </c>
      <c r="E475">
        <v>2</v>
      </c>
      <c r="F475">
        <v>0</v>
      </c>
      <c r="G475">
        <v>6</v>
      </c>
      <c r="H475" t="s">
        <v>68</v>
      </c>
      <c r="I475">
        <v>12</v>
      </c>
    </row>
    <row r="476" spans="1:9" x14ac:dyDescent="0.3">
      <c r="A476">
        <v>132</v>
      </c>
      <c r="B476" t="s">
        <v>33</v>
      </c>
      <c r="C476" t="s">
        <v>12</v>
      </c>
      <c r="D476">
        <v>12</v>
      </c>
      <c r="E476">
        <v>11</v>
      </c>
      <c r="F476">
        <v>0</v>
      </c>
      <c r="G476">
        <v>16</v>
      </c>
      <c r="H476" t="s">
        <v>64</v>
      </c>
      <c r="I476">
        <v>39</v>
      </c>
    </row>
    <row r="477" spans="1:9" x14ac:dyDescent="0.3">
      <c r="A477">
        <v>132</v>
      </c>
      <c r="B477" t="s">
        <v>33</v>
      </c>
      <c r="C477" t="s">
        <v>13</v>
      </c>
      <c r="D477">
        <v>15</v>
      </c>
      <c r="E477">
        <v>0</v>
      </c>
      <c r="F477">
        <v>0</v>
      </c>
      <c r="G477">
        <v>20</v>
      </c>
      <c r="H477" t="s">
        <v>69</v>
      </c>
      <c r="I477">
        <v>35</v>
      </c>
    </row>
    <row r="478" spans="1:9" x14ac:dyDescent="0.3">
      <c r="A478">
        <v>132</v>
      </c>
      <c r="B478" t="s">
        <v>33</v>
      </c>
      <c r="C478" t="s">
        <v>14</v>
      </c>
      <c r="D478">
        <v>4</v>
      </c>
      <c r="E478">
        <v>0</v>
      </c>
      <c r="F478">
        <v>0</v>
      </c>
      <c r="G478">
        <v>4</v>
      </c>
      <c r="H478" t="s">
        <v>62</v>
      </c>
      <c r="I478">
        <v>8</v>
      </c>
    </row>
    <row r="479" spans="1:9" x14ac:dyDescent="0.3">
      <c r="A479">
        <v>132</v>
      </c>
      <c r="B479" t="s">
        <v>33</v>
      </c>
      <c r="C479" t="s">
        <v>15</v>
      </c>
      <c r="D479">
        <v>3</v>
      </c>
      <c r="E479">
        <v>3</v>
      </c>
      <c r="F479">
        <v>0</v>
      </c>
      <c r="G479">
        <v>4</v>
      </c>
      <c r="H479" t="s">
        <v>65</v>
      </c>
      <c r="I479">
        <v>10</v>
      </c>
    </row>
    <row r="480" spans="1:9" x14ac:dyDescent="0.3">
      <c r="A480">
        <v>132</v>
      </c>
      <c r="B480" t="s">
        <v>33</v>
      </c>
      <c r="C480" t="s">
        <v>18</v>
      </c>
      <c r="D480">
        <v>22</v>
      </c>
      <c r="E480">
        <v>0</v>
      </c>
      <c r="F480">
        <v>0</v>
      </c>
      <c r="G480">
        <v>15</v>
      </c>
      <c r="H480" t="s">
        <v>72</v>
      </c>
      <c r="I480">
        <v>37</v>
      </c>
    </row>
    <row r="481" spans="1:9" x14ac:dyDescent="0.3">
      <c r="A481">
        <v>132</v>
      </c>
      <c r="B481" t="s">
        <v>33</v>
      </c>
      <c r="C481" t="s">
        <v>19</v>
      </c>
      <c r="D481">
        <v>0</v>
      </c>
      <c r="E481">
        <v>0</v>
      </c>
      <c r="F481">
        <v>0</v>
      </c>
      <c r="G481">
        <v>1</v>
      </c>
      <c r="H481" t="s">
        <v>70</v>
      </c>
      <c r="I481">
        <v>1</v>
      </c>
    </row>
    <row r="482" spans="1:9" x14ac:dyDescent="0.3">
      <c r="A482">
        <v>133</v>
      </c>
      <c r="B482" t="s">
        <v>7</v>
      </c>
      <c r="C482" t="s">
        <v>11</v>
      </c>
      <c r="D482">
        <v>21</v>
      </c>
      <c r="E482">
        <v>20</v>
      </c>
      <c r="F482">
        <v>0</v>
      </c>
      <c r="G482">
        <v>27</v>
      </c>
      <c r="H482" t="s">
        <v>63</v>
      </c>
      <c r="I482">
        <v>68</v>
      </c>
    </row>
    <row r="483" spans="1:9" x14ac:dyDescent="0.3">
      <c r="A483">
        <v>133</v>
      </c>
      <c r="B483" t="s">
        <v>7</v>
      </c>
      <c r="C483" t="s">
        <v>12</v>
      </c>
      <c r="D483">
        <v>0</v>
      </c>
      <c r="E483">
        <v>15</v>
      </c>
      <c r="F483">
        <v>0</v>
      </c>
      <c r="G483">
        <v>9</v>
      </c>
      <c r="H483" t="s">
        <v>64</v>
      </c>
      <c r="I483">
        <v>24</v>
      </c>
    </row>
    <row r="484" spans="1:9" x14ac:dyDescent="0.3">
      <c r="A484">
        <v>133</v>
      </c>
      <c r="B484" t="s">
        <v>7</v>
      </c>
      <c r="C484" t="s">
        <v>14</v>
      </c>
      <c r="D484">
        <v>3</v>
      </c>
      <c r="E484">
        <v>1</v>
      </c>
      <c r="F484">
        <v>0</v>
      </c>
      <c r="G484">
        <v>6</v>
      </c>
      <c r="H484" t="s">
        <v>62</v>
      </c>
      <c r="I484">
        <v>10</v>
      </c>
    </row>
    <row r="485" spans="1:9" x14ac:dyDescent="0.3">
      <c r="A485">
        <v>133</v>
      </c>
      <c r="B485" t="s">
        <v>7</v>
      </c>
      <c r="C485" t="s">
        <v>15</v>
      </c>
      <c r="D485">
        <v>2</v>
      </c>
      <c r="E485">
        <v>0</v>
      </c>
      <c r="F485">
        <v>0</v>
      </c>
      <c r="G485">
        <v>4</v>
      </c>
      <c r="H485" t="s">
        <v>65</v>
      </c>
      <c r="I485">
        <v>6</v>
      </c>
    </row>
    <row r="486" spans="1:9" x14ac:dyDescent="0.3">
      <c r="A486">
        <v>133</v>
      </c>
      <c r="B486" t="s">
        <v>7</v>
      </c>
      <c r="C486" t="s">
        <v>16</v>
      </c>
      <c r="D486">
        <v>5</v>
      </c>
      <c r="E486">
        <v>1</v>
      </c>
      <c r="F486">
        <v>0</v>
      </c>
      <c r="G486">
        <v>6</v>
      </c>
      <c r="H486" t="s">
        <v>61</v>
      </c>
      <c r="I486">
        <v>12</v>
      </c>
    </row>
    <row r="487" spans="1:9" x14ac:dyDescent="0.3">
      <c r="A487">
        <v>133</v>
      </c>
      <c r="B487" t="s">
        <v>7</v>
      </c>
      <c r="C487" t="s">
        <v>18</v>
      </c>
      <c r="D487">
        <v>3</v>
      </c>
      <c r="E487">
        <v>3</v>
      </c>
      <c r="F487">
        <v>0</v>
      </c>
      <c r="G487">
        <v>4</v>
      </c>
      <c r="H487" t="s">
        <v>72</v>
      </c>
      <c r="I487">
        <v>10</v>
      </c>
    </row>
    <row r="488" spans="1:9" x14ac:dyDescent="0.3">
      <c r="A488">
        <v>133</v>
      </c>
      <c r="B488" t="s">
        <v>33</v>
      </c>
      <c r="C488" t="s">
        <v>8</v>
      </c>
      <c r="D488">
        <v>0</v>
      </c>
      <c r="E488">
        <v>0</v>
      </c>
      <c r="F488">
        <v>3</v>
      </c>
      <c r="G488">
        <v>0</v>
      </c>
      <c r="H488" t="s">
        <v>8</v>
      </c>
      <c r="I488">
        <v>3</v>
      </c>
    </row>
    <row r="489" spans="1:9" x14ac:dyDescent="0.3">
      <c r="A489">
        <v>133</v>
      </c>
      <c r="B489" t="s">
        <v>33</v>
      </c>
      <c r="C489" t="s">
        <v>9</v>
      </c>
      <c r="D489">
        <v>0</v>
      </c>
      <c r="E489">
        <v>0</v>
      </c>
      <c r="F489">
        <v>30</v>
      </c>
      <c r="G489">
        <v>0</v>
      </c>
      <c r="H489" t="s">
        <v>9</v>
      </c>
      <c r="I489">
        <v>30</v>
      </c>
    </row>
    <row r="490" spans="1:9" x14ac:dyDescent="0.3">
      <c r="A490">
        <v>133</v>
      </c>
      <c r="B490" t="s">
        <v>33</v>
      </c>
      <c r="C490" t="s">
        <v>10</v>
      </c>
      <c r="D490">
        <v>6</v>
      </c>
      <c r="E490">
        <v>0</v>
      </c>
      <c r="F490">
        <v>0</v>
      </c>
      <c r="G490">
        <v>4</v>
      </c>
      <c r="H490" t="s">
        <v>68</v>
      </c>
      <c r="I490">
        <v>10</v>
      </c>
    </row>
    <row r="491" spans="1:9" x14ac:dyDescent="0.3">
      <c r="A491">
        <v>133</v>
      </c>
      <c r="B491" t="s">
        <v>33</v>
      </c>
      <c r="C491" t="s">
        <v>12</v>
      </c>
      <c r="D491">
        <v>11</v>
      </c>
      <c r="E491">
        <v>19</v>
      </c>
      <c r="F491">
        <v>0</v>
      </c>
      <c r="G491">
        <v>18</v>
      </c>
      <c r="H491" t="s">
        <v>64</v>
      </c>
      <c r="I491">
        <v>48</v>
      </c>
    </row>
    <row r="492" spans="1:9" x14ac:dyDescent="0.3">
      <c r="A492">
        <v>133</v>
      </c>
      <c r="B492" t="s">
        <v>33</v>
      </c>
      <c r="C492" t="s">
        <v>13</v>
      </c>
      <c r="D492">
        <v>15</v>
      </c>
      <c r="E492">
        <v>0</v>
      </c>
      <c r="F492">
        <v>0</v>
      </c>
      <c r="G492">
        <v>19</v>
      </c>
      <c r="H492" t="s">
        <v>69</v>
      </c>
      <c r="I492">
        <v>34</v>
      </c>
    </row>
    <row r="493" spans="1:9" x14ac:dyDescent="0.3">
      <c r="A493">
        <v>133</v>
      </c>
      <c r="B493" t="s">
        <v>33</v>
      </c>
      <c r="C493" t="s">
        <v>14</v>
      </c>
      <c r="D493">
        <v>0</v>
      </c>
      <c r="E493">
        <v>4</v>
      </c>
      <c r="F493">
        <v>0</v>
      </c>
      <c r="G493">
        <v>4</v>
      </c>
      <c r="H493" t="s">
        <v>62</v>
      </c>
      <c r="I493">
        <v>8</v>
      </c>
    </row>
    <row r="494" spans="1:9" x14ac:dyDescent="0.3">
      <c r="A494">
        <v>133</v>
      </c>
      <c r="B494" t="s">
        <v>33</v>
      </c>
      <c r="C494" t="s">
        <v>15</v>
      </c>
      <c r="D494">
        <v>0</v>
      </c>
      <c r="E494">
        <v>0</v>
      </c>
      <c r="F494">
        <v>0</v>
      </c>
      <c r="G494">
        <v>4</v>
      </c>
      <c r="H494" t="s">
        <v>65</v>
      </c>
      <c r="I494">
        <v>4</v>
      </c>
    </row>
    <row r="495" spans="1:9" x14ac:dyDescent="0.3">
      <c r="A495">
        <v>133</v>
      </c>
      <c r="B495" t="s">
        <v>33</v>
      </c>
      <c r="C495" t="s">
        <v>16</v>
      </c>
      <c r="D495">
        <v>1</v>
      </c>
      <c r="E495">
        <v>0</v>
      </c>
      <c r="F495">
        <v>0</v>
      </c>
      <c r="G495">
        <v>2</v>
      </c>
      <c r="H495" t="s">
        <v>61</v>
      </c>
      <c r="I495">
        <v>3</v>
      </c>
    </row>
    <row r="496" spans="1:9" x14ac:dyDescent="0.3">
      <c r="A496">
        <v>133</v>
      </c>
      <c r="B496" t="s">
        <v>33</v>
      </c>
      <c r="C496" t="s">
        <v>17</v>
      </c>
      <c r="D496">
        <v>5</v>
      </c>
      <c r="E496">
        <v>2</v>
      </c>
      <c r="F496">
        <v>0</v>
      </c>
      <c r="G496">
        <v>5</v>
      </c>
      <c r="H496" t="s">
        <v>66</v>
      </c>
      <c r="I496">
        <v>12</v>
      </c>
    </row>
    <row r="497" spans="1:9" x14ac:dyDescent="0.3">
      <c r="A497">
        <v>133</v>
      </c>
      <c r="B497" t="s">
        <v>33</v>
      </c>
      <c r="C497" t="s">
        <v>28</v>
      </c>
      <c r="D497">
        <v>8</v>
      </c>
      <c r="E497">
        <v>0</v>
      </c>
      <c r="F497">
        <v>0</v>
      </c>
      <c r="G497">
        <v>3</v>
      </c>
      <c r="H497" t="s">
        <v>28</v>
      </c>
      <c r="I497">
        <v>11</v>
      </c>
    </row>
    <row r="498" spans="1:9" x14ac:dyDescent="0.3">
      <c r="A498">
        <v>134</v>
      </c>
      <c r="B498" t="s">
        <v>7</v>
      </c>
      <c r="C498" t="s">
        <v>11</v>
      </c>
      <c r="D498">
        <v>14</v>
      </c>
      <c r="E498">
        <v>1</v>
      </c>
      <c r="F498">
        <v>0</v>
      </c>
      <c r="G498">
        <v>15</v>
      </c>
      <c r="H498" t="s">
        <v>63</v>
      </c>
      <c r="I498">
        <v>30</v>
      </c>
    </row>
    <row r="499" spans="1:9" x14ac:dyDescent="0.3">
      <c r="A499">
        <v>134</v>
      </c>
      <c r="B499" t="s">
        <v>7</v>
      </c>
      <c r="C499" t="s">
        <v>12</v>
      </c>
      <c r="D499">
        <v>16</v>
      </c>
      <c r="E499">
        <v>24</v>
      </c>
      <c r="F499">
        <v>0</v>
      </c>
      <c r="G499">
        <v>26</v>
      </c>
      <c r="H499" t="s">
        <v>64</v>
      </c>
      <c r="I499">
        <v>66</v>
      </c>
    </row>
    <row r="500" spans="1:9" x14ac:dyDescent="0.3">
      <c r="A500">
        <v>134</v>
      </c>
      <c r="B500" t="s">
        <v>7</v>
      </c>
      <c r="C500" t="s">
        <v>13</v>
      </c>
      <c r="D500">
        <v>6</v>
      </c>
      <c r="E500">
        <v>0</v>
      </c>
      <c r="F500">
        <v>0</v>
      </c>
      <c r="G500">
        <v>2</v>
      </c>
      <c r="H500" t="s">
        <v>69</v>
      </c>
      <c r="I500">
        <v>8</v>
      </c>
    </row>
    <row r="501" spans="1:9" x14ac:dyDescent="0.3">
      <c r="A501">
        <v>134</v>
      </c>
      <c r="B501" t="s">
        <v>7</v>
      </c>
      <c r="C501" t="s">
        <v>14</v>
      </c>
      <c r="D501">
        <v>4</v>
      </c>
      <c r="E501">
        <v>2</v>
      </c>
      <c r="F501">
        <v>0</v>
      </c>
      <c r="G501">
        <v>16</v>
      </c>
      <c r="H501" t="s">
        <v>62</v>
      </c>
      <c r="I501">
        <v>22</v>
      </c>
    </row>
    <row r="502" spans="1:9" x14ac:dyDescent="0.3">
      <c r="A502">
        <v>134</v>
      </c>
      <c r="B502" t="s">
        <v>7</v>
      </c>
      <c r="C502" t="s">
        <v>15</v>
      </c>
      <c r="D502">
        <v>12</v>
      </c>
      <c r="E502">
        <v>5</v>
      </c>
      <c r="F502">
        <v>0</v>
      </c>
      <c r="G502">
        <v>22</v>
      </c>
      <c r="H502" t="s">
        <v>65</v>
      </c>
      <c r="I502">
        <v>39</v>
      </c>
    </row>
    <row r="503" spans="1:9" x14ac:dyDescent="0.3">
      <c r="A503">
        <v>134</v>
      </c>
      <c r="B503" t="s">
        <v>7</v>
      </c>
      <c r="C503" t="s">
        <v>16</v>
      </c>
      <c r="D503">
        <v>9</v>
      </c>
      <c r="E503">
        <v>0</v>
      </c>
      <c r="F503">
        <v>0</v>
      </c>
      <c r="G503">
        <v>21</v>
      </c>
      <c r="H503" t="s">
        <v>61</v>
      </c>
      <c r="I503">
        <v>30</v>
      </c>
    </row>
    <row r="504" spans="1:9" x14ac:dyDescent="0.3">
      <c r="A504">
        <v>134</v>
      </c>
      <c r="B504" t="s">
        <v>33</v>
      </c>
      <c r="C504" t="s">
        <v>8</v>
      </c>
      <c r="D504">
        <v>0</v>
      </c>
      <c r="E504">
        <v>0</v>
      </c>
      <c r="F504">
        <v>2</v>
      </c>
      <c r="G504">
        <v>0</v>
      </c>
      <c r="H504" t="s">
        <v>8</v>
      </c>
      <c r="I504">
        <v>2</v>
      </c>
    </row>
    <row r="505" spans="1:9" x14ac:dyDescent="0.3">
      <c r="A505">
        <v>134</v>
      </c>
      <c r="B505" t="s">
        <v>33</v>
      </c>
      <c r="C505" t="s">
        <v>9</v>
      </c>
      <c r="D505">
        <v>0</v>
      </c>
      <c r="E505">
        <v>0</v>
      </c>
      <c r="F505">
        <v>60</v>
      </c>
      <c r="G505">
        <v>0</v>
      </c>
      <c r="H505" t="s">
        <v>9</v>
      </c>
      <c r="I505">
        <v>60</v>
      </c>
    </row>
    <row r="506" spans="1:9" x14ac:dyDescent="0.3">
      <c r="A506">
        <v>134</v>
      </c>
      <c r="B506" t="s">
        <v>33</v>
      </c>
      <c r="C506" t="s">
        <v>11</v>
      </c>
      <c r="D506">
        <v>0</v>
      </c>
      <c r="E506">
        <v>0</v>
      </c>
      <c r="F506">
        <v>0</v>
      </c>
      <c r="G506">
        <v>1</v>
      </c>
      <c r="H506" t="s">
        <v>63</v>
      </c>
      <c r="I506">
        <v>1</v>
      </c>
    </row>
    <row r="507" spans="1:9" x14ac:dyDescent="0.3">
      <c r="A507">
        <v>134</v>
      </c>
      <c r="B507" t="s">
        <v>33</v>
      </c>
      <c r="C507" t="s">
        <v>13</v>
      </c>
      <c r="D507">
        <v>26</v>
      </c>
      <c r="E507">
        <v>7</v>
      </c>
      <c r="F507">
        <v>0</v>
      </c>
      <c r="G507">
        <v>24</v>
      </c>
      <c r="H507" t="s">
        <v>69</v>
      </c>
      <c r="I507">
        <v>57</v>
      </c>
    </row>
    <row r="508" spans="1:9" x14ac:dyDescent="0.3">
      <c r="A508">
        <v>134</v>
      </c>
      <c r="B508" t="s">
        <v>33</v>
      </c>
      <c r="C508" t="s">
        <v>14</v>
      </c>
      <c r="D508">
        <v>0</v>
      </c>
      <c r="E508">
        <v>0</v>
      </c>
      <c r="F508">
        <v>0</v>
      </c>
      <c r="G508">
        <v>1</v>
      </c>
      <c r="H508" t="s">
        <v>62</v>
      </c>
      <c r="I508">
        <v>1</v>
      </c>
    </row>
    <row r="509" spans="1:9" x14ac:dyDescent="0.3">
      <c r="A509">
        <v>134</v>
      </c>
      <c r="B509" t="s">
        <v>33</v>
      </c>
      <c r="C509" t="s">
        <v>15</v>
      </c>
      <c r="D509">
        <v>0</v>
      </c>
      <c r="E509">
        <v>0</v>
      </c>
      <c r="F509">
        <v>0</v>
      </c>
      <c r="G509">
        <v>1</v>
      </c>
      <c r="H509" t="s">
        <v>65</v>
      </c>
      <c r="I509">
        <v>1</v>
      </c>
    </row>
    <row r="510" spans="1:9" x14ac:dyDescent="0.3">
      <c r="A510">
        <v>134</v>
      </c>
      <c r="B510" t="s">
        <v>33</v>
      </c>
      <c r="C510" t="s">
        <v>16</v>
      </c>
      <c r="D510">
        <v>0</v>
      </c>
      <c r="E510">
        <v>0</v>
      </c>
      <c r="F510">
        <v>0</v>
      </c>
      <c r="G510">
        <v>1</v>
      </c>
      <c r="H510" t="s">
        <v>61</v>
      </c>
      <c r="I510">
        <v>1</v>
      </c>
    </row>
    <row r="511" spans="1:9" x14ac:dyDescent="0.3">
      <c r="A511">
        <v>135</v>
      </c>
      <c r="B511" t="s">
        <v>7</v>
      </c>
      <c r="C511" t="s">
        <v>11</v>
      </c>
      <c r="D511">
        <v>4</v>
      </c>
      <c r="E511">
        <v>0</v>
      </c>
      <c r="F511">
        <v>0</v>
      </c>
      <c r="G511">
        <v>14</v>
      </c>
      <c r="H511" t="s">
        <v>63</v>
      </c>
      <c r="I511">
        <v>18</v>
      </c>
    </row>
    <row r="512" spans="1:9" x14ac:dyDescent="0.3">
      <c r="A512">
        <v>135</v>
      </c>
      <c r="B512" t="s">
        <v>7</v>
      </c>
      <c r="C512" t="s">
        <v>12</v>
      </c>
      <c r="D512">
        <v>12</v>
      </c>
      <c r="E512">
        <v>5</v>
      </c>
      <c r="F512">
        <v>0</v>
      </c>
      <c r="G512">
        <v>15</v>
      </c>
      <c r="H512" t="s">
        <v>64</v>
      </c>
      <c r="I512">
        <v>32</v>
      </c>
    </row>
    <row r="513" spans="1:9" x14ac:dyDescent="0.3">
      <c r="A513">
        <v>135</v>
      </c>
      <c r="B513" t="s">
        <v>7</v>
      </c>
      <c r="C513" t="s">
        <v>13</v>
      </c>
      <c r="D513">
        <v>16</v>
      </c>
      <c r="E513">
        <v>12</v>
      </c>
      <c r="F513">
        <v>0</v>
      </c>
      <c r="G513">
        <v>26</v>
      </c>
      <c r="H513" t="s">
        <v>69</v>
      </c>
      <c r="I513">
        <v>54</v>
      </c>
    </row>
    <row r="514" spans="1:9" x14ac:dyDescent="0.3">
      <c r="A514">
        <v>135</v>
      </c>
      <c r="B514" t="s">
        <v>7</v>
      </c>
      <c r="C514" t="s">
        <v>14</v>
      </c>
      <c r="D514">
        <v>9</v>
      </c>
      <c r="E514">
        <v>9</v>
      </c>
      <c r="F514">
        <v>0</v>
      </c>
      <c r="G514">
        <v>16</v>
      </c>
      <c r="H514" t="s">
        <v>62</v>
      </c>
      <c r="I514">
        <v>34</v>
      </c>
    </row>
    <row r="515" spans="1:9" x14ac:dyDescent="0.3">
      <c r="A515">
        <v>135</v>
      </c>
      <c r="B515" t="s">
        <v>7</v>
      </c>
      <c r="C515" t="s">
        <v>15</v>
      </c>
      <c r="D515">
        <v>5</v>
      </c>
      <c r="E515">
        <v>7</v>
      </c>
      <c r="F515">
        <v>0</v>
      </c>
      <c r="G515">
        <v>14</v>
      </c>
      <c r="H515" t="s">
        <v>65</v>
      </c>
      <c r="I515">
        <v>26</v>
      </c>
    </row>
    <row r="516" spans="1:9" x14ac:dyDescent="0.3">
      <c r="A516">
        <v>135</v>
      </c>
      <c r="B516" t="s">
        <v>7</v>
      </c>
      <c r="C516" t="s">
        <v>16</v>
      </c>
      <c r="D516">
        <v>8</v>
      </c>
      <c r="E516">
        <v>2</v>
      </c>
      <c r="F516">
        <v>0</v>
      </c>
      <c r="G516">
        <v>12</v>
      </c>
      <c r="H516" t="s">
        <v>61</v>
      </c>
      <c r="I516">
        <v>22</v>
      </c>
    </row>
    <row r="517" spans="1:9" x14ac:dyDescent="0.3">
      <c r="A517">
        <v>135</v>
      </c>
      <c r="B517" t="s">
        <v>7</v>
      </c>
      <c r="C517" t="s">
        <v>18</v>
      </c>
      <c r="D517">
        <v>1</v>
      </c>
      <c r="E517">
        <v>1</v>
      </c>
      <c r="F517">
        <v>0</v>
      </c>
      <c r="G517">
        <v>2</v>
      </c>
      <c r="H517" t="s">
        <v>72</v>
      </c>
      <c r="I517">
        <v>4</v>
      </c>
    </row>
    <row r="518" spans="1:9" x14ac:dyDescent="0.3">
      <c r="A518">
        <v>135</v>
      </c>
      <c r="B518" t="s">
        <v>33</v>
      </c>
      <c r="C518" t="s">
        <v>8</v>
      </c>
      <c r="D518">
        <v>0</v>
      </c>
      <c r="E518">
        <v>0</v>
      </c>
      <c r="F518">
        <v>5</v>
      </c>
      <c r="G518">
        <v>0</v>
      </c>
      <c r="H518" t="s">
        <v>8</v>
      </c>
      <c r="I518">
        <v>5</v>
      </c>
    </row>
    <row r="519" spans="1:9" x14ac:dyDescent="0.3">
      <c r="A519">
        <v>135</v>
      </c>
      <c r="B519" t="s">
        <v>33</v>
      </c>
      <c r="C519" t="s">
        <v>9</v>
      </c>
      <c r="D519">
        <v>0</v>
      </c>
      <c r="E519">
        <v>0</v>
      </c>
      <c r="F519">
        <v>77</v>
      </c>
      <c r="G519">
        <v>0</v>
      </c>
      <c r="H519" t="s">
        <v>9</v>
      </c>
      <c r="I519">
        <v>77</v>
      </c>
    </row>
    <row r="520" spans="1:9" x14ac:dyDescent="0.3">
      <c r="A520">
        <v>135</v>
      </c>
      <c r="B520" t="s">
        <v>33</v>
      </c>
      <c r="C520" t="s">
        <v>10</v>
      </c>
      <c r="D520">
        <v>8</v>
      </c>
      <c r="E520">
        <v>0</v>
      </c>
      <c r="F520">
        <v>0</v>
      </c>
      <c r="G520">
        <v>2</v>
      </c>
      <c r="H520" t="s">
        <v>68</v>
      </c>
      <c r="I520">
        <v>10</v>
      </c>
    </row>
    <row r="521" spans="1:9" x14ac:dyDescent="0.3">
      <c r="A521">
        <v>135</v>
      </c>
      <c r="B521" t="s">
        <v>33</v>
      </c>
      <c r="C521" t="s">
        <v>17</v>
      </c>
      <c r="D521">
        <v>0</v>
      </c>
      <c r="E521">
        <v>0</v>
      </c>
      <c r="F521">
        <v>0</v>
      </c>
      <c r="G521">
        <v>1</v>
      </c>
      <c r="H521" t="s">
        <v>66</v>
      </c>
      <c r="I521">
        <v>1</v>
      </c>
    </row>
    <row r="522" spans="1:9" x14ac:dyDescent="0.3">
      <c r="A522">
        <v>135</v>
      </c>
      <c r="B522" t="s">
        <v>33</v>
      </c>
      <c r="C522" t="s">
        <v>28</v>
      </c>
      <c r="D522">
        <v>4</v>
      </c>
      <c r="E522">
        <v>0</v>
      </c>
      <c r="F522">
        <v>0</v>
      </c>
      <c r="G522">
        <v>2</v>
      </c>
      <c r="H522" t="s">
        <v>28</v>
      </c>
      <c r="I522">
        <v>6</v>
      </c>
    </row>
    <row r="523" spans="1:9" x14ac:dyDescent="0.3">
      <c r="A523">
        <v>136</v>
      </c>
      <c r="B523" t="s">
        <v>7</v>
      </c>
      <c r="C523" t="s">
        <v>11</v>
      </c>
      <c r="D523">
        <v>9</v>
      </c>
      <c r="E523">
        <v>4</v>
      </c>
      <c r="F523">
        <v>0</v>
      </c>
      <c r="G523">
        <v>16</v>
      </c>
      <c r="H523" t="s">
        <v>63</v>
      </c>
      <c r="I523">
        <v>29</v>
      </c>
    </row>
    <row r="524" spans="1:9" x14ac:dyDescent="0.3">
      <c r="A524">
        <v>136</v>
      </c>
      <c r="B524" t="s">
        <v>7</v>
      </c>
      <c r="C524" t="s">
        <v>12</v>
      </c>
      <c r="D524">
        <v>27</v>
      </c>
      <c r="E524">
        <v>8</v>
      </c>
      <c r="F524">
        <v>0</v>
      </c>
      <c r="G524">
        <v>18</v>
      </c>
      <c r="H524" t="s">
        <v>64</v>
      </c>
      <c r="I524">
        <v>53</v>
      </c>
    </row>
    <row r="525" spans="1:9" x14ac:dyDescent="0.3">
      <c r="A525">
        <v>136</v>
      </c>
      <c r="B525" t="s">
        <v>7</v>
      </c>
      <c r="C525" t="s">
        <v>13</v>
      </c>
      <c r="D525">
        <v>53</v>
      </c>
      <c r="E525">
        <v>15</v>
      </c>
      <c r="F525">
        <v>0</v>
      </c>
      <c r="G525">
        <v>50</v>
      </c>
      <c r="H525" t="s">
        <v>69</v>
      </c>
      <c r="I525">
        <v>118</v>
      </c>
    </row>
    <row r="526" spans="1:9" x14ac:dyDescent="0.3">
      <c r="A526">
        <v>136</v>
      </c>
      <c r="B526" t="s">
        <v>7</v>
      </c>
      <c r="C526" t="s">
        <v>14</v>
      </c>
      <c r="D526">
        <v>6</v>
      </c>
      <c r="E526">
        <v>3</v>
      </c>
      <c r="F526">
        <v>0</v>
      </c>
      <c r="G526">
        <v>11</v>
      </c>
      <c r="H526" t="s">
        <v>62</v>
      </c>
      <c r="I526">
        <v>20</v>
      </c>
    </row>
    <row r="527" spans="1:9" x14ac:dyDescent="0.3">
      <c r="A527">
        <v>136</v>
      </c>
      <c r="B527" t="s">
        <v>7</v>
      </c>
      <c r="C527" t="s">
        <v>15</v>
      </c>
      <c r="D527">
        <v>8</v>
      </c>
      <c r="E527">
        <v>3</v>
      </c>
      <c r="F527">
        <v>0</v>
      </c>
      <c r="G527">
        <v>14</v>
      </c>
      <c r="H527" t="s">
        <v>65</v>
      </c>
      <c r="I527">
        <v>25</v>
      </c>
    </row>
    <row r="528" spans="1:9" x14ac:dyDescent="0.3">
      <c r="A528">
        <v>136</v>
      </c>
      <c r="B528" t="s">
        <v>7</v>
      </c>
      <c r="C528" t="s">
        <v>16</v>
      </c>
      <c r="D528">
        <v>11</v>
      </c>
      <c r="E528">
        <v>0</v>
      </c>
      <c r="F528">
        <v>0</v>
      </c>
      <c r="G528">
        <v>13</v>
      </c>
      <c r="H528" t="s">
        <v>61</v>
      </c>
      <c r="I528">
        <v>24</v>
      </c>
    </row>
    <row r="529" spans="1:9" x14ac:dyDescent="0.3">
      <c r="A529">
        <v>136</v>
      </c>
      <c r="B529" t="s">
        <v>7</v>
      </c>
      <c r="C529" t="s">
        <v>18</v>
      </c>
      <c r="D529">
        <v>2</v>
      </c>
      <c r="E529">
        <v>0</v>
      </c>
      <c r="F529">
        <v>0</v>
      </c>
      <c r="G529">
        <v>2</v>
      </c>
      <c r="H529" t="s">
        <v>72</v>
      </c>
      <c r="I529">
        <v>4</v>
      </c>
    </row>
    <row r="530" spans="1:9" x14ac:dyDescent="0.3">
      <c r="A530">
        <v>136</v>
      </c>
      <c r="B530" t="s">
        <v>33</v>
      </c>
      <c r="C530" t="s">
        <v>8</v>
      </c>
      <c r="D530">
        <v>0</v>
      </c>
      <c r="E530">
        <v>0</v>
      </c>
      <c r="F530">
        <v>3</v>
      </c>
      <c r="G530">
        <v>0</v>
      </c>
      <c r="H530" t="s">
        <v>8</v>
      </c>
      <c r="I530">
        <v>3</v>
      </c>
    </row>
    <row r="531" spans="1:9" x14ac:dyDescent="0.3">
      <c r="A531">
        <v>136</v>
      </c>
      <c r="B531" t="s">
        <v>33</v>
      </c>
      <c r="C531" t="s">
        <v>9</v>
      </c>
      <c r="D531">
        <v>0</v>
      </c>
      <c r="E531">
        <v>0</v>
      </c>
      <c r="F531">
        <v>31</v>
      </c>
      <c r="G531">
        <v>0</v>
      </c>
      <c r="H531" t="s">
        <v>9</v>
      </c>
      <c r="I531">
        <v>31</v>
      </c>
    </row>
    <row r="532" spans="1:9" x14ac:dyDescent="0.3">
      <c r="A532">
        <v>136</v>
      </c>
      <c r="B532" t="s">
        <v>33</v>
      </c>
      <c r="C532" t="s">
        <v>10</v>
      </c>
      <c r="D532">
        <v>9</v>
      </c>
      <c r="E532">
        <v>2</v>
      </c>
      <c r="F532">
        <v>0</v>
      </c>
      <c r="G532">
        <v>14</v>
      </c>
      <c r="H532" t="s">
        <v>68</v>
      </c>
      <c r="I532">
        <v>25</v>
      </c>
    </row>
    <row r="533" spans="1:9" x14ac:dyDescent="0.3">
      <c r="A533">
        <v>136</v>
      </c>
      <c r="B533" t="s">
        <v>33</v>
      </c>
      <c r="C533" t="s">
        <v>13</v>
      </c>
      <c r="D533">
        <v>6</v>
      </c>
      <c r="E533">
        <v>1</v>
      </c>
      <c r="F533">
        <v>0</v>
      </c>
      <c r="G533">
        <v>7</v>
      </c>
      <c r="H533" t="s">
        <v>69</v>
      </c>
      <c r="I533">
        <v>14</v>
      </c>
    </row>
    <row r="534" spans="1:9" x14ac:dyDescent="0.3">
      <c r="A534">
        <v>137</v>
      </c>
      <c r="B534" t="s">
        <v>7</v>
      </c>
      <c r="C534" t="s">
        <v>11</v>
      </c>
      <c r="D534">
        <v>29</v>
      </c>
      <c r="E534">
        <v>17</v>
      </c>
      <c r="F534">
        <v>0</v>
      </c>
      <c r="G534">
        <v>37</v>
      </c>
      <c r="H534" t="s">
        <v>63</v>
      </c>
      <c r="I534">
        <v>83</v>
      </c>
    </row>
    <row r="535" spans="1:9" x14ac:dyDescent="0.3">
      <c r="A535">
        <v>137</v>
      </c>
      <c r="B535" t="s">
        <v>7</v>
      </c>
      <c r="C535" t="s">
        <v>12</v>
      </c>
      <c r="D535">
        <v>62</v>
      </c>
      <c r="E535">
        <v>14</v>
      </c>
      <c r="F535">
        <v>0</v>
      </c>
      <c r="G535">
        <v>51</v>
      </c>
      <c r="H535" t="s">
        <v>64</v>
      </c>
      <c r="I535">
        <v>127</v>
      </c>
    </row>
    <row r="536" spans="1:9" x14ac:dyDescent="0.3">
      <c r="A536">
        <v>137</v>
      </c>
      <c r="B536" t="s">
        <v>7</v>
      </c>
      <c r="C536" t="s">
        <v>13</v>
      </c>
      <c r="D536">
        <v>42</v>
      </c>
      <c r="E536">
        <v>3</v>
      </c>
      <c r="F536">
        <v>0</v>
      </c>
      <c r="G536">
        <v>38</v>
      </c>
      <c r="H536" t="s">
        <v>69</v>
      </c>
      <c r="I536">
        <v>83</v>
      </c>
    </row>
    <row r="537" spans="1:9" x14ac:dyDescent="0.3">
      <c r="A537">
        <v>137</v>
      </c>
      <c r="B537" t="s">
        <v>7</v>
      </c>
      <c r="C537" t="s">
        <v>14</v>
      </c>
      <c r="D537">
        <v>23</v>
      </c>
      <c r="E537">
        <v>6</v>
      </c>
      <c r="F537">
        <v>0</v>
      </c>
      <c r="G537">
        <v>31</v>
      </c>
      <c r="H537" t="s">
        <v>62</v>
      </c>
      <c r="I537">
        <v>60</v>
      </c>
    </row>
    <row r="538" spans="1:9" x14ac:dyDescent="0.3">
      <c r="A538">
        <v>137</v>
      </c>
      <c r="B538" t="s">
        <v>7</v>
      </c>
      <c r="C538" t="s">
        <v>15</v>
      </c>
      <c r="D538">
        <v>13</v>
      </c>
      <c r="E538">
        <v>5</v>
      </c>
      <c r="F538">
        <v>0</v>
      </c>
      <c r="G538">
        <v>34</v>
      </c>
      <c r="H538" t="s">
        <v>65</v>
      </c>
      <c r="I538">
        <v>52</v>
      </c>
    </row>
    <row r="539" spans="1:9" x14ac:dyDescent="0.3">
      <c r="A539">
        <v>137</v>
      </c>
      <c r="B539" t="s">
        <v>7</v>
      </c>
      <c r="C539" t="s">
        <v>16</v>
      </c>
      <c r="D539">
        <v>8</v>
      </c>
      <c r="E539">
        <v>28</v>
      </c>
      <c r="F539">
        <v>0</v>
      </c>
      <c r="G539">
        <v>28</v>
      </c>
      <c r="H539" t="s">
        <v>61</v>
      </c>
      <c r="I539">
        <v>64</v>
      </c>
    </row>
    <row r="540" spans="1:9" x14ac:dyDescent="0.3">
      <c r="A540">
        <v>137</v>
      </c>
      <c r="B540" t="s">
        <v>7</v>
      </c>
      <c r="C540" t="s">
        <v>18</v>
      </c>
      <c r="D540">
        <v>20</v>
      </c>
      <c r="E540">
        <v>5</v>
      </c>
      <c r="F540">
        <v>0</v>
      </c>
      <c r="G540">
        <v>23</v>
      </c>
      <c r="H540" t="s">
        <v>72</v>
      </c>
      <c r="I540">
        <v>48</v>
      </c>
    </row>
    <row r="541" spans="1:9" x14ac:dyDescent="0.3">
      <c r="A541">
        <v>137</v>
      </c>
      <c r="B541" t="s">
        <v>33</v>
      </c>
      <c r="C541" t="s">
        <v>8</v>
      </c>
      <c r="D541">
        <v>0</v>
      </c>
      <c r="E541">
        <v>0</v>
      </c>
      <c r="F541">
        <v>2</v>
      </c>
      <c r="G541">
        <v>0</v>
      </c>
      <c r="H541" t="s">
        <v>8</v>
      </c>
      <c r="I541">
        <v>2</v>
      </c>
    </row>
    <row r="542" spans="1:9" x14ac:dyDescent="0.3">
      <c r="A542">
        <v>137</v>
      </c>
      <c r="B542" t="s">
        <v>33</v>
      </c>
      <c r="C542" t="s">
        <v>9</v>
      </c>
      <c r="D542">
        <v>0</v>
      </c>
      <c r="E542">
        <v>0</v>
      </c>
      <c r="F542">
        <v>46</v>
      </c>
      <c r="G542">
        <v>0</v>
      </c>
      <c r="H542" t="s">
        <v>9</v>
      </c>
      <c r="I542">
        <v>46</v>
      </c>
    </row>
    <row r="543" spans="1:9" x14ac:dyDescent="0.3">
      <c r="A543">
        <v>137</v>
      </c>
      <c r="B543" t="s">
        <v>33</v>
      </c>
      <c r="C543" t="s">
        <v>10</v>
      </c>
      <c r="D543">
        <v>8</v>
      </c>
      <c r="E543">
        <v>8</v>
      </c>
      <c r="F543">
        <v>0</v>
      </c>
      <c r="G543">
        <v>11</v>
      </c>
      <c r="H543" t="s">
        <v>68</v>
      </c>
      <c r="I543">
        <v>27</v>
      </c>
    </row>
    <row r="544" spans="1:9" x14ac:dyDescent="0.3">
      <c r="A544">
        <v>137</v>
      </c>
      <c r="B544" t="s">
        <v>33</v>
      </c>
      <c r="C544" t="s">
        <v>11</v>
      </c>
      <c r="D544">
        <v>0</v>
      </c>
      <c r="E544">
        <v>0</v>
      </c>
      <c r="F544">
        <v>10</v>
      </c>
      <c r="G544">
        <v>4</v>
      </c>
      <c r="H544" t="s">
        <v>63</v>
      </c>
      <c r="I544">
        <v>14</v>
      </c>
    </row>
    <row r="545" spans="1:9" x14ac:dyDescent="0.3">
      <c r="A545">
        <v>137</v>
      </c>
      <c r="B545" t="s">
        <v>33</v>
      </c>
      <c r="C545" t="s">
        <v>13</v>
      </c>
      <c r="D545">
        <v>7</v>
      </c>
      <c r="E545">
        <v>6</v>
      </c>
      <c r="F545">
        <v>0</v>
      </c>
      <c r="G545">
        <v>10</v>
      </c>
      <c r="H545" t="s">
        <v>69</v>
      </c>
      <c r="I545">
        <v>23</v>
      </c>
    </row>
    <row r="546" spans="1:9" x14ac:dyDescent="0.3">
      <c r="A546">
        <v>137</v>
      </c>
      <c r="B546" t="s">
        <v>33</v>
      </c>
      <c r="C546" t="s">
        <v>14</v>
      </c>
      <c r="D546">
        <v>0</v>
      </c>
      <c r="E546">
        <v>8</v>
      </c>
      <c r="F546">
        <v>0</v>
      </c>
      <c r="G546">
        <v>3</v>
      </c>
      <c r="H546" t="s">
        <v>62</v>
      </c>
      <c r="I546">
        <v>11</v>
      </c>
    </row>
    <row r="547" spans="1:9" x14ac:dyDescent="0.3">
      <c r="A547">
        <v>137</v>
      </c>
      <c r="B547" t="s">
        <v>33</v>
      </c>
      <c r="C547" t="s">
        <v>15</v>
      </c>
      <c r="D547">
        <v>2</v>
      </c>
      <c r="E547">
        <v>3</v>
      </c>
      <c r="F547">
        <v>0</v>
      </c>
      <c r="G547">
        <v>3</v>
      </c>
      <c r="H547" t="s">
        <v>65</v>
      </c>
      <c r="I547">
        <v>8</v>
      </c>
    </row>
    <row r="548" spans="1:9" x14ac:dyDescent="0.3">
      <c r="A548">
        <v>138</v>
      </c>
      <c r="B548" t="s">
        <v>7</v>
      </c>
      <c r="C548" t="s">
        <v>11</v>
      </c>
      <c r="D548">
        <v>0</v>
      </c>
      <c r="E548">
        <v>0</v>
      </c>
      <c r="F548">
        <v>0</v>
      </c>
      <c r="G548">
        <v>3</v>
      </c>
      <c r="H548" t="s">
        <v>63</v>
      </c>
      <c r="I548">
        <v>3</v>
      </c>
    </row>
    <row r="549" spans="1:9" x14ac:dyDescent="0.3">
      <c r="A549">
        <v>138</v>
      </c>
      <c r="B549" t="s">
        <v>7</v>
      </c>
      <c r="C549" t="s">
        <v>12</v>
      </c>
      <c r="D549">
        <v>1</v>
      </c>
      <c r="E549">
        <v>0</v>
      </c>
      <c r="F549">
        <v>0</v>
      </c>
      <c r="G549">
        <v>23</v>
      </c>
      <c r="H549" t="s">
        <v>64</v>
      </c>
      <c r="I549">
        <v>24</v>
      </c>
    </row>
    <row r="550" spans="1:9" x14ac:dyDescent="0.3">
      <c r="A550">
        <v>138</v>
      </c>
      <c r="B550" t="s">
        <v>7</v>
      </c>
      <c r="C550" t="s">
        <v>13</v>
      </c>
      <c r="D550">
        <v>7</v>
      </c>
      <c r="E550">
        <v>0</v>
      </c>
      <c r="F550">
        <v>0</v>
      </c>
      <c r="G550">
        <v>16</v>
      </c>
      <c r="H550" t="s">
        <v>69</v>
      </c>
      <c r="I550">
        <v>23</v>
      </c>
    </row>
    <row r="551" spans="1:9" x14ac:dyDescent="0.3">
      <c r="A551">
        <v>138</v>
      </c>
      <c r="B551" t="s">
        <v>7</v>
      </c>
      <c r="C551" t="s">
        <v>14</v>
      </c>
      <c r="D551">
        <v>0</v>
      </c>
      <c r="E551">
        <v>0</v>
      </c>
      <c r="F551">
        <v>0</v>
      </c>
      <c r="G551">
        <v>4</v>
      </c>
      <c r="H551" t="s">
        <v>62</v>
      </c>
      <c r="I551">
        <v>4</v>
      </c>
    </row>
    <row r="552" spans="1:9" x14ac:dyDescent="0.3">
      <c r="A552">
        <v>138</v>
      </c>
      <c r="B552" t="s">
        <v>7</v>
      </c>
      <c r="C552" t="s">
        <v>15</v>
      </c>
      <c r="D552">
        <v>0</v>
      </c>
      <c r="E552">
        <v>0</v>
      </c>
      <c r="F552">
        <v>0</v>
      </c>
      <c r="G552">
        <v>5</v>
      </c>
      <c r="H552" t="s">
        <v>65</v>
      </c>
      <c r="I552">
        <v>5</v>
      </c>
    </row>
    <row r="553" spans="1:9" x14ac:dyDescent="0.3">
      <c r="A553">
        <v>138</v>
      </c>
      <c r="B553" t="s">
        <v>7</v>
      </c>
      <c r="C553" t="s">
        <v>16</v>
      </c>
      <c r="D553">
        <v>0</v>
      </c>
      <c r="E553">
        <v>0</v>
      </c>
      <c r="F553">
        <v>0</v>
      </c>
      <c r="G553">
        <v>4</v>
      </c>
      <c r="H553" t="s">
        <v>61</v>
      </c>
      <c r="I553">
        <v>4</v>
      </c>
    </row>
    <row r="554" spans="1:9" x14ac:dyDescent="0.3">
      <c r="A554">
        <v>138</v>
      </c>
      <c r="B554" t="s">
        <v>7</v>
      </c>
      <c r="C554" t="s">
        <v>17</v>
      </c>
      <c r="D554">
        <v>0</v>
      </c>
      <c r="E554">
        <v>0</v>
      </c>
      <c r="F554">
        <v>0</v>
      </c>
      <c r="G554">
        <v>3</v>
      </c>
      <c r="H554" t="s">
        <v>66</v>
      </c>
      <c r="I554">
        <v>3</v>
      </c>
    </row>
    <row r="555" spans="1:9" x14ac:dyDescent="0.3">
      <c r="A555">
        <v>138</v>
      </c>
      <c r="B555" t="s">
        <v>7</v>
      </c>
      <c r="C555" t="s">
        <v>18</v>
      </c>
      <c r="D555">
        <v>1</v>
      </c>
      <c r="E555">
        <v>0</v>
      </c>
      <c r="F555">
        <v>0</v>
      </c>
      <c r="G555">
        <v>15</v>
      </c>
      <c r="H555" t="s">
        <v>72</v>
      </c>
      <c r="I555">
        <v>16</v>
      </c>
    </row>
    <row r="556" spans="1:9" x14ac:dyDescent="0.3">
      <c r="A556">
        <v>138</v>
      </c>
      <c r="B556" t="s">
        <v>7</v>
      </c>
      <c r="C556" t="s">
        <v>20</v>
      </c>
      <c r="D556">
        <v>1</v>
      </c>
      <c r="E556">
        <v>0</v>
      </c>
      <c r="F556">
        <v>0</v>
      </c>
      <c r="G556">
        <v>8</v>
      </c>
      <c r="H556" t="s">
        <v>60</v>
      </c>
      <c r="I556">
        <v>9</v>
      </c>
    </row>
    <row r="557" spans="1:9" x14ac:dyDescent="0.3">
      <c r="A557">
        <v>138</v>
      </c>
      <c r="B557" t="s">
        <v>7</v>
      </c>
      <c r="C557" t="s">
        <v>29</v>
      </c>
      <c r="D557">
        <v>0</v>
      </c>
      <c r="E557">
        <v>0</v>
      </c>
      <c r="F557">
        <v>0</v>
      </c>
      <c r="G557">
        <v>2</v>
      </c>
      <c r="H557" t="s">
        <v>67</v>
      </c>
      <c r="I557">
        <v>2</v>
      </c>
    </row>
    <row r="558" spans="1:9" x14ac:dyDescent="0.3">
      <c r="A558">
        <v>138</v>
      </c>
      <c r="B558" t="s">
        <v>33</v>
      </c>
      <c r="C558" t="s">
        <v>9</v>
      </c>
      <c r="D558">
        <v>0</v>
      </c>
      <c r="E558">
        <v>0</v>
      </c>
      <c r="F558">
        <v>8</v>
      </c>
      <c r="G558">
        <v>0</v>
      </c>
      <c r="H558" t="s">
        <v>9</v>
      </c>
      <c r="I558">
        <v>8</v>
      </c>
    </row>
    <row r="559" spans="1:9" x14ac:dyDescent="0.3">
      <c r="A559">
        <v>138</v>
      </c>
      <c r="B559" t="s">
        <v>33</v>
      </c>
      <c r="C559" t="s">
        <v>10</v>
      </c>
      <c r="D559">
        <v>3</v>
      </c>
      <c r="E559">
        <v>0</v>
      </c>
      <c r="F559">
        <v>0</v>
      </c>
      <c r="G559">
        <v>13</v>
      </c>
      <c r="H559" t="s">
        <v>68</v>
      </c>
      <c r="I559">
        <v>16</v>
      </c>
    </row>
    <row r="560" spans="1:9" x14ac:dyDescent="0.3">
      <c r="A560">
        <v>138</v>
      </c>
      <c r="B560" t="s">
        <v>33</v>
      </c>
      <c r="C560" t="s">
        <v>11</v>
      </c>
      <c r="D560">
        <v>0</v>
      </c>
      <c r="E560">
        <v>0</v>
      </c>
      <c r="F560">
        <v>0</v>
      </c>
      <c r="G560">
        <v>1</v>
      </c>
      <c r="H560" t="s">
        <v>63</v>
      </c>
      <c r="I560">
        <v>1</v>
      </c>
    </row>
    <row r="561" spans="1:9" x14ac:dyDescent="0.3">
      <c r="A561">
        <v>138</v>
      </c>
      <c r="B561" t="s">
        <v>33</v>
      </c>
      <c r="C561" t="s">
        <v>12</v>
      </c>
      <c r="D561">
        <v>9</v>
      </c>
      <c r="E561">
        <v>26</v>
      </c>
      <c r="F561">
        <v>161</v>
      </c>
      <c r="G561">
        <v>22</v>
      </c>
      <c r="H561" t="s">
        <v>64</v>
      </c>
      <c r="I561">
        <v>218</v>
      </c>
    </row>
    <row r="562" spans="1:9" x14ac:dyDescent="0.3">
      <c r="A562">
        <v>138</v>
      </c>
      <c r="B562" t="s">
        <v>33</v>
      </c>
      <c r="C562" t="s">
        <v>13</v>
      </c>
      <c r="D562">
        <v>1</v>
      </c>
      <c r="E562">
        <v>0</v>
      </c>
      <c r="F562">
        <v>0</v>
      </c>
      <c r="G562">
        <v>11</v>
      </c>
      <c r="H562" t="s">
        <v>69</v>
      </c>
      <c r="I562">
        <v>12</v>
      </c>
    </row>
    <row r="563" spans="1:9" x14ac:dyDescent="0.3">
      <c r="A563">
        <v>138</v>
      </c>
      <c r="B563" t="s">
        <v>33</v>
      </c>
      <c r="C563" t="s">
        <v>14</v>
      </c>
      <c r="D563">
        <v>0</v>
      </c>
      <c r="E563">
        <v>0</v>
      </c>
      <c r="F563">
        <v>0</v>
      </c>
      <c r="G563">
        <v>2</v>
      </c>
      <c r="H563" t="s">
        <v>62</v>
      </c>
      <c r="I563">
        <v>2</v>
      </c>
    </row>
    <row r="564" spans="1:9" x14ac:dyDescent="0.3">
      <c r="A564">
        <v>138</v>
      </c>
      <c r="B564" t="s">
        <v>33</v>
      </c>
      <c r="C564" t="s">
        <v>15</v>
      </c>
      <c r="D564">
        <v>0</v>
      </c>
      <c r="E564">
        <v>0</v>
      </c>
      <c r="F564">
        <v>0</v>
      </c>
      <c r="G564">
        <v>2</v>
      </c>
      <c r="H564" t="s">
        <v>65</v>
      </c>
      <c r="I564">
        <v>2</v>
      </c>
    </row>
    <row r="565" spans="1:9" x14ac:dyDescent="0.3">
      <c r="A565">
        <v>138</v>
      </c>
      <c r="B565" t="s">
        <v>33</v>
      </c>
      <c r="C565" t="s">
        <v>16</v>
      </c>
      <c r="D565">
        <v>2</v>
      </c>
      <c r="E565">
        <v>0</v>
      </c>
      <c r="F565">
        <v>0</v>
      </c>
      <c r="G565">
        <v>1</v>
      </c>
      <c r="H565" t="s">
        <v>61</v>
      </c>
      <c r="I565">
        <v>3</v>
      </c>
    </row>
    <row r="566" spans="1:9" x14ac:dyDescent="0.3">
      <c r="A566">
        <v>138</v>
      </c>
      <c r="B566" t="s">
        <v>33</v>
      </c>
      <c r="C566" t="s">
        <v>18</v>
      </c>
      <c r="D566">
        <v>0</v>
      </c>
      <c r="E566">
        <v>0</v>
      </c>
      <c r="F566">
        <v>0</v>
      </c>
      <c r="G566">
        <v>6</v>
      </c>
      <c r="H566" t="s">
        <v>72</v>
      </c>
      <c r="I566">
        <v>6</v>
      </c>
    </row>
    <row r="567" spans="1:9" x14ac:dyDescent="0.3">
      <c r="A567">
        <v>138</v>
      </c>
      <c r="B567" t="s">
        <v>33</v>
      </c>
      <c r="C567" t="s">
        <v>19</v>
      </c>
      <c r="D567">
        <v>0</v>
      </c>
      <c r="E567">
        <v>0</v>
      </c>
      <c r="F567">
        <v>0</v>
      </c>
      <c r="G567">
        <v>4</v>
      </c>
      <c r="H567" t="s">
        <v>70</v>
      </c>
      <c r="I567">
        <v>4</v>
      </c>
    </row>
    <row r="568" spans="1:9" x14ac:dyDescent="0.3">
      <c r="A568">
        <v>138</v>
      </c>
      <c r="B568" t="s">
        <v>33</v>
      </c>
      <c r="C568" t="s">
        <v>28</v>
      </c>
      <c r="D568">
        <v>0</v>
      </c>
      <c r="E568">
        <v>0</v>
      </c>
      <c r="F568">
        <v>0</v>
      </c>
      <c r="G568">
        <v>2</v>
      </c>
      <c r="H568" t="s">
        <v>28</v>
      </c>
      <c r="I568">
        <v>2</v>
      </c>
    </row>
    <row r="569" spans="1:9" x14ac:dyDescent="0.3">
      <c r="A569">
        <v>138</v>
      </c>
      <c r="B569" t="s">
        <v>33</v>
      </c>
      <c r="C569" t="s">
        <v>29</v>
      </c>
      <c r="D569">
        <v>0</v>
      </c>
      <c r="E569">
        <v>0</v>
      </c>
      <c r="F569">
        <v>0</v>
      </c>
      <c r="G569">
        <v>4</v>
      </c>
      <c r="H569" t="s">
        <v>67</v>
      </c>
      <c r="I569">
        <v>4</v>
      </c>
    </row>
    <row r="570" spans="1:9" x14ac:dyDescent="0.3">
      <c r="A570">
        <v>139</v>
      </c>
      <c r="B570" t="s">
        <v>7</v>
      </c>
      <c r="C570" t="s">
        <v>11</v>
      </c>
      <c r="D570">
        <v>75</v>
      </c>
      <c r="E570">
        <v>0</v>
      </c>
      <c r="F570">
        <v>0</v>
      </c>
      <c r="G570">
        <v>36</v>
      </c>
      <c r="H570" t="s">
        <v>63</v>
      </c>
      <c r="I570">
        <v>111</v>
      </c>
    </row>
    <row r="571" spans="1:9" x14ac:dyDescent="0.3">
      <c r="A571">
        <v>139</v>
      </c>
      <c r="B571" t="s">
        <v>7</v>
      </c>
      <c r="C571" t="s">
        <v>14</v>
      </c>
      <c r="D571">
        <v>12</v>
      </c>
      <c r="E571">
        <v>5</v>
      </c>
      <c r="F571">
        <v>0</v>
      </c>
      <c r="G571">
        <v>9</v>
      </c>
      <c r="H571" t="s">
        <v>62</v>
      </c>
      <c r="I571">
        <v>26</v>
      </c>
    </row>
    <row r="572" spans="1:9" x14ac:dyDescent="0.3">
      <c r="A572">
        <v>139</v>
      </c>
      <c r="B572" t="s">
        <v>7</v>
      </c>
      <c r="C572" t="s">
        <v>15</v>
      </c>
      <c r="D572">
        <v>7</v>
      </c>
      <c r="E572">
        <v>1</v>
      </c>
      <c r="F572">
        <v>0</v>
      </c>
      <c r="G572">
        <v>6</v>
      </c>
      <c r="H572" t="s">
        <v>65</v>
      </c>
      <c r="I572">
        <v>14</v>
      </c>
    </row>
    <row r="573" spans="1:9" x14ac:dyDescent="0.3">
      <c r="A573">
        <v>139</v>
      </c>
      <c r="B573" t="s">
        <v>7</v>
      </c>
      <c r="C573" t="s">
        <v>16</v>
      </c>
      <c r="D573">
        <v>33</v>
      </c>
      <c r="E573">
        <v>10</v>
      </c>
      <c r="F573">
        <v>0</v>
      </c>
      <c r="G573">
        <v>30</v>
      </c>
      <c r="H573" t="s">
        <v>61</v>
      </c>
      <c r="I573">
        <v>73</v>
      </c>
    </row>
    <row r="574" spans="1:9" x14ac:dyDescent="0.3">
      <c r="A574">
        <v>139</v>
      </c>
      <c r="B574" t="s">
        <v>7</v>
      </c>
      <c r="C574" t="s">
        <v>18</v>
      </c>
      <c r="D574">
        <v>5</v>
      </c>
      <c r="E574">
        <v>2</v>
      </c>
      <c r="F574">
        <v>0</v>
      </c>
      <c r="G574">
        <v>5</v>
      </c>
      <c r="H574" t="s">
        <v>72</v>
      </c>
      <c r="I574">
        <v>12</v>
      </c>
    </row>
    <row r="575" spans="1:9" x14ac:dyDescent="0.3">
      <c r="A575">
        <v>139</v>
      </c>
      <c r="B575" t="s">
        <v>7</v>
      </c>
      <c r="C575" t="s">
        <v>19</v>
      </c>
      <c r="D575">
        <v>13</v>
      </c>
      <c r="E575">
        <v>2</v>
      </c>
      <c r="F575">
        <v>0</v>
      </c>
      <c r="G575">
        <v>9</v>
      </c>
      <c r="H575" t="s">
        <v>70</v>
      </c>
      <c r="I575">
        <v>24</v>
      </c>
    </row>
    <row r="576" spans="1:9" x14ac:dyDescent="0.3">
      <c r="A576">
        <v>139</v>
      </c>
      <c r="B576" t="s">
        <v>33</v>
      </c>
      <c r="C576" t="s">
        <v>8</v>
      </c>
      <c r="D576">
        <v>0</v>
      </c>
      <c r="E576">
        <v>0</v>
      </c>
      <c r="F576">
        <v>3</v>
      </c>
      <c r="G576">
        <v>0</v>
      </c>
      <c r="H576" t="s">
        <v>8</v>
      </c>
      <c r="I576">
        <v>3</v>
      </c>
    </row>
    <row r="577" spans="1:9" x14ac:dyDescent="0.3">
      <c r="A577">
        <v>139</v>
      </c>
      <c r="B577" t="s">
        <v>33</v>
      </c>
      <c r="C577" t="s">
        <v>9</v>
      </c>
      <c r="D577">
        <v>0</v>
      </c>
      <c r="E577">
        <v>0</v>
      </c>
      <c r="F577">
        <v>35</v>
      </c>
      <c r="G577">
        <v>0</v>
      </c>
      <c r="H577" t="s">
        <v>9</v>
      </c>
      <c r="I577">
        <v>35</v>
      </c>
    </row>
    <row r="578" spans="1:9" x14ac:dyDescent="0.3">
      <c r="A578">
        <v>139</v>
      </c>
      <c r="B578" t="s">
        <v>33</v>
      </c>
      <c r="C578" t="s">
        <v>10</v>
      </c>
      <c r="D578">
        <v>12</v>
      </c>
      <c r="E578">
        <v>3</v>
      </c>
      <c r="F578">
        <v>0</v>
      </c>
      <c r="G578">
        <v>10</v>
      </c>
      <c r="H578" t="s">
        <v>68</v>
      </c>
      <c r="I578">
        <v>25</v>
      </c>
    </row>
    <row r="579" spans="1:9" x14ac:dyDescent="0.3">
      <c r="A579">
        <v>139</v>
      </c>
      <c r="B579" t="s">
        <v>33</v>
      </c>
      <c r="C579" t="s">
        <v>14</v>
      </c>
      <c r="D579">
        <v>6</v>
      </c>
      <c r="E579">
        <v>3</v>
      </c>
      <c r="F579">
        <v>0</v>
      </c>
      <c r="G579">
        <v>8</v>
      </c>
      <c r="H579" t="s">
        <v>62</v>
      </c>
      <c r="I579">
        <v>17</v>
      </c>
    </row>
    <row r="580" spans="1:9" x14ac:dyDescent="0.3">
      <c r="A580">
        <v>139</v>
      </c>
      <c r="B580" t="s">
        <v>33</v>
      </c>
      <c r="C580" t="s">
        <v>19</v>
      </c>
      <c r="D580">
        <v>13</v>
      </c>
      <c r="E580">
        <v>3</v>
      </c>
      <c r="F580">
        <v>0</v>
      </c>
      <c r="G580">
        <v>9</v>
      </c>
      <c r="H580" t="s">
        <v>70</v>
      </c>
      <c r="I580">
        <v>25</v>
      </c>
    </row>
    <row r="581" spans="1:9" x14ac:dyDescent="0.3">
      <c r="A581">
        <v>140</v>
      </c>
      <c r="B581" t="s">
        <v>7</v>
      </c>
      <c r="C581" t="s">
        <v>11</v>
      </c>
      <c r="D581">
        <v>37</v>
      </c>
      <c r="E581">
        <v>25</v>
      </c>
      <c r="F581">
        <v>0</v>
      </c>
      <c r="G581">
        <v>35</v>
      </c>
      <c r="H581" t="s">
        <v>63</v>
      </c>
      <c r="I581">
        <v>97</v>
      </c>
    </row>
    <row r="582" spans="1:9" x14ac:dyDescent="0.3">
      <c r="A582">
        <v>140</v>
      </c>
      <c r="B582" t="s">
        <v>7</v>
      </c>
      <c r="C582" t="s">
        <v>16</v>
      </c>
      <c r="D582">
        <v>15</v>
      </c>
      <c r="E582">
        <v>28</v>
      </c>
      <c r="F582">
        <v>0</v>
      </c>
      <c r="G582">
        <v>23</v>
      </c>
      <c r="H582" t="s">
        <v>61</v>
      </c>
      <c r="I582">
        <v>66</v>
      </c>
    </row>
    <row r="583" spans="1:9" x14ac:dyDescent="0.3">
      <c r="A583">
        <v>140</v>
      </c>
      <c r="B583" t="s">
        <v>7</v>
      </c>
      <c r="C583" t="s">
        <v>18</v>
      </c>
      <c r="D583">
        <v>9</v>
      </c>
      <c r="E583">
        <v>2</v>
      </c>
      <c r="F583">
        <v>0</v>
      </c>
      <c r="G583">
        <v>7</v>
      </c>
      <c r="H583" t="s">
        <v>72</v>
      </c>
      <c r="I583">
        <v>18</v>
      </c>
    </row>
    <row r="584" spans="1:9" x14ac:dyDescent="0.3">
      <c r="A584">
        <v>140</v>
      </c>
      <c r="B584" t="s">
        <v>33</v>
      </c>
      <c r="C584" t="s">
        <v>8</v>
      </c>
      <c r="D584">
        <v>0</v>
      </c>
      <c r="E584">
        <v>0</v>
      </c>
      <c r="F584">
        <v>2</v>
      </c>
      <c r="G584">
        <v>0</v>
      </c>
      <c r="H584" t="s">
        <v>8</v>
      </c>
      <c r="I584">
        <v>2</v>
      </c>
    </row>
    <row r="585" spans="1:9" x14ac:dyDescent="0.3">
      <c r="A585">
        <v>140</v>
      </c>
      <c r="B585" t="s">
        <v>33</v>
      </c>
      <c r="C585" t="s">
        <v>9</v>
      </c>
      <c r="D585">
        <v>0</v>
      </c>
      <c r="E585">
        <v>0</v>
      </c>
      <c r="F585">
        <v>80</v>
      </c>
      <c r="G585">
        <v>0</v>
      </c>
      <c r="H585" t="s">
        <v>9</v>
      </c>
      <c r="I585">
        <v>80</v>
      </c>
    </row>
    <row r="586" spans="1:9" x14ac:dyDescent="0.3">
      <c r="A586">
        <v>140</v>
      </c>
      <c r="B586" t="s">
        <v>33</v>
      </c>
      <c r="C586" t="s">
        <v>10</v>
      </c>
      <c r="D586">
        <v>5</v>
      </c>
      <c r="E586">
        <v>0</v>
      </c>
      <c r="F586">
        <v>0</v>
      </c>
      <c r="G586">
        <v>2</v>
      </c>
      <c r="H586" t="s">
        <v>68</v>
      </c>
      <c r="I586">
        <v>7</v>
      </c>
    </row>
    <row r="587" spans="1:9" x14ac:dyDescent="0.3">
      <c r="A587">
        <v>140</v>
      </c>
      <c r="B587" t="s">
        <v>33</v>
      </c>
      <c r="C587" t="s">
        <v>11</v>
      </c>
      <c r="D587">
        <v>4</v>
      </c>
      <c r="E587">
        <v>0</v>
      </c>
      <c r="F587">
        <v>0</v>
      </c>
      <c r="G587">
        <v>2</v>
      </c>
      <c r="H587" t="s">
        <v>63</v>
      </c>
      <c r="I587">
        <v>6</v>
      </c>
    </row>
    <row r="588" spans="1:9" x14ac:dyDescent="0.3">
      <c r="A588">
        <v>140</v>
      </c>
      <c r="B588" t="s">
        <v>33</v>
      </c>
      <c r="C588" t="s">
        <v>14</v>
      </c>
      <c r="D588">
        <v>10</v>
      </c>
      <c r="E588">
        <v>6</v>
      </c>
      <c r="F588">
        <v>0</v>
      </c>
      <c r="G588">
        <v>9</v>
      </c>
      <c r="H588" t="s">
        <v>62</v>
      </c>
      <c r="I588">
        <v>25</v>
      </c>
    </row>
    <row r="589" spans="1:9" x14ac:dyDescent="0.3">
      <c r="A589">
        <v>140</v>
      </c>
      <c r="B589" t="s">
        <v>33</v>
      </c>
      <c r="C589" t="s">
        <v>15</v>
      </c>
      <c r="D589">
        <v>10</v>
      </c>
      <c r="E589">
        <v>2</v>
      </c>
      <c r="F589">
        <v>0</v>
      </c>
      <c r="G589">
        <v>6</v>
      </c>
      <c r="H589" t="s">
        <v>65</v>
      </c>
      <c r="I589">
        <v>18</v>
      </c>
    </row>
    <row r="590" spans="1:9" x14ac:dyDescent="0.3">
      <c r="A590">
        <v>140</v>
      </c>
      <c r="B590" t="s">
        <v>33</v>
      </c>
      <c r="C590" t="s">
        <v>19</v>
      </c>
      <c r="D590">
        <v>7</v>
      </c>
      <c r="E590">
        <v>0</v>
      </c>
      <c r="F590">
        <v>0</v>
      </c>
      <c r="G590">
        <v>5</v>
      </c>
      <c r="H590" t="s">
        <v>70</v>
      </c>
      <c r="I590">
        <v>12</v>
      </c>
    </row>
    <row r="591" spans="1:9" x14ac:dyDescent="0.3">
      <c r="A591">
        <v>141</v>
      </c>
      <c r="B591" t="s">
        <v>7</v>
      </c>
      <c r="C591" t="s">
        <v>11</v>
      </c>
      <c r="D591">
        <v>16</v>
      </c>
      <c r="E591">
        <v>1</v>
      </c>
      <c r="F591">
        <v>0</v>
      </c>
      <c r="G591">
        <v>13</v>
      </c>
      <c r="H591" t="s">
        <v>63</v>
      </c>
      <c r="I591">
        <v>30</v>
      </c>
    </row>
    <row r="592" spans="1:9" x14ac:dyDescent="0.3">
      <c r="A592">
        <v>141</v>
      </c>
      <c r="B592" t="s">
        <v>7</v>
      </c>
      <c r="C592" t="s">
        <v>14</v>
      </c>
      <c r="D592">
        <v>24</v>
      </c>
      <c r="E592">
        <v>2</v>
      </c>
      <c r="F592">
        <v>0</v>
      </c>
      <c r="G592">
        <v>16</v>
      </c>
      <c r="H592" t="s">
        <v>62</v>
      </c>
      <c r="I592">
        <v>42</v>
      </c>
    </row>
    <row r="593" spans="1:9" x14ac:dyDescent="0.3">
      <c r="A593">
        <v>141</v>
      </c>
      <c r="B593" t="s">
        <v>7</v>
      </c>
      <c r="C593" t="s">
        <v>15</v>
      </c>
      <c r="D593">
        <v>7</v>
      </c>
      <c r="E593">
        <v>3</v>
      </c>
      <c r="F593">
        <v>0</v>
      </c>
      <c r="G593">
        <v>14</v>
      </c>
      <c r="H593" t="s">
        <v>65</v>
      </c>
      <c r="I593">
        <v>24</v>
      </c>
    </row>
    <row r="594" spans="1:9" x14ac:dyDescent="0.3">
      <c r="A594">
        <v>141</v>
      </c>
      <c r="B594" t="s">
        <v>7</v>
      </c>
      <c r="C594" t="s">
        <v>16</v>
      </c>
      <c r="D594">
        <v>16</v>
      </c>
      <c r="E594">
        <v>0</v>
      </c>
      <c r="F594">
        <v>0</v>
      </c>
      <c r="G594">
        <v>17</v>
      </c>
      <c r="H594" t="s">
        <v>61</v>
      </c>
      <c r="I594">
        <v>33</v>
      </c>
    </row>
    <row r="595" spans="1:9" x14ac:dyDescent="0.3">
      <c r="A595">
        <v>141</v>
      </c>
      <c r="B595" t="s">
        <v>7</v>
      </c>
      <c r="C595" t="s">
        <v>18</v>
      </c>
      <c r="D595">
        <v>3</v>
      </c>
      <c r="E595">
        <v>1</v>
      </c>
      <c r="F595">
        <v>0</v>
      </c>
      <c r="G595">
        <v>8</v>
      </c>
      <c r="H595" t="s">
        <v>72</v>
      </c>
      <c r="I595">
        <v>12</v>
      </c>
    </row>
    <row r="596" spans="1:9" x14ac:dyDescent="0.3">
      <c r="A596">
        <v>141</v>
      </c>
      <c r="B596" t="s">
        <v>7</v>
      </c>
      <c r="C596" t="s">
        <v>19</v>
      </c>
      <c r="D596">
        <v>43</v>
      </c>
      <c r="E596">
        <v>4</v>
      </c>
      <c r="F596">
        <v>0</v>
      </c>
      <c r="G596">
        <v>32</v>
      </c>
      <c r="H596" t="s">
        <v>70</v>
      </c>
      <c r="I596">
        <v>79</v>
      </c>
    </row>
    <row r="597" spans="1:9" x14ac:dyDescent="0.3">
      <c r="A597">
        <v>141</v>
      </c>
      <c r="B597" t="s">
        <v>7</v>
      </c>
      <c r="C597" t="s">
        <v>23</v>
      </c>
      <c r="D597">
        <v>12</v>
      </c>
      <c r="E597">
        <v>0</v>
      </c>
      <c r="F597">
        <v>0</v>
      </c>
      <c r="G597">
        <v>7</v>
      </c>
      <c r="H597" t="s">
        <v>73</v>
      </c>
      <c r="I597">
        <v>19</v>
      </c>
    </row>
    <row r="598" spans="1:9" x14ac:dyDescent="0.3">
      <c r="A598">
        <v>141</v>
      </c>
      <c r="B598" t="s">
        <v>33</v>
      </c>
      <c r="C598" t="s">
        <v>8</v>
      </c>
      <c r="D598">
        <v>0</v>
      </c>
      <c r="E598">
        <v>0</v>
      </c>
      <c r="F598">
        <v>1</v>
      </c>
      <c r="G598">
        <v>0</v>
      </c>
      <c r="H598" t="s">
        <v>8</v>
      </c>
      <c r="I598">
        <v>1</v>
      </c>
    </row>
    <row r="599" spans="1:9" x14ac:dyDescent="0.3">
      <c r="A599">
        <v>141</v>
      </c>
      <c r="B599" t="s">
        <v>33</v>
      </c>
      <c r="C599" t="s">
        <v>9</v>
      </c>
      <c r="D599">
        <v>0</v>
      </c>
      <c r="E599">
        <v>0</v>
      </c>
      <c r="F599">
        <v>72</v>
      </c>
      <c r="G599">
        <v>0</v>
      </c>
      <c r="H599" t="s">
        <v>9</v>
      </c>
      <c r="I599">
        <v>72</v>
      </c>
    </row>
    <row r="600" spans="1:9" x14ac:dyDescent="0.3">
      <c r="A600">
        <v>141</v>
      </c>
      <c r="B600" t="s">
        <v>33</v>
      </c>
      <c r="C600" t="s">
        <v>10</v>
      </c>
      <c r="D600">
        <v>4</v>
      </c>
      <c r="E600">
        <v>1</v>
      </c>
      <c r="F600">
        <v>0</v>
      </c>
      <c r="G600">
        <v>4</v>
      </c>
      <c r="H600" t="s">
        <v>68</v>
      </c>
      <c r="I600">
        <v>9</v>
      </c>
    </row>
    <row r="601" spans="1:9" x14ac:dyDescent="0.3">
      <c r="A601">
        <v>141</v>
      </c>
      <c r="B601" t="s">
        <v>33</v>
      </c>
      <c r="C601" t="s">
        <v>11</v>
      </c>
      <c r="D601">
        <v>17</v>
      </c>
      <c r="E601">
        <v>3</v>
      </c>
      <c r="F601">
        <v>0</v>
      </c>
      <c r="G601">
        <v>16</v>
      </c>
      <c r="H601" t="s">
        <v>63</v>
      </c>
      <c r="I601">
        <v>36</v>
      </c>
    </row>
    <row r="602" spans="1:9" x14ac:dyDescent="0.3">
      <c r="A602">
        <v>141</v>
      </c>
      <c r="B602" t="s">
        <v>33</v>
      </c>
      <c r="C602" t="s">
        <v>14</v>
      </c>
      <c r="D602">
        <v>4</v>
      </c>
      <c r="E602">
        <v>2</v>
      </c>
      <c r="F602">
        <v>0</v>
      </c>
      <c r="G602">
        <v>10</v>
      </c>
      <c r="H602" t="s">
        <v>62</v>
      </c>
      <c r="I602">
        <v>16</v>
      </c>
    </row>
    <row r="603" spans="1:9" x14ac:dyDescent="0.3">
      <c r="A603">
        <v>141</v>
      </c>
      <c r="B603" t="s">
        <v>33</v>
      </c>
      <c r="C603" t="s">
        <v>15</v>
      </c>
      <c r="D603">
        <v>18</v>
      </c>
      <c r="E603">
        <v>6</v>
      </c>
      <c r="F603">
        <v>0</v>
      </c>
      <c r="G603">
        <v>17</v>
      </c>
      <c r="H603" t="s">
        <v>65</v>
      </c>
      <c r="I603">
        <v>41</v>
      </c>
    </row>
    <row r="604" spans="1:9" x14ac:dyDescent="0.3">
      <c r="A604">
        <v>141</v>
      </c>
      <c r="B604" t="s">
        <v>33</v>
      </c>
      <c r="C604" t="s">
        <v>18</v>
      </c>
      <c r="D604">
        <v>0</v>
      </c>
      <c r="E604">
        <v>0</v>
      </c>
      <c r="F604">
        <v>0</v>
      </c>
      <c r="G604">
        <v>1</v>
      </c>
      <c r="H604" t="s">
        <v>72</v>
      </c>
      <c r="I604">
        <v>1</v>
      </c>
    </row>
    <row r="605" spans="1:9" x14ac:dyDescent="0.3">
      <c r="A605">
        <v>141</v>
      </c>
      <c r="B605" t="s">
        <v>33</v>
      </c>
      <c r="C605" t="s">
        <v>19</v>
      </c>
      <c r="D605">
        <v>23</v>
      </c>
      <c r="E605">
        <v>13</v>
      </c>
      <c r="F605">
        <v>0</v>
      </c>
      <c r="G605">
        <v>30</v>
      </c>
      <c r="H605" t="s">
        <v>70</v>
      </c>
      <c r="I605">
        <v>66</v>
      </c>
    </row>
    <row r="606" spans="1:9" x14ac:dyDescent="0.3">
      <c r="A606">
        <v>141</v>
      </c>
      <c r="B606" t="s">
        <v>33</v>
      </c>
      <c r="C606" t="s">
        <v>20</v>
      </c>
      <c r="D606">
        <v>6</v>
      </c>
      <c r="E606">
        <v>0</v>
      </c>
      <c r="F606">
        <v>0</v>
      </c>
      <c r="G606">
        <v>5</v>
      </c>
      <c r="H606" t="s">
        <v>60</v>
      </c>
      <c r="I606">
        <v>11</v>
      </c>
    </row>
    <row r="607" spans="1:9" x14ac:dyDescent="0.3">
      <c r="A607">
        <v>141</v>
      </c>
      <c r="B607" t="s">
        <v>33</v>
      </c>
      <c r="C607" t="s">
        <v>21</v>
      </c>
      <c r="D607">
        <v>10</v>
      </c>
      <c r="E607">
        <v>0</v>
      </c>
      <c r="F607">
        <v>0</v>
      </c>
      <c r="G607">
        <v>11</v>
      </c>
      <c r="H607" t="s">
        <v>74</v>
      </c>
      <c r="I607">
        <v>21</v>
      </c>
    </row>
    <row r="608" spans="1:9" x14ac:dyDescent="0.3">
      <c r="A608">
        <v>141</v>
      </c>
      <c r="B608" t="s">
        <v>33</v>
      </c>
      <c r="C608" t="s">
        <v>23</v>
      </c>
      <c r="D608">
        <v>1</v>
      </c>
      <c r="E608">
        <v>0</v>
      </c>
      <c r="F608">
        <v>0</v>
      </c>
      <c r="G608">
        <v>3</v>
      </c>
      <c r="H608" t="s">
        <v>73</v>
      </c>
      <c r="I608">
        <v>4</v>
      </c>
    </row>
    <row r="609" spans="1:9" x14ac:dyDescent="0.3">
      <c r="A609">
        <v>141</v>
      </c>
      <c r="B609" t="s">
        <v>33</v>
      </c>
      <c r="C609" t="s">
        <v>28</v>
      </c>
      <c r="D609">
        <v>6</v>
      </c>
      <c r="E609">
        <v>0</v>
      </c>
      <c r="F609">
        <v>0</v>
      </c>
      <c r="G609">
        <v>5</v>
      </c>
      <c r="H609" t="s">
        <v>28</v>
      </c>
      <c r="I609">
        <v>11</v>
      </c>
    </row>
    <row r="610" spans="1:9" x14ac:dyDescent="0.3">
      <c r="A610">
        <v>142</v>
      </c>
      <c r="B610" t="s">
        <v>7</v>
      </c>
      <c r="C610" t="s">
        <v>11</v>
      </c>
      <c r="D610">
        <v>22</v>
      </c>
      <c r="E610">
        <v>1</v>
      </c>
      <c r="F610">
        <v>0</v>
      </c>
      <c r="G610">
        <v>23</v>
      </c>
      <c r="H610" t="s">
        <v>63</v>
      </c>
      <c r="I610">
        <v>46</v>
      </c>
    </row>
    <row r="611" spans="1:9" x14ac:dyDescent="0.3">
      <c r="A611">
        <v>142</v>
      </c>
      <c r="B611" t="s">
        <v>7</v>
      </c>
      <c r="C611" t="s">
        <v>14</v>
      </c>
      <c r="D611">
        <v>18</v>
      </c>
      <c r="E611">
        <v>13</v>
      </c>
      <c r="F611">
        <v>0</v>
      </c>
      <c r="G611">
        <v>22</v>
      </c>
      <c r="H611" t="s">
        <v>62</v>
      </c>
      <c r="I611">
        <v>53</v>
      </c>
    </row>
    <row r="612" spans="1:9" x14ac:dyDescent="0.3">
      <c r="A612">
        <v>142</v>
      </c>
      <c r="B612" t="s">
        <v>7</v>
      </c>
      <c r="C612" t="s">
        <v>15</v>
      </c>
      <c r="D612">
        <v>10</v>
      </c>
      <c r="E612">
        <v>6</v>
      </c>
      <c r="F612">
        <v>0</v>
      </c>
      <c r="G612">
        <v>21</v>
      </c>
      <c r="H612" t="s">
        <v>65</v>
      </c>
      <c r="I612">
        <v>37</v>
      </c>
    </row>
    <row r="613" spans="1:9" x14ac:dyDescent="0.3">
      <c r="A613">
        <v>142</v>
      </c>
      <c r="B613" t="s">
        <v>7</v>
      </c>
      <c r="C613" t="s">
        <v>16</v>
      </c>
      <c r="D613">
        <v>17</v>
      </c>
      <c r="E613">
        <v>0</v>
      </c>
      <c r="F613">
        <v>0</v>
      </c>
      <c r="G613">
        <v>20</v>
      </c>
      <c r="H613" t="s">
        <v>61</v>
      </c>
      <c r="I613">
        <v>37</v>
      </c>
    </row>
    <row r="614" spans="1:9" x14ac:dyDescent="0.3">
      <c r="A614">
        <v>142</v>
      </c>
      <c r="B614" t="s">
        <v>7</v>
      </c>
      <c r="C614" t="s">
        <v>18</v>
      </c>
      <c r="D614">
        <v>7</v>
      </c>
      <c r="E614">
        <v>3</v>
      </c>
      <c r="F614">
        <v>0</v>
      </c>
      <c r="G614">
        <v>13</v>
      </c>
      <c r="H614" t="s">
        <v>72</v>
      </c>
      <c r="I614">
        <v>23</v>
      </c>
    </row>
    <row r="615" spans="1:9" x14ac:dyDescent="0.3">
      <c r="A615">
        <v>142</v>
      </c>
      <c r="B615" t="s">
        <v>7</v>
      </c>
      <c r="C615" t="s">
        <v>19</v>
      </c>
      <c r="D615">
        <v>6</v>
      </c>
      <c r="E615">
        <v>4</v>
      </c>
      <c r="F615">
        <v>0</v>
      </c>
      <c r="G615">
        <v>15</v>
      </c>
      <c r="H615" t="s">
        <v>70</v>
      </c>
      <c r="I615">
        <v>25</v>
      </c>
    </row>
    <row r="616" spans="1:9" x14ac:dyDescent="0.3">
      <c r="A616">
        <v>142</v>
      </c>
      <c r="B616" t="s">
        <v>7</v>
      </c>
      <c r="C616" t="s">
        <v>23</v>
      </c>
      <c r="D616">
        <v>9</v>
      </c>
      <c r="E616">
        <v>2</v>
      </c>
      <c r="F616">
        <v>0</v>
      </c>
      <c r="G616">
        <v>7</v>
      </c>
      <c r="H616" t="s">
        <v>73</v>
      </c>
      <c r="I616">
        <v>18</v>
      </c>
    </row>
    <row r="617" spans="1:9" x14ac:dyDescent="0.3">
      <c r="A617">
        <v>142</v>
      </c>
      <c r="B617" t="s">
        <v>33</v>
      </c>
      <c r="C617" t="s">
        <v>8</v>
      </c>
      <c r="D617">
        <v>0</v>
      </c>
      <c r="E617">
        <v>0</v>
      </c>
      <c r="F617">
        <v>3</v>
      </c>
      <c r="G617">
        <v>0</v>
      </c>
      <c r="H617" t="s">
        <v>8</v>
      </c>
      <c r="I617">
        <v>3</v>
      </c>
    </row>
    <row r="618" spans="1:9" x14ac:dyDescent="0.3">
      <c r="A618">
        <v>142</v>
      </c>
      <c r="B618" t="s">
        <v>33</v>
      </c>
      <c r="C618" t="s">
        <v>9</v>
      </c>
      <c r="D618">
        <v>0</v>
      </c>
      <c r="E618">
        <v>0</v>
      </c>
      <c r="F618">
        <v>72</v>
      </c>
      <c r="G618">
        <v>0</v>
      </c>
      <c r="H618" t="s">
        <v>9</v>
      </c>
      <c r="I618">
        <v>72</v>
      </c>
    </row>
    <row r="619" spans="1:9" x14ac:dyDescent="0.3">
      <c r="A619">
        <v>142</v>
      </c>
      <c r="B619" t="s">
        <v>33</v>
      </c>
      <c r="C619" t="s">
        <v>10</v>
      </c>
      <c r="D619">
        <v>9</v>
      </c>
      <c r="E619">
        <v>0</v>
      </c>
      <c r="F619">
        <v>0</v>
      </c>
      <c r="G619">
        <v>9</v>
      </c>
      <c r="H619" t="s">
        <v>68</v>
      </c>
      <c r="I619">
        <v>18</v>
      </c>
    </row>
    <row r="620" spans="1:9" x14ac:dyDescent="0.3">
      <c r="A620">
        <v>142</v>
      </c>
      <c r="B620" t="s">
        <v>33</v>
      </c>
      <c r="C620" t="s">
        <v>11</v>
      </c>
      <c r="D620">
        <v>19</v>
      </c>
      <c r="E620">
        <v>0</v>
      </c>
      <c r="F620">
        <v>0</v>
      </c>
      <c r="G620">
        <v>16</v>
      </c>
      <c r="H620" t="s">
        <v>63</v>
      </c>
      <c r="I620">
        <v>35</v>
      </c>
    </row>
    <row r="621" spans="1:9" x14ac:dyDescent="0.3">
      <c r="A621">
        <v>142</v>
      </c>
      <c r="B621" t="s">
        <v>33</v>
      </c>
      <c r="C621" t="s">
        <v>14</v>
      </c>
      <c r="D621">
        <v>11</v>
      </c>
      <c r="E621">
        <v>7</v>
      </c>
      <c r="F621">
        <v>0</v>
      </c>
      <c r="G621">
        <v>20</v>
      </c>
      <c r="H621" t="s">
        <v>62</v>
      </c>
      <c r="I621">
        <v>38</v>
      </c>
    </row>
    <row r="622" spans="1:9" x14ac:dyDescent="0.3">
      <c r="A622">
        <v>142</v>
      </c>
      <c r="B622" t="s">
        <v>33</v>
      </c>
      <c r="C622" t="s">
        <v>15</v>
      </c>
      <c r="D622">
        <v>6</v>
      </c>
      <c r="E622">
        <v>0</v>
      </c>
      <c r="F622">
        <v>0</v>
      </c>
      <c r="G622">
        <v>16</v>
      </c>
      <c r="H622" t="s">
        <v>65</v>
      </c>
      <c r="I622">
        <v>22</v>
      </c>
    </row>
    <row r="623" spans="1:9" x14ac:dyDescent="0.3">
      <c r="A623">
        <v>142</v>
      </c>
      <c r="B623" t="s">
        <v>33</v>
      </c>
      <c r="C623" t="s">
        <v>19</v>
      </c>
      <c r="D623">
        <v>0</v>
      </c>
      <c r="E623">
        <v>0</v>
      </c>
      <c r="F623">
        <v>0</v>
      </c>
      <c r="G623">
        <v>11</v>
      </c>
      <c r="H623" t="s">
        <v>70</v>
      </c>
      <c r="I623">
        <v>11</v>
      </c>
    </row>
    <row r="624" spans="1:9" x14ac:dyDescent="0.3">
      <c r="A624">
        <v>142</v>
      </c>
      <c r="B624" t="s">
        <v>33</v>
      </c>
      <c r="C624" t="s">
        <v>20</v>
      </c>
      <c r="D624">
        <v>0</v>
      </c>
      <c r="E624">
        <v>0</v>
      </c>
      <c r="F624">
        <v>0</v>
      </c>
      <c r="G624">
        <v>1</v>
      </c>
      <c r="H624" t="s">
        <v>60</v>
      </c>
      <c r="I624">
        <v>1</v>
      </c>
    </row>
    <row r="625" spans="1:9" x14ac:dyDescent="0.3">
      <c r="A625">
        <v>142</v>
      </c>
      <c r="B625" t="s">
        <v>33</v>
      </c>
      <c r="C625" t="s">
        <v>21</v>
      </c>
      <c r="D625">
        <v>2</v>
      </c>
      <c r="E625">
        <v>6</v>
      </c>
      <c r="F625">
        <v>0</v>
      </c>
      <c r="G625">
        <v>9</v>
      </c>
      <c r="H625" t="s">
        <v>74</v>
      </c>
      <c r="I625">
        <v>17</v>
      </c>
    </row>
    <row r="626" spans="1:9" x14ac:dyDescent="0.3">
      <c r="A626">
        <v>142</v>
      </c>
      <c r="B626" t="s">
        <v>33</v>
      </c>
      <c r="C626" t="s">
        <v>23</v>
      </c>
      <c r="D626">
        <v>6</v>
      </c>
      <c r="E626">
        <v>2</v>
      </c>
      <c r="F626">
        <v>0</v>
      </c>
      <c r="G626">
        <v>8</v>
      </c>
      <c r="H626" t="s">
        <v>73</v>
      </c>
      <c r="I626">
        <v>16</v>
      </c>
    </row>
    <row r="627" spans="1:9" x14ac:dyDescent="0.3">
      <c r="A627">
        <v>142</v>
      </c>
      <c r="B627" t="s">
        <v>33</v>
      </c>
      <c r="C627" t="s">
        <v>28</v>
      </c>
      <c r="D627">
        <v>6</v>
      </c>
      <c r="E627">
        <v>0</v>
      </c>
      <c r="F627">
        <v>0</v>
      </c>
      <c r="G627">
        <v>6</v>
      </c>
      <c r="H627" t="s">
        <v>28</v>
      </c>
      <c r="I627">
        <v>12</v>
      </c>
    </row>
    <row r="628" spans="1:9" x14ac:dyDescent="0.3">
      <c r="A628">
        <v>143</v>
      </c>
      <c r="B628" t="s">
        <v>7</v>
      </c>
      <c r="C628" t="s">
        <v>14</v>
      </c>
      <c r="D628">
        <v>4</v>
      </c>
      <c r="E628">
        <v>6</v>
      </c>
      <c r="F628">
        <v>0</v>
      </c>
      <c r="G628">
        <v>7</v>
      </c>
      <c r="H628" t="s">
        <v>62</v>
      </c>
      <c r="I628">
        <v>17</v>
      </c>
    </row>
    <row r="629" spans="1:9" x14ac:dyDescent="0.3">
      <c r="A629">
        <v>143</v>
      </c>
      <c r="B629" t="s">
        <v>7</v>
      </c>
      <c r="C629" t="s">
        <v>18</v>
      </c>
      <c r="D629">
        <v>5</v>
      </c>
      <c r="E629">
        <v>0</v>
      </c>
      <c r="F629">
        <v>0</v>
      </c>
      <c r="G629">
        <v>4</v>
      </c>
      <c r="H629" t="s">
        <v>72</v>
      </c>
      <c r="I629">
        <v>9</v>
      </c>
    </row>
    <row r="630" spans="1:9" x14ac:dyDescent="0.3">
      <c r="A630">
        <v>143</v>
      </c>
      <c r="B630" t="s">
        <v>7</v>
      </c>
      <c r="C630" t="s">
        <v>19</v>
      </c>
      <c r="D630">
        <v>11</v>
      </c>
      <c r="E630">
        <v>115</v>
      </c>
      <c r="F630">
        <v>0</v>
      </c>
      <c r="G630">
        <v>61</v>
      </c>
      <c r="H630" t="s">
        <v>70</v>
      </c>
      <c r="I630">
        <v>187</v>
      </c>
    </row>
    <row r="631" spans="1:9" x14ac:dyDescent="0.3">
      <c r="A631">
        <v>143</v>
      </c>
      <c r="B631" t="s">
        <v>33</v>
      </c>
      <c r="C631" t="s">
        <v>8</v>
      </c>
      <c r="D631">
        <v>0</v>
      </c>
      <c r="E631">
        <v>0</v>
      </c>
      <c r="F631">
        <v>4</v>
      </c>
      <c r="G631">
        <v>0</v>
      </c>
      <c r="H631" t="s">
        <v>8</v>
      </c>
      <c r="I631">
        <v>4</v>
      </c>
    </row>
    <row r="632" spans="1:9" x14ac:dyDescent="0.3">
      <c r="A632">
        <v>143</v>
      </c>
      <c r="B632" t="s">
        <v>33</v>
      </c>
      <c r="C632" t="s">
        <v>9</v>
      </c>
      <c r="D632">
        <v>0</v>
      </c>
      <c r="E632">
        <v>0</v>
      </c>
      <c r="F632">
        <v>78</v>
      </c>
      <c r="G632">
        <v>0</v>
      </c>
      <c r="H632" t="s">
        <v>9</v>
      </c>
      <c r="I632">
        <v>78</v>
      </c>
    </row>
    <row r="633" spans="1:9" x14ac:dyDescent="0.3">
      <c r="A633">
        <v>143</v>
      </c>
      <c r="B633" t="s">
        <v>33</v>
      </c>
      <c r="C633" t="s">
        <v>10</v>
      </c>
      <c r="D633">
        <v>12</v>
      </c>
      <c r="E633">
        <v>0</v>
      </c>
      <c r="F633">
        <v>0</v>
      </c>
      <c r="G633">
        <v>10</v>
      </c>
      <c r="H633" t="s">
        <v>68</v>
      </c>
      <c r="I633">
        <v>22</v>
      </c>
    </row>
    <row r="634" spans="1:9" x14ac:dyDescent="0.3">
      <c r="A634">
        <v>143</v>
      </c>
      <c r="B634" t="s">
        <v>33</v>
      </c>
      <c r="C634" t="s">
        <v>11</v>
      </c>
      <c r="D634">
        <v>8</v>
      </c>
      <c r="E634">
        <v>0</v>
      </c>
      <c r="F634">
        <v>0</v>
      </c>
      <c r="G634">
        <v>5</v>
      </c>
      <c r="H634" t="s">
        <v>63</v>
      </c>
      <c r="I634">
        <v>13</v>
      </c>
    </row>
    <row r="635" spans="1:9" x14ac:dyDescent="0.3">
      <c r="A635">
        <v>143</v>
      </c>
      <c r="B635" t="s">
        <v>33</v>
      </c>
      <c r="C635" t="s">
        <v>12</v>
      </c>
      <c r="D635">
        <v>8</v>
      </c>
      <c r="E635">
        <v>2</v>
      </c>
      <c r="F635">
        <v>0</v>
      </c>
      <c r="G635">
        <v>3</v>
      </c>
      <c r="H635" t="s">
        <v>64</v>
      </c>
      <c r="I635">
        <v>13</v>
      </c>
    </row>
    <row r="636" spans="1:9" x14ac:dyDescent="0.3">
      <c r="A636">
        <v>143</v>
      </c>
      <c r="B636" t="s">
        <v>33</v>
      </c>
      <c r="C636" t="s">
        <v>14</v>
      </c>
      <c r="D636">
        <v>8</v>
      </c>
      <c r="E636">
        <v>0</v>
      </c>
      <c r="F636">
        <v>0</v>
      </c>
      <c r="G636">
        <v>7</v>
      </c>
      <c r="H636" t="s">
        <v>62</v>
      </c>
      <c r="I636">
        <v>15</v>
      </c>
    </row>
    <row r="637" spans="1:9" x14ac:dyDescent="0.3">
      <c r="A637">
        <v>143</v>
      </c>
      <c r="B637" t="s">
        <v>33</v>
      </c>
      <c r="C637" t="s">
        <v>15</v>
      </c>
      <c r="D637">
        <v>10</v>
      </c>
      <c r="E637">
        <v>0</v>
      </c>
      <c r="F637">
        <v>0</v>
      </c>
      <c r="G637">
        <v>12</v>
      </c>
      <c r="H637" t="s">
        <v>65</v>
      </c>
      <c r="I637">
        <v>22</v>
      </c>
    </row>
    <row r="638" spans="1:9" x14ac:dyDescent="0.3">
      <c r="A638">
        <v>143</v>
      </c>
      <c r="B638" t="s">
        <v>33</v>
      </c>
      <c r="C638" t="s">
        <v>16</v>
      </c>
      <c r="D638">
        <v>4</v>
      </c>
      <c r="E638">
        <v>0</v>
      </c>
      <c r="F638">
        <v>0</v>
      </c>
      <c r="G638">
        <v>3</v>
      </c>
      <c r="H638" t="s">
        <v>61</v>
      </c>
      <c r="I638">
        <v>7</v>
      </c>
    </row>
    <row r="639" spans="1:9" x14ac:dyDescent="0.3">
      <c r="A639">
        <v>143</v>
      </c>
      <c r="B639" t="s">
        <v>33</v>
      </c>
      <c r="C639" t="s">
        <v>19</v>
      </c>
      <c r="D639">
        <v>27</v>
      </c>
      <c r="E639">
        <v>12</v>
      </c>
      <c r="F639">
        <v>0</v>
      </c>
      <c r="G639">
        <v>20</v>
      </c>
      <c r="H639" t="s">
        <v>70</v>
      </c>
      <c r="I639">
        <v>59</v>
      </c>
    </row>
    <row r="640" spans="1:9" x14ac:dyDescent="0.3">
      <c r="A640">
        <v>144</v>
      </c>
      <c r="B640" t="s">
        <v>7</v>
      </c>
      <c r="C640" t="s">
        <v>11</v>
      </c>
      <c r="D640">
        <v>4</v>
      </c>
      <c r="E640">
        <v>0</v>
      </c>
      <c r="F640">
        <v>0</v>
      </c>
      <c r="G640">
        <v>5</v>
      </c>
      <c r="H640" t="s">
        <v>63</v>
      </c>
      <c r="I640">
        <v>9</v>
      </c>
    </row>
    <row r="641" spans="1:9" x14ac:dyDescent="0.3">
      <c r="A641">
        <v>144</v>
      </c>
      <c r="B641" t="s">
        <v>7</v>
      </c>
      <c r="C641" t="s">
        <v>12</v>
      </c>
      <c r="D641">
        <v>24</v>
      </c>
      <c r="E641">
        <v>27</v>
      </c>
      <c r="F641">
        <v>0</v>
      </c>
      <c r="G641">
        <v>49</v>
      </c>
      <c r="H641" t="s">
        <v>64</v>
      </c>
      <c r="I641">
        <v>100</v>
      </c>
    </row>
    <row r="642" spans="1:9" x14ac:dyDescent="0.3">
      <c r="A642">
        <v>144</v>
      </c>
      <c r="B642" t="s">
        <v>7</v>
      </c>
      <c r="C642" t="s">
        <v>14</v>
      </c>
      <c r="D642">
        <v>1</v>
      </c>
      <c r="E642">
        <v>1</v>
      </c>
      <c r="F642">
        <v>0</v>
      </c>
      <c r="G642">
        <v>4</v>
      </c>
      <c r="H642" t="s">
        <v>62</v>
      </c>
      <c r="I642">
        <v>6</v>
      </c>
    </row>
    <row r="643" spans="1:9" x14ac:dyDescent="0.3">
      <c r="A643">
        <v>144</v>
      </c>
      <c r="B643" t="s">
        <v>7</v>
      </c>
      <c r="C643" t="s">
        <v>15</v>
      </c>
      <c r="D643">
        <v>2</v>
      </c>
      <c r="E643">
        <v>1</v>
      </c>
      <c r="F643">
        <v>0</v>
      </c>
      <c r="G643">
        <v>4</v>
      </c>
      <c r="H643" t="s">
        <v>65</v>
      </c>
      <c r="I643">
        <v>7</v>
      </c>
    </row>
    <row r="644" spans="1:9" x14ac:dyDescent="0.3">
      <c r="A644">
        <v>144</v>
      </c>
      <c r="B644" t="s">
        <v>7</v>
      </c>
      <c r="C644" t="s">
        <v>16</v>
      </c>
      <c r="D644">
        <v>8</v>
      </c>
      <c r="E644">
        <v>1</v>
      </c>
      <c r="F644">
        <v>0</v>
      </c>
      <c r="G644">
        <v>5</v>
      </c>
      <c r="H644" t="s">
        <v>61</v>
      </c>
      <c r="I644">
        <v>14</v>
      </c>
    </row>
    <row r="645" spans="1:9" x14ac:dyDescent="0.3">
      <c r="A645">
        <v>144</v>
      </c>
      <c r="B645" t="s">
        <v>7</v>
      </c>
      <c r="C645" t="s">
        <v>18</v>
      </c>
      <c r="D645">
        <v>3</v>
      </c>
      <c r="E645">
        <v>0</v>
      </c>
      <c r="F645">
        <v>0</v>
      </c>
      <c r="G645">
        <v>4</v>
      </c>
      <c r="H645" t="s">
        <v>72</v>
      </c>
      <c r="I645">
        <v>7</v>
      </c>
    </row>
    <row r="646" spans="1:9" x14ac:dyDescent="0.3">
      <c r="A646">
        <v>144</v>
      </c>
      <c r="B646" t="s">
        <v>7</v>
      </c>
      <c r="C646" t="s">
        <v>19</v>
      </c>
      <c r="D646">
        <v>8</v>
      </c>
      <c r="E646">
        <v>2</v>
      </c>
      <c r="F646">
        <v>0</v>
      </c>
      <c r="G646">
        <v>8</v>
      </c>
      <c r="H646" t="s">
        <v>70</v>
      </c>
      <c r="I646">
        <v>18</v>
      </c>
    </row>
    <row r="647" spans="1:9" x14ac:dyDescent="0.3">
      <c r="A647">
        <v>144</v>
      </c>
      <c r="B647" t="s">
        <v>33</v>
      </c>
      <c r="C647" t="s">
        <v>8</v>
      </c>
      <c r="D647">
        <v>0</v>
      </c>
      <c r="E647">
        <v>0</v>
      </c>
      <c r="F647">
        <v>5</v>
      </c>
      <c r="G647">
        <v>0</v>
      </c>
      <c r="H647" t="s">
        <v>8</v>
      </c>
      <c r="I647">
        <v>5</v>
      </c>
    </row>
    <row r="648" spans="1:9" x14ac:dyDescent="0.3">
      <c r="A648">
        <v>144</v>
      </c>
      <c r="B648" t="s">
        <v>33</v>
      </c>
      <c r="C648" t="s">
        <v>9</v>
      </c>
      <c r="D648">
        <v>0</v>
      </c>
      <c r="E648">
        <v>0</v>
      </c>
      <c r="F648">
        <v>122</v>
      </c>
      <c r="G648">
        <v>0</v>
      </c>
      <c r="H648" t="s">
        <v>9</v>
      </c>
      <c r="I648">
        <v>122</v>
      </c>
    </row>
    <row r="649" spans="1:9" x14ac:dyDescent="0.3">
      <c r="A649">
        <v>144</v>
      </c>
      <c r="B649" t="s">
        <v>33</v>
      </c>
      <c r="C649" t="s">
        <v>10</v>
      </c>
      <c r="D649">
        <v>3</v>
      </c>
      <c r="E649">
        <v>0</v>
      </c>
      <c r="F649">
        <v>0</v>
      </c>
      <c r="G649">
        <v>1</v>
      </c>
      <c r="H649" t="s">
        <v>68</v>
      </c>
      <c r="I649">
        <v>4</v>
      </c>
    </row>
    <row r="650" spans="1:9" x14ac:dyDescent="0.3">
      <c r="A650">
        <v>144</v>
      </c>
      <c r="B650" t="s">
        <v>33</v>
      </c>
      <c r="C650" t="s">
        <v>12</v>
      </c>
      <c r="D650">
        <v>20</v>
      </c>
      <c r="E650">
        <v>13</v>
      </c>
      <c r="F650">
        <v>0</v>
      </c>
      <c r="G650">
        <v>39</v>
      </c>
      <c r="H650" t="s">
        <v>64</v>
      </c>
      <c r="I650">
        <v>72</v>
      </c>
    </row>
    <row r="651" spans="1:9" x14ac:dyDescent="0.3">
      <c r="A651">
        <v>144</v>
      </c>
      <c r="B651" t="s">
        <v>33</v>
      </c>
      <c r="C651" t="s">
        <v>29</v>
      </c>
      <c r="D651">
        <v>0</v>
      </c>
      <c r="E651">
        <v>0</v>
      </c>
      <c r="F651">
        <v>0</v>
      </c>
      <c r="G651">
        <v>6</v>
      </c>
      <c r="H651" t="s">
        <v>67</v>
      </c>
      <c r="I651">
        <v>6</v>
      </c>
    </row>
    <row r="652" spans="1:9" x14ac:dyDescent="0.3">
      <c r="A652">
        <v>145</v>
      </c>
      <c r="B652" t="s">
        <v>7</v>
      </c>
      <c r="C652" t="s">
        <v>11</v>
      </c>
      <c r="D652">
        <v>13</v>
      </c>
      <c r="E652">
        <v>0</v>
      </c>
      <c r="F652">
        <v>0</v>
      </c>
      <c r="G652">
        <v>18</v>
      </c>
      <c r="H652" t="s">
        <v>63</v>
      </c>
      <c r="I652">
        <v>31</v>
      </c>
    </row>
    <row r="653" spans="1:9" x14ac:dyDescent="0.3">
      <c r="A653">
        <v>145</v>
      </c>
      <c r="B653" t="s">
        <v>7</v>
      </c>
      <c r="C653" t="s">
        <v>14</v>
      </c>
      <c r="D653">
        <v>15</v>
      </c>
      <c r="E653">
        <v>27</v>
      </c>
      <c r="F653">
        <v>0</v>
      </c>
      <c r="G653">
        <v>34</v>
      </c>
      <c r="H653" t="s">
        <v>62</v>
      </c>
      <c r="I653">
        <v>76</v>
      </c>
    </row>
    <row r="654" spans="1:9" x14ac:dyDescent="0.3">
      <c r="A654">
        <v>145</v>
      </c>
      <c r="B654" t="s">
        <v>7</v>
      </c>
      <c r="C654" t="s">
        <v>15</v>
      </c>
      <c r="D654">
        <v>10</v>
      </c>
      <c r="E654">
        <v>0</v>
      </c>
      <c r="F654">
        <v>0</v>
      </c>
      <c r="G654">
        <v>24</v>
      </c>
      <c r="H654" t="s">
        <v>65</v>
      </c>
      <c r="I654">
        <v>34</v>
      </c>
    </row>
    <row r="655" spans="1:9" x14ac:dyDescent="0.3">
      <c r="A655">
        <v>145</v>
      </c>
      <c r="B655" t="s">
        <v>7</v>
      </c>
      <c r="C655" t="s">
        <v>16</v>
      </c>
      <c r="D655">
        <v>5</v>
      </c>
      <c r="E655">
        <v>0</v>
      </c>
      <c r="F655">
        <v>0</v>
      </c>
      <c r="G655">
        <v>17</v>
      </c>
      <c r="H655" t="s">
        <v>61</v>
      </c>
      <c r="I655">
        <v>22</v>
      </c>
    </row>
    <row r="656" spans="1:9" x14ac:dyDescent="0.3">
      <c r="A656">
        <v>145</v>
      </c>
      <c r="B656" t="s">
        <v>7</v>
      </c>
      <c r="C656" t="s">
        <v>18</v>
      </c>
      <c r="D656">
        <v>8</v>
      </c>
      <c r="E656">
        <v>1</v>
      </c>
      <c r="F656">
        <v>0</v>
      </c>
      <c r="G656">
        <v>22</v>
      </c>
      <c r="H656" t="s">
        <v>72</v>
      </c>
      <c r="I656">
        <v>31</v>
      </c>
    </row>
    <row r="657" spans="1:9" x14ac:dyDescent="0.3">
      <c r="A657">
        <v>145</v>
      </c>
      <c r="B657" t="s">
        <v>7</v>
      </c>
      <c r="C657" t="s">
        <v>29</v>
      </c>
      <c r="D657">
        <v>5</v>
      </c>
      <c r="E657">
        <v>0</v>
      </c>
      <c r="F657">
        <v>0</v>
      </c>
      <c r="G657">
        <v>5</v>
      </c>
      <c r="H657" t="s">
        <v>67</v>
      </c>
      <c r="I657">
        <v>10</v>
      </c>
    </row>
    <row r="658" spans="1:9" x14ac:dyDescent="0.3">
      <c r="A658">
        <v>145</v>
      </c>
      <c r="B658" t="s">
        <v>33</v>
      </c>
      <c r="C658" t="s">
        <v>8</v>
      </c>
      <c r="D658">
        <v>0</v>
      </c>
      <c r="E658">
        <v>0</v>
      </c>
      <c r="F658">
        <v>8</v>
      </c>
      <c r="G658">
        <v>0</v>
      </c>
      <c r="H658" t="s">
        <v>8</v>
      </c>
      <c r="I658">
        <v>8</v>
      </c>
    </row>
    <row r="659" spans="1:9" x14ac:dyDescent="0.3">
      <c r="A659">
        <v>145</v>
      </c>
      <c r="B659" t="s">
        <v>33</v>
      </c>
      <c r="C659" t="s">
        <v>9</v>
      </c>
      <c r="D659">
        <v>0</v>
      </c>
      <c r="E659">
        <v>0</v>
      </c>
      <c r="F659">
        <v>97</v>
      </c>
      <c r="G659">
        <v>0</v>
      </c>
      <c r="H659" t="s">
        <v>9</v>
      </c>
      <c r="I659">
        <v>97</v>
      </c>
    </row>
    <row r="660" spans="1:9" x14ac:dyDescent="0.3">
      <c r="A660">
        <v>145</v>
      </c>
      <c r="B660" t="s">
        <v>33</v>
      </c>
      <c r="C660" t="s">
        <v>10</v>
      </c>
      <c r="D660">
        <v>19</v>
      </c>
      <c r="E660">
        <v>3</v>
      </c>
      <c r="F660">
        <v>0</v>
      </c>
      <c r="G660">
        <v>15</v>
      </c>
      <c r="H660" t="s">
        <v>68</v>
      </c>
      <c r="I660">
        <v>37</v>
      </c>
    </row>
    <row r="661" spans="1:9" x14ac:dyDescent="0.3">
      <c r="A661">
        <v>145</v>
      </c>
      <c r="B661" t="s">
        <v>33</v>
      </c>
      <c r="C661" t="s">
        <v>11</v>
      </c>
      <c r="D661">
        <v>5</v>
      </c>
      <c r="E661">
        <v>0</v>
      </c>
      <c r="F661">
        <v>0</v>
      </c>
      <c r="G661">
        <v>5</v>
      </c>
      <c r="H661" t="s">
        <v>63</v>
      </c>
      <c r="I661">
        <v>10</v>
      </c>
    </row>
    <row r="662" spans="1:9" x14ac:dyDescent="0.3">
      <c r="A662">
        <v>145</v>
      </c>
      <c r="B662" t="s">
        <v>33</v>
      </c>
      <c r="C662" t="s">
        <v>12</v>
      </c>
      <c r="D662">
        <v>7</v>
      </c>
      <c r="E662">
        <v>7</v>
      </c>
      <c r="F662">
        <v>0</v>
      </c>
      <c r="G662">
        <v>9</v>
      </c>
      <c r="H662" t="s">
        <v>64</v>
      </c>
      <c r="I662">
        <v>23</v>
      </c>
    </row>
    <row r="663" spans="1:9" x14ac:dyDescent="0.3">
      <c r="A663">
        <v>145</v>
      </c>
      <c r="B663" t="s">
        <v>33</v>
      </c>
      <c r="C663" t="s">
        <v>14</v>
      </c>
      <c r="D663">
        <v>10</v>
      </c>
      <c r="E663">
        <v>9</v>
      </c>
      <c r="F663">
        <v>0</v>
      </c>
      <c r="G663">
        <v>18</v>
      </c>
      <c r="H663" t="s">
        <v>62</v>
      </c>
      <c r="I663">
        <v>37</v>
      </c>
    </row>
    <row r="664" spans="1:9" x14ac:dyDescent="0.3">
      <c r="A664">
        <v>145</v>
      </c>
      <c r="B664" t="s">
        <v>33</v>
      </c>
      <c r="C664" t="s">
        <v>15</v>
      </c>
      <c r="D664">
        <v>0</v>
      </c>
      <c r="E664">
        <v>0</v>
      </c>
      <c r="F664">
        <v>0</v>
      </c>
      <c r="G664">
        <v>2</v>
      </c>
      <c r="H664" t="s">
        <v>65</v>
      </c>
      <c r="I664">
        <v>2</v>
      </c>
    </row>
    <row r="665" spans="1:9" x14ac:dyDescent="0.3">
      <c r="A665">
        <v>145</v>
      </c>
      <c r="B665" t="s">
        <v>33</v>
      </c>
      <c r="C665" t="s">
        <v>16</v>
      </c>
      <c r="D665">
        <v>2</v>
      </c>
      <c r="E665">
        <v>0</v>
      </c>
      <c r="F665">
        <v>0</v>
      </c>
      <c r="G665">
        <v>2</v>
      </c>
      <c r="H665" t="s">
        <v>61</v>
      </c>
      <c r="I665">
        <v>4</v>
      </c>
    </row>
    <row r="666" spans="1:9" x14ac:dyDescent="0.3">
      <c r="A666">
        <v>145</v>
      </c>
      <c r="B666" t="s">
        <v>33</v>
      </c>
      <c r="C666" t="s">
        <v>17</v>
      </c>
      <c r="D666">
        <v>2</v>
      </c>
      <c r="E666">
        <v>1</v>
      </c>
      <c r="F666">
        <v>0</v>
      </c>
      <c r="G666">
        <v>8</v>
      </c>
      <c r="H666" t="s">
        <v>66</v>
      </c>
      <c r="I666">
        <v>11</v>
      </c>
    </row>
    <row r="667" spans="1:9" x14ac:dyDescent="0.3">
      <c r="A667">
        <v>145</v>
      </c>
      <c r="B667" t="s">
        <v>33</v>
      </c>
      <c r="C667" t="s">
        <v>19</v>
      </c>
      <c r="D667">
        <v>2</v>
      </c>
      <c r="E667">
        <v>0</v>
      </c>
      <c r="F667">
        <v>0</v>
      </c>
      <c r="G667">
        <v>1</v>
      </c>
      <c r="H667" t="s">
        <v>70</v>
      </c>
      <c r="I667">
        <v>3</v>
      </c>
    </row>
    <row r="668" spans="1:9" x14ac:dyDescent="0.3">
      <c r="A668">
        <v>145</v>
      </c>
      <c r="B668" t="s">
        <v>33</v>
      </c>
      <c r="C668" t="s">
        <v>28</v>
      </c>
      <c r="D668">
        <v>0</v>
      </c>
      <c r="E668">
        <v>0</v>
      </c>
      <c r="F668">
        <v>0</v>
      </c>
      <c r="G668">
        <v>1</v>
      </c>
      <c r="H668" t="s">
        <v>28</v>
      </c>
      <c r="I668">
        <v>1</v>
      </c>
    </row>
    <row r="669" spans="1:9" x14ac:dyDescent="0.3">
      <c r="A669">
        <v>145</v>
      </c>
      <c r="B669" t="s">
        <v>33</v>
      </c>
      <c r="C669" t="s">
        <v>29</v>
      </c>
      <c r="D669">
        <v>7</v>
      </c>
      <c r="E669">
        <v>0</v>
      </c>
      <c r="F669">
        <v>0</v>
      </c>
      <c r="G669">
        <v>7</v>
      </c>
      <c r="H669" t="s">
        <v>67</v>
      </c>
      <c r="I669">
        <v>14</v>
      </c>
    </row>
    <row r="670" spans="1:9" x14ac:dyDescent="0.3">
      <c r="A670">
        <v>146</v>
      </c>
      <c r="B670" t="s">
        <v>7</v>
      </c>
      <c r="C670" t="s">
        <v>11</v>
      </c>
      <c r="D670">
        <v>1</v>
      </c>
      <c r="E670">
        <v>6</v>
      </c>
      <c r="F670">
        <v>0</v>
      </c>
      <c r="G670">
        <v>4</v>
      </c>
      <c r="H670" t="s">
        <v>63</v>
      </c>
      <c r="I670">
        <v>11</v>
      </c>
    </row>
    <row r="671" spans="1:9" x14ac:dyDescent="0.3">
      <c r="A671">
        <v>146</v>
      </c>
      <c r="B671" t="s">
        <v>7</v>
      </c>
      <c r="C671" t="s">
        <v>15</v>
      </c>
      <c r="D671">
        <v>0</v>
      </c>
      <c r="E671">
        <v>5</v>
      </c>
      <c r="F671">
        <v>2</v>
      </c>
      <c r="G671">
        <v>3</v>
      </c>
      <c r="H671" t="s">
        <v>65</v>
      </c>
      <c r="I671">
        <v>10</v>
      </c>
    </row>
    <row r="672" spans="1:9" x14ac:dyDescent="0.3">
      <c r="A672">
        <v>146</v>
      </c>
      <c r="B672" t="s">
        <v>7</v>
      </c>
      <c r="C672" t="s">
        <v>16</v>
      </c>
      <c r="D672">
        <v>0</v>
      </c>
      <c r="E672">
        <v>4</v>
      </c>
      <c r="F672">
        <v>0</v>
      </c>
      <c r="G672">
        <v>4</v>
      </c>
      <c r="H672" t="s">
        <v>61</v>
      </c>
      <c r="I672">
        <v>8</v>
      </c>
    </row>
    <row r="673" spans="1:9" x14ac:dyDescent="0.3">
      <c r="A673">
        <v>146</v>
      </c>
      <c r="B673" t="s">
        <v>7</v>
      </c>
      <c r="C673" t="s">
        <v>18</v>
      </c>
      <c r="D673">
        <v>1</v>
      </c>
      <c r="E673">
        <v>9</v>
      </c>
      <c r="F673">
        <v>0</v>
      </c>
      <c r="G673">
        <v>4</v>
      </c>
      <c r="H673" t="s">
        <v>72</v>
      </c>
      <c r="I673">
        <v>14</v>
      </c>
    </row>
    <row r="674" spans="1:9" x14ac:dyDescent="0.3">
      <c r="A674">
        <v>146</v>
      </c>
      <c r="B674" t="s">
        <v>7</v>
      </c>
      <c r="C674" t="s">
        <v>29</v>
      </c>
      <c r="D674">
        <v>18</v>
      </c>
      <c r="E674">
        <v>23</v>
      </c>
      <c r="F674">
        <v>0</v>
      </c>
      <c r="G674">
        <v>25</v>
      </c>
      <c r="H674" t="s">
        <v>67</v>
      </c>
      <c r="I674">
        <v>66</v>
      </c>
    </row>
    <row r="675" spans="1:9" x14ac:dyDescent="0.3">
      <c r="A675">
        <v>146</v>
      </c>
      <c r="B675" t="s">
        <v>33</v>
      </c>
      <c r="C675" t="s">
        <v>8</v>
      </c>
      <c r="D675">
        <v>0</v>
      </c>
      <c r="E675">
        <v>0</v>
      </c>
      <c r="F675">
        <v>3</v>
      </c>
      <c r="G675">
        <v>0</v>
      </c>
      <c r="H675" t="s">
        <v>8</v>
      </c>
      <c r="I675">
        <v>3</v>
      </c>
    </row>
    <row r="676" spans="1:9" x14ac:dyDescent="0.3">
      <c r="A676">
        <v>146</v>
      </c>
      <c r="B676" t="s">
        <v>33</v>
      </c>
      <c r="C676" t="s">
        <v>9</v>
      </c>
      <c r="D676">
        <v>0</v>
      </c>
      <c r="E676">
        <v>0</v>
      </c>
      <c r="F676">
        <v>67</v>
      </c>
      <c r="G676">
        <v>0</v>
      </c>
      <c r="H676" t="s">
        <v>9</v>
      </c>
      <c r="I676">
        <v>67</v>
      </c>
    </row>
    <row r="677" spans="1:9" x14ac:dyDescent="0.3">
      <c r="A677">
        <v>146</v>
      </c>
      <c r="B677" t="s">
        <v>33</v>
      </c>
      <c r="C677" t="s">
        <v>12</v>
      </c>
      <c r="D677">
        <v>6</v>
      </c>
      <c r="E677">
        <v>2</v>
      </c>
      <c r="F677">
        <v>0</v>
      </c>
      <c r="G677">
        <v>5</v>
      </c>
      <c r="H677" t="s">
        <v>64</v>
      </c>
      <c r="I677">
        <v>13</v>
      </c>
    </row>
    <row r="678" spans="1:9" x14ac:dyDescent="0.3">
      <c r="A678">
        <v>146</v>
      </c>
      <c r="B678" t="s">
        <v>33</v>
      </c>
      <c r="C678" t="s">
        <v>14</v>
      </c>
      <c r="D678">
        <v>0</v>
      </c>
      <c r="E678">
        <v>0</v>
      </c>
      <c r="F678">
        <v>0</v>
      </c>
      <c r="G678">
        <v>6</v>
      </c>
      <c r="H678" t="s">
        <v>62</v>
      </c>
      <c r="I678">
        <v>6</v>
      </c>
    </row>
    <row r="679" spans="1:9" x14ac:dyDescent="0.3">
      <c r="A679">
        <v>146</v>
      </c>
      <c r="B679" t="s">
        <v>33</v>
      </c>
      <c r="C679" t="s">
        <v>17</v>
      </c>
      <c r="D679">
        <v>18</v>
      </c>
      <c r="E679">
        <v>12</v>
      </c>
      <c r="F679">
        <v>1</v>
      </c>
      <c r="G679">
        <v>24</v>
      </c>
      <c r="H679" t="s">
        <v>66</v>
      </c>
      <c r="I679">
        <v>55</v>
      </c>
    </row>
    <row r="680" spans="1:9" x14ac:dyDescent="0.3">
      <c r="A680">
        <v>146</v>
      </c>
      <c r="B680" t="s">
        <v>33</v>
      </c>
      <c r="C680" t="s">
        <v>28</v>
      </c>
      <c r="D680">
        <v>0</v>
      </c>
      <c r="E680">
        <v>0</v>
      </c>
      <c r="F680">
        <v>0</v>
      </c>
      <c r="G680">
        <v>3</v>
      </c>
      <c r="H680" t="s">
        <v>28</v>
      </c>
      <c r="I680">
        <v>3</v>
      </c>
    </row>
    <row r="681" spans="1:9" x14ac:dyDescent="0.3">
      <c r="A681">
        <v>147</v>
      </c>
      <c r="B681" t="s">
        <v>7</v>
      </c>
      <c r="C681" t="s">
        <v>11</v>
      </c>
      <c r="D681">
        <v>20</v>
      </c>
      <c r="E681">
        <v>22</v>
      </c>
      <c r="F681">
        <v>0</v>
      </c>
      <c r="G681">
        <v>33</v>
      </c>
      <c r="H681" t="s">
        <v>63</v>
      </c>
      <c r="I681">
        <v>75</v>
      </c>
    </row>
    <row r="682" spans="1:9" x14ac:dyDescent="0.3">
      <c r="A682">
        <v>147</v>
      </c>
      <c r="B682" t="s">
        <v>7</v>
      </c>
      <c r="C682" t="s">
        <v>14</v>
      </c>
      <c r="D682">
        <v>0</v>
      </c>
      <c r="E682">
        <v>0</v>
      </c>
      <c r="F682">
        <v>0</v>
      </c>
      <c r="G682">
        <v>2</v>
      </c>
      <c r="H682" t="s">
        <v>62</v>
      </c>
      <c r="I682">
        <v>2</v>
      </c>
    </row>
    <row r="683" spans="1:9" x14ac:dyDescent="0.3">
      <c r="A683">
        <v>147</v>
      </c>
      <c r="B683" t="s">
        <v>7</v>
      </c>
      <c r="C683" t="s">
        <v>15</v>
      </c>
      <c r="D683">
        <v>12</v>
      </c>
      <c r="E683">
        <v>21</v>
      </c>
      <c r="F683">
        <v>0</v>
      </c>
      <c r="G683">
        <v>21</v>
      </c>
      <c r="H683" t="s">
        <v>65</v>
      </c>
      <c r="I683">
        <v>54</v>
      </c>
    </row>
    <row r="684" spans="1:9" x14ac:dyDescent="0.3">
      <c r="A684">
        <v>147</v>
      </c>
      <c r="B684" t="s">
        <v>7</v>
      </c>
      <c r="C684" t="s">
        <v>16</v>
      </c>
      <c r="D684">
        <v>7</v>
      </c>
      <c r="E684">
        <v>28</v>
      </c>
      <c r="F684">
        <v>0</v>
      </c>
      <c r="G684">
        <v>36</v>
      </c>
      <c r="H684" t="s">
        <v>61</v>
      </c>
      <c r="I684">
        <v>71</v>
      </c>
    </row>
    <row r="685" spans="1:9" x14ac:dyDescent="0.3">
      <c r="A685">
        <v>147</v>
      </c>
      <c r="B685" t="s">
        <v>7</v>
      </c>
      <c r="C685" t="s">
        <v>17</v>
      </c>
      <c r="D685">
        <v>0</v>
      </c>
      <c r="E685">
        <v>0</v>
      </c>
      <c r="F685">
        <v>0</v>
      </c>
      <c r="G685">
        <v>1</v>
      </c>
      <c r="H685" t="s">
        <v>66</v>
      </c>
      <c r="I685">
        <v>1</v>
      </c>
    </row>
    <row r="686" spans="1:9" x14ac:dyDescent="0.3">
      <c r="A686">
        <v>147</v>
      </c>
      <c r="B686" t="s">
        <v>7</v>
      </c>
      <c r="C686" t="s">
        <v>18</v>
      </c>
      <c r="D686">
        <v>8</v>
      </c>
      <c r="E686">
        <v>17</v>
      </c>
      <c r="F686">
        <v>0</v>
      </c>
      <c r="G686">
        <v>16</v>
      </c>
      <c r="H686" t="s">
        <v>72</v>
      </c>
      <c r="I686">
        <v>41</v>
      </c>
    </row>
    <row r="687" spans="1:9" x14ac:dyDescent="0.3">
      <c r="A687">
        <v>147</v>
      </c>
      <c r="B687" t="s">
        <v>7</v>
      </c>
      <c r="C687" t="s">
        <v>29</v>
      </c>
      <c r="D687">
        <v>0</v>
      </c>
      <c r="E687">
        <v>0</v>
      </c>
      <c r="F687">
        <v>0</v>
      </c>
      <c r="G687">
        <v>1</v>
      </c>
      <c r="H687" t="s">
        <v>67</v>
      </c>
      <c r="I687">
        <v>1</v>
      </c>
    </row>
    <row r="688" spans="1:9" x14ac:dyDescent="0.3">
      <c r="A688">
        <v>147</v>
      </c>
      <c r="B688" t="s">
        <v>33</v>
      </c>
      <c r="C688" t="s">
        <v>8</v>
      </c>
      <c r="D688">
        <v>0</v>
      </c>
      <c r="E688">
        <v>0</v>
      </c>
      <c r="F688">
        <v>2</v>
      </c>
      <c r="G688">
        <v>0</v>
      </c>
      <c r="H688" t="s">
        <v>8</v>
      </c>
      <c r="I688">
        <v>2</v>
      </c>
    </row>
    <row r="689" spans="1:9" x14ac:dyDescent="0.3">
      <c r="A689">
        <v>147</v>
      </c>
      <c r="B689" t="s">
        <v>33</v>
      </c>
      <c r="C689" t="s">
        <v>9</v>
      </c>
      <c r="D689">
        <v>0</v>
      </c>
      <c r="E689">
        <v>0</v>
      </c>
      <c r="F689">
        <v>84</v>
      </c>
      <c r="G689">
        <v>0</v>
      </c>
      <c r="H689" t="s">
        <v>9</v>
      </c>
      <c r="I689">
        <v>84</v>
      </c>
    </row>
    <row r="690" spans="1:9" x14ac:dyDescent="0.3">
      <c r="A690">
        <v>147</v>
      </c>
      <c r="B690" t="s">
        <v>33</v>
      </c>
      <c r="C690" t="s">
        <v>10</v>
      </c>
      <c r="D690">
        <v>0</v>
      </c>
      <c r="E690">
        <v>0</v>
      </c>
      <c r="F690">
        <v>0</v>
      </c>
      <c r="G690">
        <v>1</v>
      </c>
      <c r="H690" t="s">
        <v>68</v>
      </c>
      <c r="I690">
        <v>1</v>
      </c>
    </row>
    <row r="691" spans="1:9" x14ac:dyDescent="0.3">
      <c r="A691">
        <v>147</v>
      </c>
      <c r="B691" t="s">
        <v>33</v>
      </c>
      <c r="C691" t="s">
        <v>11</v>
      </c>
      <c r="D691">
        <v>3</v>
      </c>
      <c r="E691">
        <v>0</v>
      </c>
      <c r="F691">
        <v>0</v>
      </c>
      <c r="G691">
        <v>5</v>
      </c>
      <c r="H691" t="s">
        <v>63</v>
      </c>
      <c r="I691">
        <v>8</v>
      </c>
    </row>
    <row r="692" spans="1:9" x14ac:dyDescent="0.3">
      <c r="A692">
        <v>147</v>
      </c>
      <c r="B692" t="s">
        <v>33</v>
      </c>
      <c r="C692" t="s">
        <v>12</v>
      </c>
      <c r="D692">
        <v>5</v>
      </c>
      <c r="E692">
        <v>0</v>
      </c>
      <c r="F692">
        <v>0</v>
      </c>
      <c r="G692">
        <v>4</v>
      </c>
      <c r="H692" t="s">
        <v>64</v>
      </c>
      <c r="I692">
        <v>9</v>
      </c>
    </row>
    <row r="693" spans="1:9" x14ac:dyDescent="0.3">
      <c r="A693">
        <v>147</v>
      </c>
      <c r="B693" t="s">
        <v>33</v>
      </c>
      <c r="C693" t="s">
        <v>14</v>
      </c>
      <c r="D693">
        <v>22</v>
      </c>
      <c r="E693">
        <v>3</v>
      </c>
      <c r="F693">
        <v>0</v>
      </c>
      <c r="G693">
        <v>25</v>
      </c>
      <c r="H693" t="s">
        <v>62</v>
      </c>
      <c r="I693">
        <v>50</v>
      </c>
    </row>
    <row r="694" spans="1:9" x14ac:dyDescent="0.3">
      <c r="A694">
        <v>148</v>
      </c>
      <c r="B694" t="s">
        <v>7</v>
      </c>
      <c r="C694" t="s">
        <v>11</v>
      </c>
      <c r="D694">
        <v>9</v>
      </c>
      <c r="E694">
        <v>0</v>
      </c>
      <c r="F694">
        <v>0</v>
      </c>
      <c r="G694">
        <v>9</v>
      </c>
      <c r="H694" t="s">
        <v>63</v>
      </c>
      <c r="I694">
        <v>18</v>
      </c>
    </row>
    <row r="695" spans="1:9" x14ac:dyDescent="0.3">
      <c r="A695">
        <v>148</v>
      </c>
      <c r="B695" t="s">
        <v>7</v>
      </c>
      <c r="C695" t="s">
        <v>14</v>
      </c>
      <c r="D695">
        <v>16</v>
      </c>
      <c r="E695">
        <v>7</v>
      </c>
      <c r="F695">
        <v>0</v>
      </c>
      <c r="G695">
        <v>18</v>
      </c>
      <c r="H695" t="s">
        <v>62</v>
      </c>
      <c r="I695">
        <v>41</v>
      </c>
    </row>
    <row r="696" spans="1:9" x14ac:dyDescent="0.3">
      <c r="A696">
        <v>148</v>
      </c>
      <c r="B696" t="s">
        <v>7</v>
      </c>
      <c r="C696" t="s">
        <v>15</v>
      </c>
      <c r="D696">
        <v>3</v>
      </c>
      <c r="E696">
        <v>0</v>
      </c>
      <c r="F696">
        <v>0</v>
      </c>
      <c r="G696">
        <v>6</v>
      </c>
      <c r="H696" t="s">
        <v>65</v>
      </c>
      <c r="I696">
        <v>9</v>
      </c>
    </row>
    <row r="697" spans="1:9" x14ac:dyDescent="0.3">
      <c r="A697">
        <v>148</v>
      </c>
      <c r="B697" t="s">
        <v>7</v>
      </c>
      <c r="C697" t="s">
        <v>16</v>
      </c>
      <c r="D697">
        <v>7</v>
      </c>
      <c r="E697">
        <v>4</v>
      </c>
      <c r="F697">
        <v>0</v>
      </c>
      <c r="G697">
        <v>10</v>
      </c>
      <c r="H697" t="s">
        <v>61</v>
      </c>
      <c r="I697">
        <v>21</v>
      </c>
    </row>
    <row r="698" spans="1:9" x14ac:dyDescent="0.3">
      <c r="A698">
        <v>148</v>
      </c>
      <c r="B698" t="s">
        <v>7</v>
      </c>
      <c r="C698" t="s">
        <v>18</v>
      </c>
      <c r="D698">
        <v>7</v>
      </c>
      <c r="E698">
        <v>0</v>
      </c>
      <c r="F698">
        <v>0</v>
      </c>
      <c r="G698">
        <v>4</v>
      </c>
      <c r="H698" t="s">
        <v>72</v>
      </c>
      <c r="I698">
        <v>11</v>
      </c>
    </row>
    <row r="699" spans="1:9" x14ac:dyDescent="0.3">
      <c r="A699">
        <v>148</v>
      </c>
      <c r="B699" t="s">
        <v>7</v>
      </c>
      <c r="C699" t="s">
        <v>19</v>
      </c>
      <c r="D699">
        <v>6</v>
      </c>
      <c r="E699">
        <v>13</v>
      </c>
      <c r="F699">
        <v>0</v>
      </c>
      <c r="G699">
        <v>16</v>
      </c>
      <c r="H699" t="s">
        <v>70</v>
      </c>
      <c r="I699">
        <v>35</v>
      </c>
    </row>
    <row r="700" spans="1:9" x14ac:dyDescent="0.3">
      <c r="A700">
        <v>148</v>
      </c>
      <c r="B700" t="s">
        <v>7</v>
      </c>
      <c r="C700" t="s">
        <v>20</v>
      </c>
      <c r="D700">
        <v>4</v>
      </c>
      <c r="E700">
        <v>0</v>
      </c>
      <c r="F700">
        <v>0</v>
      </c>
      <c r="G700">
        <v>1</v>
      </c>
      <c r="H700" t="s">
        <v>60</v>
      </c>
      <c r="I700">
        <v>5</v>
      </c>
    </row>
    <row r="701" spans="1:9" x14ac:dyDescent="0.3">
      <c r="A701">
        <v>148</v>
      </c>
      <c r="B701" t="s">
        <v>7</v>
      </c>
      <c r="C701" t="s">
        <v>26</v>
      </c>
      <c r="D701">
        <v>0</v>
      </c>
      <c r="E701">
        <v>7</v>
      </c>
      <c r="F701">
        <v>0</v>
      </c>
      <c r="G701">
        <v>8</v>
      </c>
      <c r="H701" t="s">
        <v>71</v>
      </c>
      <c r="I701">
        <v>15</v>
      </c>
    </row>
    <row r="702" spans="1:9" x14ac:dyDescent="0.3">
      <c r="A702">
        <v>148</v>
      </c>
      <c r="B702" t="s">
        <v>33</v>
      </c>
      <c r="C702" t="s">
        <v>8</v>
      </c>
      <c r="D702">
        <v>0</v>
      </c>
      <c r="E702">
        <v>0</v>
      </c>
      <c r="F702">
        <v>6</v>
      </c>
      <c r="G702">
        <v>0</v>
      </c>
      <c r="H702" t="s">
        <v>8</v>
      </c>
      <c r="I702">
        <v>6</v>
      </c>
    </row>
    <row r="703" spans="1:9" x14ac:dyDescent="0.3">
      <c r="A703">
        <v>148</v>
      </c>
      <c r="B703" t="s">
        <v>33</v>
      </c>
      <c r="C703" t="s">
        <v>9</v>
      </c>
      <c r="D703">
        <v>0</v>
      </c>
      <c r="E703">
        <v>0</v>
      </c>
      <c r="F703">
        <v>82</v>
      </c>
      <c r="G703">
        <v>0</v>
      </c>
      <c r="H703" t="s">
        <v>9</v>
      </c>
      <c r="I703">
        <v>82</v>
      </c>
    </row>
    <row r="704" spans="1:9" x14ac:dyDescent="0.3">
      <c r="A704">
        <v>148</v>
      </c>
      <c r="B704" t="s">
        <v>33</v>
      </c>
      <c r="C704" t="s">
        <v>10</v>
      </c>
      <c r="D704">
        <v>1</v>
      </c>
      <c r="E704">
        <v>0</v>
      </c>
      <c r="F704">
        <v>0</v>
      </c>
      <c r="G704">
        <v>4</v>
      </c>
      <c r="H704" t="s">
        <v>68</v>
      </c>
      <c r="I704">
        <v>5</v>
      </c>
    </row>
    <row r="705" spans="1:9" x14ac:dyDescent="0.3">
      <c r="A705">
        <v>148</v>
      </c>
      <c r="B705" t="s">
        <v>33</v>
      </c>
      <c r="C705" t="s">
        <v>12</v>
      </c>
      <c r="D705">
        <v>16</v>
      </c>
      <c r="E705">
        <v>18</v>
      </c>
      <c r="F705">
        <v>0</v>
      </c>
      <c r="G705">
        <v>24</v>
      </c>
      <c r="H705" t="s">
        <v>64</v>
      </c>
      <c r="I705">
        <v>58</v>
      </c>
    </row>
    <row r="706" spans="1:9" x14ac:dyDescent="0.3">
      <c r="A706">
        <v>148</v>
      </c>
      <c r="B706" t="s">
        <v>33</v>
      </c>
      <c r="C706" t="s">
        <v>14</v>
      </c>
      <c r="D706">
        <v>8</v>
      </c>
      <c r="E706">
        <v>0</v>
      </c>
      <c r="F706">
        <v>0</v>
      </c>
      <c r="G706">
        <v>9</v>
      </c>
      <c r="H706" t="s">
        <v>62</v>
      </c>
      <c r="I706">
        <v>17</v>
      </c>
    </row>
    <row r="707" spans="1:9" x14ac:dyDescent="0.3">
      <c r="A707">
        <v>148</v>
      </c>
      <c r="B707" t="s">
        <v>33</v>
      </c>
      <c r="C707" t="s">
        <v>17</v>
      </c>
      <c r="D707">
        <v>10</v>
      </c>
      <c r="E707">
        <v>0</v>
      </c>
      <c r="F707">
        <v>0</v>
      </c>
      <c r="G707">
        <v>8</v>
      </c>
      <c r="H707" t="s">
        <v>66</v>
      </c>
      <c r="I707">
        <v>18</v>
      </c>
    </row>
    <row r="708" spans="1:9" x14ac:dyDescent="0.3">
      <c r="A708">
        <v>148</v>
      </c>
      <c r="B708" t="s">
        <v>33</v>
      </c>
      <c r="C708" t="s">
        <v>19</v>
      </c>
      <c r="D708">
        <v>5</v>
      </c>
      <c r="E708">
        <v>0</v>
      </c>
      <c r="F708">
        <v>0</v>
      </c>
      <c r="G708">
        <v>6</v>
      </c>
      <c r="H708" t="s">
        <v>70</v>
      </c>
      <c r="I708">
        <v>11</v>
      </c>
    </row>
    <row r="709" spans="1:9" x14ac:dyDescent="0.3">
      <c r="A709">
        <v>148</v>
      </c>
      <c r="B709" t="s">
        <v>33</v>
      </c>
      <c r="C709" t="s">
        <v>28</v>
      </c>
      <c r="D709">
        <v>9</v>
      </c>
      <c r="E709">
        <v>0</v>
      </c>
      <c r="F709">
        <v>0</v>
      </c>
      <c r="G709">
        <v>8</v>
      </c>
      <c r="H709" t="s">
        <v>28</v>
      </c>
      <c r="I709">
        <v>17</v>
      </c>
    </row>
    <row r="710" spans="1:9" x14ac:dyDescent="0.3">
      <c r="A710">
        <v>149</v>
      </c>
      <c r="B710" t="s">
        <v>7</v>
      </c>
      <c r="C710" t="s">
        <v>11</v>
      </c>
      <c r="D710">
        <v>36</v>
      </c>
      <c r="E710">
        <v>2</v>
      </c>
      <c r="F710">
        <v>0</v>
      </c>
      <c r="G710">
        <v>35</v>
      </c>
      <c r="H710" t="s">
        <v>63</v>
      </c>
      <c r="I710">
        <v>73</v>
      </c>
    </row>
    <row r="711" spans="1:9" x14ac:dyDescent="0.3">
      <c r="A711">
        <v>149</v>
      </c>
      <c r="B711" t="s">
        <v>7</v>
      </c>
      <c r="C711" t="s">
        <v>12</v>
      </c>
      <c r="D711">
        <v>0</v>
      </c>
      <c r="E711">
        <v>0</v>
      </c>
      <c r="F711">
        <v>0</v>
      </c>
      <c r="G711">
        <v>1</v>
      </c>
      <c r="H711" t="s">
        <v>64</v>
      </c>
      <c r="I711">
        <v>1</v>
      </c>
    </row>
    <row r="712" spans="1:9" x14ac:dyDescent="0.3">
      <c r="A712">
        <v>149</v>
      </c>
      <c r="B712" t="s">
        <v>7</v>
      </c>
      <c r="C712" t="s">
        <v>13</v>
      </c>
      <c r="D712">
        <v>0</v>
      </c>
      <c r="E712">
        <v>0</v>
      </c>
      <c r="F712">
        <v>0</v>
      </c>
      <c r="G712">
        <v>2</v>
      </c>
      <c r="H712" t="s">
        <v>69</v>
      </c>
      <c r="I712">
        <v>2</v>
      </c>
    </row>
    <row r="713" spans="1:9" x14ac:dyDescent="0.3">
      <c r="A713">
        <v>149</v>
      </c>
      <c r="B713" t="s">
        <v>7</v>
      </c>
      <c r="C713" t="s">
        <v>14</v>
      </c>
      <c r="D713">
        <v>31</v>
      </c>
      <c r="E713">
        <v>24</v>
      </c>
      <c r="F713">
        <v>2</v>
      </c>
      <c r="G713">
        <v>43</v>
      </c>
      <c r="H713" t="s">
        <v>62</v>
      </c>
      <c r="I713">
        <v>100</v>
      </c>
    </row>
    <row r="714" spans="1:9" x14ac:dyDescent="0.3">
      <c r="A714">
        <v>149</v>
      </c>
      <c r="B714" t="s">
        <v>7</v>
      </c>
      <c r="C714" t="s">
        <v>15</v>
      </c>
      <c r="D714">
        <v>20</v>
      </c>
      <c r="E714">
        <v>0</v>
      </c>
      <c r="F714">
        <v>0</v>
      </c>
      <c r="G714">
        <v>34</v>
      </c>
      <c r="H714" t="s">
        <v>65</v>
      </c>
      <c r="I714">
        <v>54</v>
      </c>
    </row>
    <row r="715" spans="1:9" x14ac:dyDescent="0.3">
      <c r="A715">
        <v>149</v>
      </c>
      <c r="B715" t="s">
        <v>7</v>
      </c>
      <c r="C715" t="s">
        <v>16</v>
      </c>
      <c r="D715">
        <v>22</v>
      </c>
      <c r="E715">
        <v>5</v>
      </c>
      <c r="F715">
        <v>0</v>
      </c>
      <c r="G715">
        <v>33</v>
      </c>
      <c r="H715" t="s">
        <v>61</v>
      </c>
      <c r="I715">
        <v>60</v>
      </c>
    </row>
    <row r="716" spans="1:9" x14ac:dyDescent="0.3">
      <c r="A716">
        <v>149</v>
      </c>
      <c r="B716" t="s">
        <v>7</v>
      </c>
      <c r="C716" t="s">
        <v>18</v>
      </c>
      <c r="D716">
        <v>0</v>
      </c>
      <c r="E716">
        <v>0</v>
      </c>
      <c r="F716">
        <v>0</v>
      </c>
      <c r="G716">
        <v>2</v>
      </c>
      <c r="H716" t="s">
        <v>72</v>
      </c>
      <c r="I716">
        <v>2</v>
      </c>
    </row>
    <row r="717" spans="1:9" x14ac:dyDescent="0.3">
      <c r="A717">
        <v>149</v>
      </c>
      <c r="B717" t="s">
        <v>7</v>
      </c>
      <c r="C717" t="s">
        <v>19</v>
      </c>
      <c r="D717">
        <v>63</v>
      </c>
      <c r="E717">
        <v>23</v>
      </c>
      <c r="F717">
        <v>0</v>
      </c>
      <c r="G717">
        <v>63</v>
      </c>
      <c r="H717" t="s">
        <v>70</v>
      </c>
      <c r="I717">
        <v>149</v>
      </c>
    </row>
    <row r="718" spans="1:9" x14ac:dyDescent="0.3">
      <c r="A718">
        <v>149</v>
      </c>
      <c r="B718" t="s">
        <v>7</v>
      </c>
      <c r="C718" t="s">
        <v>20</v>
      </c>
      <c r="D718">
        <v>3</v>
      </c>
      <c r="E718">
        <v>0</v>
      </c>
      <c r="F718">
        <v>0</v>
      </c>
      <c r="G718">
        <v>8</v>
      </c>
      <c r="H718" t="s">
        <v>60</v>
      </c>
      <c r="I718">
        <v>11</v>
      </c>
    </row>
    <row r="719" spans="1:9" x14ac:dyDescent="0.3">
      <c r="A719">
        <v>149</v>
      </c>
      <c r="B719" t="s">
        <v>33</v>
      </c>
      <c r="C719" t="s">
        <v>8</v>
      </c>
      <c r="D719">
        <v>0</v>
      </c>
      <c r="E719">
        <v>0</v>
      </c>
      <c r="F719">
        <v>2</v>
      </c>
      <c r="G719">
        <v>0</v>
      </c>
      <c r="H719" t="s">
        <v>8</v>
      </c>
      <c r="I719">
        <v>2</v>
      </c>
    </row>
    <row r="720" spans="1:9" x14ac:dyDescent="0.3">
      <c r="A720">
        <v>149</v>
      </c>
      <c r="B720" t="s">
        <v>33</v>
      </c>
      <c r="C720" t="s">
        <v>9</v>
      </c>
      <c r="D720">
        <v>0</v>
      </c>
      <c r="E720">
        <v>0</v>
      </c>
      <c r="F720">
        <v>40</v>
      </c>
      <c r="G720">
        <v>0</v>
      </c>
      <c r="H720" t="s">
        <v>9</v>
      </c>
      <c r="I720">
        <v>40</v>
      </c>
    </row>
    <row r="721" spans="1:9" x14ac:dyDescent="0.3">
      <c r="A721">
        <v>149</v>
      </c>
      <c r="B721" t="s">
        <v>33</v>
      </c>
      <c r="C721" t="s">
        <v>10</v>
      </c>
      <c r="D721">
        <v>9</v>
      </c>
      <c r="E721">
        <v>10</v>
      </c>
      <c r="F721">
        <v>8</v>
      </c>
      <c r="G721">
        <v>9</v>
      </c>
      <c r="H721" t="s">
        <v>68</v>
      </c>
      <c r="I721">
        <v>36</v>
      </c>
    </row>
    <row r="722" spans="1:9" x14ac:dyDescent="0.3">
      <c r="A722">
        <v>149</v>
      </c>
      <c r="B722" t="s">
        <v>33</v>
      </c>
      <c r="C722" t="s">
        <v>11</v>
      </c>
      <c r="D722">
        <v>10</v>
      </c>
      <c r="E722">
        <v>0</v>
      </c>
      <c r="F722">
        <v>0</v>
      </c>
      <c r="G722">
        <v>7</v>
      </c>
      <c r="H722" t="s">
        <v>63</v>
      </c>
      <c r="I722">
        <v>17</v>
      </c>
    </row>
    <row r="723" spans="1:9" x14ac:dyDescent="0.3">
      <c r="A723">
        <v>149</v>
      </c>
      <c r="B723" t="s">
        <v>33</v>
      </c>
      <c r="C723" t="s">
        <v>12</v>
      </c>
      <c r="D723">
        <v>5</v>
      </c>
      <c r="E723">
        <v>4</v>
      </c>
      <c r="F723">
        <v>0</v>
      </c>
      <c r="G723">
        <v>6</v>
      </c>
      <c r="H723" t="s">
        <v>64</v>
      </c>
      <c r="I723">
        <v>15</v>
      </c>
    </row>
    <row r="724" spans="1:9" x14ac:dyDescent="0.3">
      <c r="A724">
        <v>149</v>
      </c>
      <c r="B724" t="s">
        <v>33</v>
      </c>
      <c r="C724" t="s">
        <v>14</v>
      </c>
      <c r="D724">
        <v>7</v>
      </c>
      <c r="E724">
        <v>3</v>
      </c>
      <c r="F724">
        <v>0</v>
      </c>
      <c r="G724">
        <v>7</v>
      </c>
      <c r="H724" t="s">
        <v>62</v>
      </c>
      <c r="I724">
        <v>17</v>
      </c>
    </row>
    <row r="725" spans="1:9" x14ac:dyDescent="0.3">
      <c r="A725">
        <v>149</v>
      </c>
      <c r="B725" t="s">
        <v>33</v>
      </c>
      <c r="C725" t="s">
        <v>15</v>
      </c>
      <c r="D725">
        <v>1</v>
      </c>
      <c r="E725">
        <v>0</v>
      </c>
      <c r="F725">
        <v>0</v>
      </c>
      <c r="G725">
        <v>6</v>
      </c>
      <c r="H725" t="s">
        <v>65</v>
      </c>
      <c r="I725">
        <v>7</v>
      </c>
    </row>
    <row r="726" spans="1:9" x14ac:dyDescent="0.3">
      <c r="A726">
        <v>149</v>
      </c>
      <c r="B726" t="s">
        <v>33</v>
      </c>
      <c r="C726" t="s">
        <v>16</v>
      </c>
      <c r="D726">
        <v>8</v>
      </c>
      <c r="E726">
        <v>0</v>
      </c>
      <c r="F726">
        <v>0</v>
      </c>
      <c r="G726">
        <v>6</v>
      </c>
      <c r="H726" t="s">
        <v>61</v>
      </c>
      <c r="I726">
        <v>14</v>
      </c>
    </row>
    <row r="727" spans="1:9" x14ac:dyDescent="0.3">
      <c r="A727">
        <v>150</v>
      </c>
      <c r="B727" t="s">
        <v>7</v>
      </c>
      <c r="C727" t="s">
        <v>10</v>
      </c>
      <c r="D727">
        <v>13</v>
      </c>
      <c r="E727">
        <v>0</v>
      </c>
      <c r="F727">
        <v>1</v>
      </c>
      <c r="G727">
        <v>20</v>
      </c>
      <c r="H727" t="s">
        <v>68</v>
      </c>
      <c r="I727">
        <v>34</v>
      </c>
    </row>
    <row r="728" spans="1:9" x14ac:dyDescent="0.3">
      <c r="A728">
        <v>150</v>
      </c>
      <c r="B728" t="s">
        <v>7</v>
      </c>
      <c r="C728" t="s">
        <v>11</v>
      </c>
      <c r="D728">
        <v>54</v>
      </c>
      <c r="E728">
        <v>5</v>
      </c>
      <c r="F728">
        <v>0</v>
      </c>
      <c r="G728">
        <v>57</v>
      </c>
      <c r="H728" t="s">
        <v>63</v>
      </c>
      <c r="I728">
        <v>116</v>
      </c>
    </row>
    <row r="729" spans="1:9" x14ac:dyDescent="0.3">
      <c r="A729">
        <v>150</v>
      </c>
      <c r="B729" t="s">
        <v>7</v>
      </c>
      <c r="C729" t="s">
        <v>12</v>
      </c>
      <c r="D729">
        <v>1</v>
      </c>
      <c r="E729">
        <v>0</v>
      </c>
      <c r="F729">
        <v>0</v>
      </c>
      <c r="G729">
        <v>2</v>
      </c>
      <c r="H729" t="s">
        <v>64</v>
      </c>
      <c r="I729">
        <v>3</v>
      </c>
    </row>
    <row r="730" spans="1:9" x14ac:dyDescent="0.3">
      <c r="A730">
        <v>150</v>
      </c>
      <c r="B730" t="s">
        <v>7</v>
      </c>
      <c r="C730" t="s">
        <v>13</v>
      </c>
      <c r="D730">
        <v>2</v>
      </c>
      <c r="E730">
        <v>0</v>
      </c>
      <c r="F730">
        <v>0</v>
      </c>
      <c r="G730">
        <v>2</v>
      </c>
      <c r="H730" t="s">
        <v>69</v>
      </c>
      <c r="I730">
        <v>4</v>
      </c>
    </row>
    <row r="731" spans="1:9" x14ac:dyDescent="0.3">
      <c r="A731">
        <v>150</v>
      </c>
      <c r="B731" t="s">
        <v>7</v>
      </c>
      <c r="C731" t="s">
        <v>14</v>
      </c>
      <c r="D731">
        <v>33</v>
      </c>
      <c r="E731">
        <v>37</v>
      </c>
      <c r="F731">
        <v>0</v>
      </c>
      <c r="G731">
        <v>52</v>
      </c>
      <c r="H731" t="s">
        <v>62</v>
      </c>
      <c r="I731">
        <v>122</v>
      </c>
    </row>
    <row r="732" spans="1:9" x14ac:dyDescent="0.3">
      <c r="A732">
        <v>150</v>
      </c>
      <c r="B732" t="s">
        <v>7</v>
      </c>
      <c r="C732" t="s">
        <v>15</v>
      </c>
      <c r="D732">
        <v>18</v>
      </c>
      <c r="E732">
        <v>9</v>
      </c>
      <c r="F732">
        <v>0</v>
      </c>
      <c r="G732">
        <v>47</v>
      </c>
      <c r="H732" t="s">
        <v>65</v>
      </c>
      <c r="I732">
        <v>74</v>
      </c>
    </row>
    <row r="733" spans="1:9" x14ac:dyDescent="0.3">
      <c r="A733">
        <v>150</v>
      </c>
      <c r="B733" t="s">
        <v>7</v>
      </c>
      <c r="C733" t="s">
        <v>16</v>
      </c>
      <c r="D733">
        <v>51</v>
      </c>
      <c r="E733">
        <v>0</v>
      </c>
      <c r="F733">
        <v>0</v>
      </c>
      <c r="G733">
        <v>47</v>
      </c>
      <c r="H733" t="s">
        <v>61</v>
      </c>
      <c r="I733">
        <v>98</v>
      </c>
    </row>
    <row r="734" spans="1:9" x14ac:dyDescent="0.3">
      <c r="A734">
        <v>150</v>
      </c>
      <c r="B734" t="s">
        <v>7</v>
      </c>
      <c r="C734" t="s">
        <v>19</v>
      </c>
      <c r="D734">
        <v>31</v>
      </c>
      <c r="E734">
        <v>10</v>
      </c>
      <c r="F734">
        <v>3</v>
      </c>
      <c r="G734">
        <v>47</v>
      </c>
      <c r="H734" t="s">
        <v>70</v>
      </c>
      <c r="I734">
        <v>91</v>
      </c>
    </row>
    <row r="735" spans="1:9" x14ac:dyDescent="0.3">
      <c r="A735">
        <v>150</v>
      </c>
      <c r="B735" t="s">
        <v>7</v>
      </c>
      <c r="C735" t="s">
        <v>20</v>
      </c>
      <c r="D735">
        <v>105</v>
      </c>
      <c r="E735">
        <v>17</v>
      </c>
      <c r="F735">
        <v>2</v>
      </c>
      <c r="G735">
        <v>66</v>
      </c>
      <c r="H735" t="s">
        <v>60</v>
      </c>
      <c r="I735">
        <v>190</v>
      </c>
    </row>
    <row r="736" spans="1:9" x14ac:dyDescent="0.3">
      <c r="A736">
        <v>150</v>
      </c>
      <c r="B736" t="s">
        <v>7</v>
      </c>
      <c r="C736" t="s">
        <v>28</v>
      </c>
      <c r="D736">
        <v>2</v>
      </c>
      <c r="E736">
        <v>0</v>
      </c>
      <c r="F736">
        <v>0</v>
      </c>
      <c r="G736">
        <v>6</v>
      </c>
      <c r="H736" t="s">
        <v>28</v>
      </c>
      <c r="I736">
        <v>8</v>
      </c>
    </row>
    <row r="737" spans="1:9" x14ac:dyDescent="0.3">
      <c r="A737">
        <v>150</v>
      </c>
      <c r="B737" t="s">
        <v>33</v>
      </c>
      <c r="C737" t="s">
        <v>8</v>
      </c>
      <c r="D737">
        <v>0</v>
      </c>
      <c r="E737">
        <v>0</v>
      </c>
      <c r="F737">
        <v>3</v>
      </c>
      <c r="G737">
        <v>0</v>
      </c>
      <c r="H737" t="s">
        <v>8</v>
      </c>
      <c r="I737">
        <v>3</v>
      </c>
    </row>
    <row r="738" spans="1:9" x14ac:dyDescent="0.3">
      <c r="A738">
        <v>150</v>
      </c>
      <c r="B738" t="s">
        <v>33</v>
      </c>
      <c r="C738" t="s">
        <v>9</v>
      </c>
      <c r="D738">
        <v>0</v>
      </c>
      <c r="E738">
        <v>0</v>
      </c>
      <c r="F738">
        <v>88</v>
      </c>
      <c r="G738">
        <v>0</v>
      </c>
      <c r="H738" t="s">
        <v>9</v>
      </c>
      <c r="I738">
        <v>88</v>
      </c>
    </row>
    <row r="739" spans="1:9" x14ac:dyDescent="0.3">
      <c r="A739">
        <v>150</v>
      </c>
      <c r="B739" t="s">
        <v>33</v>
      </c>
      <c r="C739" t="s">
        <v>12</v>
      </c>
      <c r="D739">
        <v>47</v>
      </c>
      <c r="E739">
        <v>11</v>
      </c>
      <c r="F739">
        <v>3</v>
      </c>
      <c r="G739">
        <v>55</v>
      </c>
      <c r="H739" t="s">
        <v>64</v>
      </c>
      <c r="I739">
        <v>116</v>
      </c>
    </row>
    <row r="740" spans="1:9" x14ac:dyDescent="0.3">
      <c r="A740">
        <v>150</v>
      </c>
      <c r="B740" t="s">
        <v>33</v>
      </c>
      <c r="C740" t="s">
        <v>20</v>
      </c>
      <c r="D740">
        <v>0</v>
      </c>
      <c r="E740">
        <v>0</v>
      </c>
      <c r="F740">
        <v>0</v>
      </c>
      <c r="G740">
        <v>5</v>
      </c>
      <c r="H740" t="s">
        <v>60</v>
      </c>
      <c r="I740">
        <v>5</v>
      </c>
    </row>
    <row r="741" spans="1:9" x14ac:dyDescent="0.3">
      <c r="A741">
        <v>150</v>
      </c>
      <c r="B741" t="s">
        <v>33</v>
      </c>
      <c r="C741" t="s">
        <v>24</v>
      </c>
      <c r="D741">
        <v>3</v>
      </c>
      <c r="E741">
        <v>0</v>
      </c>
      <c r="F741">
        <v>0</v>
      </c>
      <c r="G741">
        <v>6</v>
      </c>
      <c r="H741" t="s">
        <v>75</v>
      </c>
      <c r="I741">
        <v>9</v>
      </c>
    </row>
    <row r="742" spans="1:9" x14ac:dyDescent="0.3">
      <c r="A742">
        <v>151</v>
      </c>
      <c r="B742" t="s">
        <v>7</v>
      </c>
      <c r="C742" t="s">
        <v>11</v>
      </c>
      <c r="D742">
        <v>25</v>
      </c>
      <c r="E742">
        <v>2</v>
      </c>
      <c r="F742">
        <v>0</v>
      </c>
      <c r="G742">
        <v>25</v>
      </c>
      <c r="H742" t="s">
        <v>63</v>
      </c>
      <c r="I742">
        <v>52</v>
      </c>
    </row>
    <row r="743" spans="1:9" x14ac:dyDescent="0.3">
      <c r="A743">
        <v>151</v>
      </c>
      <c r="B743" t="s">
        <v>7</v>
      </c>
      <c r="C743" t="s">
        <v>12</v>
      </c>
      <c r="D743">
        <v>3</v>
      </c>
      <c r="E743">
        <v>0</v>
      </c>
      <c r="F743">
        <v>0</v>
      </c>
      <c r="G743">
        <v>7</v>
      </c>
      <c r="H743" t="s">
        <v>64</v>
      </c>
      <c r="I743">
        <v>10</v>
      </c>
    </row>
    <row r="744" spans="1:9" x14ac:dyDescent="0.3">
      <c r="A744">
        <v>151</v>
      </c>
      <c r="B744" t="s">
        <v>7</v>
      </c>
      <c r="C744" t="s">
        <v>13</v>
      </c>
      <c r="D744">
        <v>0</v>
      </c>
      <c r="E744">
        <v>0</v>
      </c>
      <c r="F744">
        <v>0</v>
      </c>
      <c r="G744">
        <v>1</v>
      </c>
      <c r="H744" t="s">
        <v>69</v>
      </c>
      <c r="I744">
        <v>1</v>
      </c>
    </row>
    <row r="745" spans="1:9" x14ac:dyDescent="0.3">
      <c r="A745">
        <v>151</v>
      </c>
      <c r="B745" t="s">
        <v>7</v>
      </c>
      <c r="C745" t="s">
        <v>14</v>
      </c>
      <c r="D745">
        <v>5</v>
      </c>
      <c r="E745">
        <v>4</v>
      </c>
      <c r="F745">
        <v>0</v>
      </c>
      <c r="G745">
        <v>8</v>
      </c>
      <c r="H745" t="s">
        <v>62</v>
      </c>
      <c r="I745">
        <v>17</v>
      </c>
    </row>
    <row r="746" spans="1:9" x14ac:dyDescent="0.3">
      <c r="A746">
        <v>151</v>
      </c>
      <c r="B746" t="s">
        <v>7</v>
      </c>
      <c r="C746" t="s">
        <v>15</v>
      </c>
      <c r="D746">
        <v>6</v>
      </c>
      <c r="E746">
        <v>2</v>
      </c>
      <c r="F746">
        <v>0</v>
      </c>
      <c r="G746">
        <v>10</v>
      </c>
      <c r="H746" t="s">
        <v>65</v>
      </c>
      <c r="I746">
        <v>18</v>
      </c>
    </row>
    <row r="747" spans="1:9" x14ac:dyDescent="0.3">
      <c r="A747">
        <v>151</v>
      </c>
      <c r="B747" t="s">
        <v>7</v>
      </c>
      <c r="C747" t="s">
        <v>16</v>
      </c>
      <c r="D747">
        <v>2</v>
      </c>
      <c r="E747">
        <v>0</v>
      </c>
      <c r="F747">
        <v>0</v>
      </c>
      <c r="G747">
        <v>8</v>
      </c>
      <c r="H747" t="s">
        <v>61</v>
      </c>
      <c r="I747">
        <v>10</v>
      </c>
    </row>
    <row r="748" spans="1:9" x14ac:dyDescent="0.3">
      <c r="A748">
        <v>151</v>
      </c>
      <c r="B748" t="s">
        <v>33</v>
      </c>
      <c r="C748" t="s">
        <v>8</v>
      </c>
      <c r="D748">
        <v>0</v>
      </c>
      <c r="E748">
        <v>0</v>
      </c>
      <c r="F748">
        <v>3</v>
      </c>
      <c r="G748">
        <v>0</v>
      </c>
      <c r="H748" t="s">
        <v>8</v>
      </c>
      <c r="I748">
        <v>3</v>
      </c>
    </row>
    <row r="749" spans="1:9" x14ac:dyDescent="0.3">
      <c r="A749">
        <v>151</v>
      </c>
      <c r="B749" t="s">
        <v>33</v>
      </c>
      <c r="C749" t="s">
        <v>9</v>
      </c>
      <c r="D749">
        <v>0</v>
      </c>
      <c r="E749">
        <v>0</v>
      </c>
      <c r="F749">
        <v>85</v>
      </c>
      <c r="G749">
        <v>0</v>
      </c>
      <c r="H749" t="s">
        <v>9</v>
      </c>
      <c r="I749">
        <v>85</v>
      </c>
    </row>
    <row r="750" spans="1:9" x14ac:dyDescent="0.3">
      <c r="A750">
        <v>151</v>
      </c>
      <c r="B750" t="s">
        <v>33</v>
      </c>
      <c r="C750" t="s">
        <v>10</v>
      </c>
      <c r="D750">
        <v>14</v>
      </c>
      <c r="E750">
        <v>0</v>
      </c>
      <c r="F750">
        <v>1</v>
      </c>
      <c r="G750">
        <v>11</v>
      </c>
      <c r="H750" t="s">
        <v>68</v>
      </c>
      <c r="I750">
        <v>26</v>
      </c>
    </row>
    <row r="751" spans="1:9" x14ac:dyDescent="0.3">
      <c r="A751">
        <v>151</v>
      </c>
      <c r="B751" t="s">
        <v>33</v>
      </c>
      <c r="C751" t="s">
        <v>12</v>
      </c>
      <c r="D751">
        <v>3</v>
      </c>
      <c r="E751">
        <v>0</v>
      </c>
      <c r="F751">
        <v>0</v>
      </c>
      <c r="G751">
        <v>5</v>
      </c>
      <c r="H751" t="s">
        <v>64</v>
      </c>
      <c r="I751">
        <v>8</v>
      </c>
    </row>
    <row r="752" spans="1:9" x14ac:dyDescent="0.3">
      <c r="A752">
        <v>151</v>
      </c>
      <c r="B752" t="s">
        <v>33</v>
      </c>
      <c r="C752" t="s">
        <v>13</v>
      </c>
      <c r="D752">
        <v>3</v>
      </c>
      <c r="E752">
        <v>0</v>
      </c>
      <c r="F752">
        <v>0</v>
      </c>
      <c r="G752">
        <v>2</v>
      </c>
      <c r="H752" t="s">
        <v>69</v>
      </c>
      <c r="I752">
        <v>5</v>
      </c>
    </row>
    <row r="753" spans="1:9" x14ac:dyDescent="0.3">
      <c r="A753">
        <v>151</v>
      </c>
      <c r="B753" t="s">
        <v>33</v>
      </c>
      <c r="C753" t="s">
        <v>14</v>
      </c>
      <c r="D753">
        <v>36</v>
      </c>
      <c r="E753">
        <v>25</v>
      </c>
      <c r="F753">
        <v>1</v>
      </c>
      <c r="G753">
        <v>48</v>
      </c>
      <c r="H753" t="s">
        <v>62</v>
      </c>
      <c r="I753">
        <v>110</v>
      </c>
    </row>
    <row r="754" spans="1:9" x14ac:dyDescent="0.3">
      <c r="A754">
        <v>151</v>
      </c>
      <c r="B754" t="s">
        <v>33</v>
      </c>
      <c r="C754" t="s">
        <v>15</v>
      </c>
      <c r="D754">
        <v>3</v>
      </c>
      <c r="E754">
        <v>0</v>
      </c>
      <c r="F754">
        <v>0</v>
      </c>
      <c r="G754">
        <v>10</v>
      </c>
      <c r="H754" t="s">
        <v>65</v>
      </c>
      <c r="I754">
        <v>13</v>
      </c>
    </row>
    <row r="755" spans="1:9" x14ac:dyDescent="0.3">
      <c r="A755">
        <v>151</v>
      </c>
      <c r="B755" t="s">
        <v>33</v>
      </c>
      <c r="C755" t="s">
        <v>16</v>
      </c>
      <c r="D755">
        <v>6</v>
      </c>
      <c r="E755">
        <v>1</v>
      </c>
      <c r="F755">
        <v>0</v>
      </c>
      <c r="G755">
        <v>19</v>
      </c>
      <c r="H755" t="s">
        <v>61</v>
      </c>
      <c r="I755">
        <v>26</v>
      </c>
    </row>
    <row r="756" spans="1:9" x14ac:dyDescent="0.3">
      <c r="A756">
        <v>151</v>
      </c>
      <c r="B756" t="s">
        <v>33</v>
      </c>
      <c r="C756" t="s">
        <v>19</v>
      </c>
      <c r="D756">
        <v>37</v>
      </c>
      <c r="E756">
        <v>5</v>
      </c>
      <c r="F756">
        <v>0</v>
      </c>
      <c r="G756">
        <v>39</v>
      </c>
      <c r="H756" t="s">
        <v>70</v>
      </c>
      <c r="I756">
        <v>81</v>
      </c>
    </row>
    <row r="757" spans="1:9" x14ac:dyDescent="0.3">
      <c r="A757">
        <v>152</v>
      </c>
      <c r="B757" t="s">
        <v>7</v>
      </c>
      <c r="C757" t="s">
        <v>11</v>
      </c>
      <c r="D757">
        <v>28</v>
      </c>
      <c r="E757">
        <v>0</v>
      </c>
      <c r="F757">
        <v>0</v>
      </c>
      <c r="G757">
        <v>30</v>
      </c>
      <c r="H757" t="s">
        <v>63</v>
      </c>
      <c r="I757">
        <v>58</v>
      </c>
    </row>
    <row r="758" spans="1:9" x14ac:dyDescent="0.3">
      <c r="A758">
        <v>152</v>
      </c>
      <c r="B758" t="s">
        <v>7</v>
      </c>
      <c r="C758" t="s">
        <v>12</v>
      </c>
      <c r="D758">
        <v>2</v>
      </c>
      <c r="E758">
        <v>2</v>
      </c>
      <c r="F758">
        <v>1</v>
      </c>
      <c r="G758">
        <v>17</v>
      </c>
      <c r="H758" t="s">
        <v>64</v>
      </c>
      <c r="I758">
        <v>22</v>
      </c>
    </row>
    <row r="759" spans="1:9" x14ac:dyDescent="0.3">
      <c r="A759">
        <v>152</v>
      </c>
      <c r="B759" t="s">
        <v>7</v>
      </c>
      <c r="C759" t="s">
        <v>14</v>
      </c>
      <c r="D759">
        <v>5</v>
      </c>
      <c r="E759">
        <v>7</v>
      </c>
      <c r="F759">
        <v>0</v>
      </c>
      <c r="G759">
        <v>18</v>
      </c>
      <c r="H759" t="s">
        <v>62</v>
      </c>
      <c r="I759">
        <v>30</v>
      </c>
    </row>
    <row r="760" spans="1:9" x14ac:dyDescent="0.3">
      <c r="A760">
        <v>152</v>
      </c>
      <c r="B760" t="s">
        <v>7</v>
      </c>
      <c r="C760" t="s">
        <v>15</v>
      </c>
      <c r="D760">
        <v>9</v>
      </c>
      <c r="E760">
        <v>1</v>
      </c>
      <c r="F760">
        <v>0</v>
      </c>
      <c r="G760">
        <v>18</v>
      </c>
      <c r="H760" t="s">
        <v>65</v>
      </c>
      <c r="I760">
        <v>28</v>
      </c>
    </row>
    <row r="761" spans="1:9" x14ac:dyDescent="0.3">
      <c r="A761">
        <v>152</v>
      </c>
      <c r="B761" t="s">
        <v>7</v>
      </c>
      <c r="C761" t="s">
        <v>16</v>
      </c>
      <c r="D761">
        <v>11</v>
      </c>
      <c r="E761">
        <v>2</v>
      </c>
      <c r="F761">
        <v>0</v>
      </c>
      <c r="G761">
        <v>18</v>
      </c>
      <c r="H761" t="s">
        <v>61</v>
      </c>
      <c r="I761">
        <v>31</v>
      </c>
    </row>
    <row r="762" spans="1:9" x14ac:dyDescent="0.3">
      <c r="A762">
        <v>152</v>
      </c>
      <c r="B762" t="s">
        <v>33</v>
      </c>
      <c r="C762" t="s">
        <v>8</v>
      </c>
      <c r="D762">
        <v>0</v>
      </c>
      <c r="E762">
        <v>0</v>
      </c>
      <c r="F762">
        <v>4</v>
      </c>
      <c r="G762">
        <v>0</v>
      </c>
      <c r="H762" t="s">
        <v>8</v>
      </c>
      <c r="I762">
        <v>4</v>
      </c>
    </row>
    <row r="763" spans="1:9" x14ac:dyDescent="0.3">
      <c r="A763">
        <v>152</v>
      </c>
      <c r="B763" t="s">
        <v>33</v>
      </c>
      <c r="C763" t="s">
        <v>9</v>
      </c>
      <c r="D763">
        <v>0</v>
      </c>
      <c r="E763">
        <v>0</v>
      </c>
      <c r="F763">
        <v>72</v>
      </c>
      <c r="G763">
        <v>0</v>
      </c>
      <c r="H763" t="s">
        <v>9</v>
      </c>
      <c r="I763">
        <v>72</v>
      </c>
    </row>
    <row r="764" spans="1:9" x14ac:dyDescent="0.3">
      <c r="A764">
        <v>152</v>
      </c>
      <c r="B764" t="s">
        <v>33</v>
      </c>
      <c r="C764" t="s">
        <v>10</v>
      </c>
      <c r="D764">
        <v>1</v>
      </c>
      <c r="E764">
        <v>0</v>
      </c>
      <c r="F764">
        <v>0</v>
      </c>
      <c r="G764">
        <v>11</v>
      </c>
      <c r="H764" t="s">
        <v>68</v>
      </c>
      <c r="I764">
        <v>12</v>
      </c>
    </row>
    <row r="765" spans="1:9" x14ac:dyDescent="0.3">
      <c r="A765">
        <v>152</v>
      </c>
      <c r="B765" t="s">
        <v>33</v>
      </c>
      <c r="C765" t="s">
        <v>13</v>
      </c>
      <c r="D765">
        <v>0</v>
      </c>
      <c r="E765">
        <v>0</v>
      </c>
      <c r="F765">
        <v>1</v>
      </c>
      <c r="G765">
        <v>0</v>
      </c>
      <c r="H765" t="s">
        <v>69</v>
      </c>
      <c r="I765">
        <v>1</v>
      </c>
    </row>
    <row r="766" spans="1:9" x14ac:dyDescent="0.3">
      <c r="A766">
        <v>152</v>
      </c>
      <c r="B766" t="s">
        <v>33</v>
      </c>
      <c r="C766" t="s">
        <v>14</v>
      </c>
      <c r="D766">
        <v>27</v>
      </c>
      <c r="E766">
        <v>0</v>
      </c>
      <c r="F766">
        <v>0</v>
      </c>
      <c r="G766">
        <v>29</v>
      </c>
      <c r="H766" t="s">
        <v>62</v>
      </c>
      <c r="I766">
        <v>56</v>
      </c>
    </row>
    <row r="767" spans="1:9" x14ac:dyDescent="0.3">
      <c r="A767">
        <v>152</v>
      </c>
      <c r="B767" t="s">
        <v>33</v>
      </c>
      <c r="C767" t="s">
        <v>19</v>
      </c>
      <c r="D767">
        <v>31</v>
      </c>
      <c r="E767">
        <v>32</v>
      </c>
      <c r="F767">
        <v>0</v>
      </c>
      <c r="G767">
        <v>45</v>
      </c>
      <c r="H767" t="s">
        <v>70</v>
      </c>
      <c r="I767">
        <v>108</v>
      </c>
    </row>
    <row r="768" spans="1:9" x14ac:dyDescent="0.3">
      <c r="A768">
        <v>153</v>
      </c>
      <c r="B768" t="s">
        <v>7</v>
      </c>
      <c r="C768" t="s">
        <v>11</v>
      </c>
      <c r="D768">
        <v>1</v>
      </c>
      <c r="E768">
        <v>0</v>
      </c>
      <c r="F768">
        <v>0</v>
      </c>
      <c r="G768">
        <v>2</v>
      </c>
      <c r="H768" t="s">
        <v>63</v>
      </c>
      <c r="I768">
        <v>3</v>
      </c>
    </row>
    <row r="769" spans="1:9" x14ac:dyDescent="0.3">
      <c r="A769">
        <v>153</v>
      </c>
      <c r="B769" t="s">
        <v>7</v>
      </c>
      <c r="C769" t="s">
        <v>12</v>
      </c>
      <c r="D769">
        <v>1</v>
      </c>
      <c r="E769">
        <v>0</v>
      </c>
      <c r="F769">
        <v>0</v>
      </c>
      <c r="G769">
        <v>1</v>
      </c>
      <c r="H769" t="s">
        <v>64</v>
      </c>
      <c r="I769">
        <v>2</v>
      </c>
    </row>
    <row r="770" spans="1:9" x14ac:dyDescent="0.3">
      <c r="A770">
        <v>153</v>
      </c>
      <c r="B770" t="s">
        <v>7</v>
      </c>
      <c r="C770" t="s">
        <v>14</v>
      </c>
      <c r="D770">
        <v>4</v>
      </c>
      <c r="E770">
        <v>0</v>
      </c>
      <c r="F770">
        <v>0</v>
      </c>
      <c r="G770">
        <v>2</v>
      </c>
      <c r="H770" t="s">
        <v>62</v>
      </c>
      <c r="I770">
        <v>6</v>
      </c>
    </row>
    <row r="771" spans="1:9" x14ac:dyDescent="0.3">
      <c r="A771">
        <v>153</v>
      </c>
      <c r="B771" t="s">
        <v>7</v>
      </c>
      <c r="C771" t="s">
        <v>15</v>
      </c>
      <c r="D771">
        <v>3</v>
      </c>
      <c r="E771">
        <v>0</v>
      </c>
      <c r="F771">
        <v>0</v>
      </c>
      <c r="G771">
        <v>3</v>
      </c>
      <c r="H771" t="s">
        <v>65</v>
      </c>
      <c r="I771">
        <v>6</v>
      </c>
    </row>
    <row r="772" spans="1:9" x14ac:dyDescent="0.3">
      <c r="A772">
        <v>153</v>
      </c>
      <c r="B772" t="s">
        <v>7</v>
      </c>
      <c r="C772" t="s">
        <v>16</v>
      </c>
      <c r="D772">
        <v>5</v>
      </c>
      <c r="E772">
        <v>0</v>
      </c>
      <c r="F772">
        <v>0</v>
      </c>
      <c r="G772">
        <v>3</v>
      </c>
      <c r="H772" t="s">
        <v>61</v>
      </c>
      <c r="I772">
        <v>8</v>
      </c>
    </row>
    <row r="773" spans="1:9" x14ac:dyDescent="0.3">
      <c r="A773">
        <v>153</v>
      </c>
      <c r="B773" t="s">
        <v>33</v>
      </c>
      <c r="C773" t="s">
        <v>8</v>
      </c>
      <c r="D773">
        <v>0</v>
      </c>
      <c r="E773">
        <v>0</v>
      </c>
      <c r="F773">
        <v>2</v>
      </c>
      <c r="G773">
        <v>0</v>
      </c>
      <c r="H773" t="s">
        <v>8</v>
      </c>
      <c r="I773">
        <v>2</v>
      </c>
    </row>
    <row r="774" spans="1:9" x14ac:dyDescent="0.3">
      <c r="A774">
        <v>153</v>
      </c>
      <c r="B774" t="s">
        <v>33</v>
      </c>
      <c r="C774" t="s">
        <v>9</v>
      </c>
      <c r="D774">
        <v>0</v>
      </c>
      <c r="E774">
        <v>0</v>
      </c>
      <c r="F774">
        <v>7</v>
      </c>
      <c r="G774">
        <v>0</v>
      </c>
      <c r="H774" t="s">
        <v>9</v>
      </c>
      <c r="I774">
        <v>7</v>
      </c>
    </row>
    <row r="775" spans="1:9" x14ac:dyDescent="0.3">
      <c r="A775">
        <v>153</v>
      </c>
      <c r="B775" t="s">
        <v>33</v>
      </c>
      <c r="C775" t="s">
        <v>10</v>
      </c>
      <c r="D775">
        <v>36</v>
      </c>
      <c r="E775">
        <v>1</v>
      </c>
      <c r="F775">
        <v>1</v>
      </c>
      <c r="G775">
        <v>35</v>
      </c>
      <c r="H775" t="s">
        <v>68</v>
      </c>
      <c r="I775">
        <v>73</v>
      </c>
    </row>
    <row r="776" spans="1:9" x14ac:dyDescent="0.3">
      <c r="A776">
        <v>153</v>
      </c>
      <c r="B776" t="s">
        <v>33</v>
      </c>
      <c r="C776" t="s">
        <v>11</v>
      </c>
      <c r="D776">
        <v>25</v>
      </c>
      <c r="E776">
        <v>0</v>
      </c>
      <c r="F776">
        <v>0</v>
      </c>
      <c r="G776">
        <v>32</v>
      </c>
      <c r="H776" t="s">
        <v>63</v>
      </c>
      <c r="I776">
        <v>57</v>
      </c>
    </row>
    <row r="777" spans="1:9" x14ac:dyDescent="0.3">
      <c r="A777">
        <v>153</v>
      </c>
      <c r="B777" t="s">
        <v>33</v>
      </c>
      <c r="C777" t="s">
        <v>12</v>
      </c>
      <c r="D777">
        <v>9</v>
      </c>
      <c r="E777">
        <v>0</v>
      </c>
      <c r="F777">
        <v>0</v>
      </c>
      <c r="G777">
        <v>30</v>
      </c>
      <c r="H777" t="s">
        <v>64</v>
      </c>
      <c r="I777">
        <v>39</v>
      </c>
    </row>
    <row r="778" spans="1:9" x14ac:dyDescent="0.3">
      <c r="A778">
        <v>153</v>
      </c>
      <c r="B778" t="s">
        <v>33</v>
      </c>
      <c r="C778" t="s">
        <v>13</v>
      </c>
      <c r="D778">
        <v>22</v>
      </c>
      <c r="E778">
        <v>0</v>
      </c>
      <c r="F778">
        <v>0</v>
      </c>
      <c r="G778">
        <v>20</v>
      </c>
      <c r="H778" t="s">
        <v>69</v>
      </c>
      <c r="I778">
        <v>42</v>
      </c>
    </row>
    <row r="779" spans="1:9" x14ac:dyDescent="0.3">
      <c r="A779">
        <v>153</v>
      </c>
      <c r="B779" t="s">
        <v>33</v>
      </c>
      <c r="C779" t="s">
        <v>14</v>
      </c>
      <c r="D779">
        <v>17</v>
      </c>
      <c r="E779">
        <v>0</v>
      </c>
      <c r="F779">
        <v>0</v>
      </c>
      <c r="G779">
        <v>14</v>
      </c>
      <c r="H779" t="s">
        <v>62</v>
      </c>
      <c r="I779">
        <v>31</v>
      </c>
    </row>
    <row r="780" spans="1:9" x14ac:dyDescent="0.3">
      <c r="A780">
        <v>153</v>
      </c>
      <c r="B780" t="s">
        <v>33</v>
      </c>
      <c r="C780" t="s">
        <v>15</v>
      </c>
      <c r="D780">
        <v>27</v>
      </c>
      <c r="E780">
        <v>8</v>
      </c>
      <c r="F780">
        <v>0</v>
      </c>
      <c r="G780">
        <v>52</v>
      </c>
      <c r="H780" t="s">
        <v>65</v>
      </c>
      <c r="I780">
        <v>87</v>
      </c>
    </row>
    <row r="781" spans="1:9" x14ac:dyDescent="0.3">
      <c r="A781">
        <v>153</v>
      </c>
      <c r="B781" t="s">
        <v>33</v>
      </c>
      <c r="C781" t="s">
        <v>16</v>
      </c>
      <c r="D781">
        <v>20</v>
      </c>
      <c r="E781">
        <v>1</v>
      </c>
      <c r="F781">
        <v>0</v>
      </c>
      <c r="G781">
        <v>23</v>
      </c>
      <c r="H781" t="s">
        <v>61</v>
      </c>
      <c r="I781">
        <v>44</v>
      </c>
    </row>
    <row r="782" spans="1:9" x14ac:dyDescent="0.3">
      <c r="A782">
        <v>153</v>
      </c>
      <c r="B782" t="s">
        <v>33</v>
      </c>
      <c r="C782" t="s">
        <v>19</v>
      </c>
      <c r="D782">
        <v>75</v>
      </c>
      <c r="E782">
        <v>0</v>
      </c>
      <c r="F782">
        <v>39</v>
      </c>
      <c r="G782">
        <v>66</v>
      </c>
      <c r="H782" t="s">
        <v>70</v>
      </c>
      <c r="I782">
        <v>180</v>
      </c>
    </row>
    <row r="783" spans="1:9" x14ac:dyDescent="0.3">
      <c r="A783">
        <v>153</v>
      </c>
      <c r="B783" t="s">
        <v>33</v>
      </c>
      <c r="C783" t="s">
        <v>24</v>
      </c>
      <c r="D783">
        <v>2</v>
      </c>
      <c r="E783">
        <v>0</v>
      </c>
      <c r="F783">
        <v>0</v>
      </c>
      <c r="G783">
        <v>3</v>
      </c>
      <c r="H783" t="s">
        <v>75</v>
      </c>
      <c r="I783">
        <v>5</v>
      </c>
    </row>
    <row r="784" spans="1:9" x14ac:dyDescent="0.3">
      <c r="A784">
        <v>154</v>
      </c>
      <c r="B784" t="s">
        <v>7</v>
      </c>
      <c r="C784" t="s">
        <v>11</v>
      </c>
      <c r="D784">
        <v>6</v>
      </c>
      <c r="E784">
        <v>0</v>
      </c>
      <c r="F784">
        <v>0</v>
      </c>
      <c r="G784">
        <v>4</v>
      </c>
      <c r="H784" t="s">
        <v>63</v>
      </c>
      <c r="I784">
        <v>10</v>
      </c>
    </row>
    <row r="785" spans="1:9" x14ac:dyDescent="0.3">
      <c r="A785">
        <v>154</v>
      </c>
      <c r="B785" t="s">
        <v>7</v>
      </c>
      <c r="C785" t="s">
        <v>12</v>
      </c>
      <c r="D785">
        <v>48</v>
      </c>
      <c r="E785">
        <v>12</v>
      </c>
      <c r="F785">
        <v>1</v>
      </c>
      <c r="G785">
        <v>36</v>
      </c>
      <c r="H785" t="s">
        <v>64</v>
      </c>
      <c r="I785">
        <v>97</v>
      </c>
    </row>
    <row r="786" spans="1:9" x14ac:dyDescent="0.3">
      <c r="A786">
        <v>154</v>
      </c>
      <c r="B786" t="s">
        <v>7</v>
      </c>
      <c r="C786" t="s">
        <v>14</v>
      </c>
      <c r="D786">
        <v>31</v>
      </c>
      <c r="E786">
        <v>19</v>
      </c>
      <c r="F786">
        <v>0</v>
      </c>
      <c r="G786">
        <v>42</v>
      </c>
      <c r="H786" t="s">
        <v>62</v>
      </c>
      <c r="I786">
        <v>92</v>
      </c>
    </row>
    <row r="787" spans="1:9" x14ac:dyDescent="0.3">
      <c r="A787">
        <v>154</v>
      </c>
      <c r="B787" t="s">
        <v>7</v>
      </c>
      <c r="C787" t="s">
        <v>15</v>
      </c>
      <c r="D787">
        <v>3</v>
      </c>
      <c r="E787">
        <v>0</v>
      </c>
      <c r="F787">
        <v>0</v>
      </c>
      <c r="G787">
        <v>2</v>
      </c>
      <c r="H787" t="s">
        <v>65</v>
      </c>
      <c r="I787">
        <v>5</v>
      </c>
    </row>
    <row r="788" spans="1:9" x14ac:dyDescent="0.3">
      <c r="A788">
        <v>154</v>
      </c>
      <c r="B788" t="s">
        <v>7</v>
      </c>
      <c r="C788" t="s">
        <v>16</v>
      </c>
      <c r="D788">
        <v>2</v>
      </c>
      <c r="E788">
        <v>2</v>
      </c>
      <c r="F788">
        <v>0</v>
      </c>
      <c r="G788">
        <v>4</v>
      </c>
      <c r="H788" t="s">
        <v>61</v>
      </c>
      <c r="I788">
        <v>8</v>
      </c>
    </row>
    <row r="789" spans="1:9" x14ac:dyDescent="0.3">
      <c r="A789">
        <v>154</v>
      </c>
      <c r="B789" t="s">
        <v>33</v>
      </c>
      <c r="C789" t="s">
        <v>8</v>
      </c>
      <c r="D789">
        <v>0</v>
      </c>
      <c r="E789">
        <v>0</v>
      </c>
      <c r="F789">
        <v>3</v>
      </c>
      <c r="G789">
        <v>0</v>
      </c>
      <c r="H789" t="s">
        <v>8</v>
      </c>
      <c r="I789">
        <v>3</v>
      </c>
    </row>
    <row r="790" spans="1:9" x14ac:dyDescent="0.3">
      <c r="A790">
        <v>154</v>
      </c>
      <c r="B790" t="s">
        <v>33</v>
      </c>
      <c r="C790" t="s">
        <v>9</v>
      </c>
      <c r="D790">
        <v>0</v>
      </c>
      <c r="E790">
        <v>0</v>
      </c>
      <c r="F790">
        <v>71</v>
      </c>
      <c r="G790">
        <v>0</v>
      </c>
      <c r="H790" t="s">
        <v>9</v>
      </c>
      <c r="I790">
        <v>71</v>
      </c>
    </row>
    <row r="791" spans="1:9" x14ac:dyDescent="0.3">
      <c r="A791">
        <v>154</v>
      </c>
      <c r="B791" t="s">
        <v>33</v>
      </c>
      <c r="C791" t="s">
        <v>10</v>
      </c>
      <c r="D791">
        <v>5</v>
      </c>
      <c r="E791">
        <v>0</v>
      </c>
      <c r="F791">
        <v>0</v>
      </c>
      <c r="G791">
        <v>4</v>
      </c>
      <c r="H791" t="s">
        <v>68</v>
      </c>
      <c r="I791">
        <v>9</v>
      </c>
    </row>
    <row r="792" spans="1:9" x14ac:dyDescent="0.3">
      <c r="A792">
        <v>154</v>
      </c>
      <c r="B792" t="s">
        <v>33</v>
      </c>
      <c r="C792" t="s">
        <v>12</v>
      </c>
      <c r="D792">
        <v>13</v>
      </c>
      <c r="E792">
        <v>2</v>
      </c>
      <c r="F792">
        <v>0</v>
      </c>
      <c r="G792">
        <v>9</v>
      </c>
      <c r="H792" t="s">
        <v>64</v>
      </c>
      <c r="I792">
        <v>24</v>
      </c>
    </row>
    <row r="793" spans="1:9" x14ac:dyDescent="0.3">
      <c r="A793">
        <v>154</v>
      </c>
      <c r="B793" t="s">
        <v>33</v>
      </c>
      <c r="C793" t="s">
        <v>14</v>
      </c>
      <c r="D793">
        <v>13</v>
      </c>
      <c r="E793">
        <v>0</v>
      </c>
      <c r="F793">
        <v>0</v>
      </c>
      <c r="G793">
        <v>7</v>
      </c>
      <c r="H793" t="s">
        <v>62</v>
      </c>
      <c r="I793">
        <v>20</v>
      </c>
    </row>
    <row r="794" spans="1:9" x14ac:dyDescent="0.3">
      <c r="A794">
        <v>154</v>
      </c>
      <c r="B794" t="s">
        <v>33</v>
      </c>
      <c r="C794" t="s">
        <v>19</v>
      </c>
      <c r="D794">
        <v>1</v>
      </c>
      <c r="E794">
        <v>0</v>
      </c>
      <c r="F794">
        <v>0</v>
      </c>
      <c r="G794">
        <v>1</v>
      </c>
      <c r="H794" t="s">
        <v>70</v>
      </c>
      <c r="I794">
        <v>2</v>
      </c>
    </row>
    <row r="795" spans="1:9" x14ac:dyDescent="0.3">
      <c r="A795">
        <v>154</v>
      </c>
      <c r="B795" t="s">
        <v>33</v>
      </c>
      <c r="C795" t="s">
        <v>24</v>
      </c>
      <c r="D795">
        <v>8</v>
      </c>
      <c r="E795">
        <v>2</v>
      </c>
      <c r="F795">
        <v>0</v>
      </c>
      <c r="G795">
        <v>6</v>
      </c>
      <c r="H795" t="s">
        <v>75</v>
      </c>
      <c r="I795">
        <v>16</v>
      </c>
    </row>
    <row r="796" spans="1:9" x14ac:dyDescent="0.3">
      <c r="A796">
        <v>155</v>
      </c>
      <c r="B796" t="s">
        <v>7</v>
      </c>
      <c r="C796" t="s">
        <v>11</v>
      </c>
      <c r="D796">
        <v>33</v>
      </c>
      <c r="E796">
        <v>0</v>
      </c>
      <c r="F796">
        <v>1</v>
      </c>
      <c r="G796">
        <v>28</v>
      </c>
      <c r="H796" t="s">
        <v>63</v>
      </c>
      <c r="I796">
        <v>62</v>
      </c>
    </row>
    <row r="797" spans="1:9" x14ac:dyDescent="0.3">
      <c r="A797">
        <v>155</v>
      </c>
      <c r="B797" t="s">
        <v>7</v>
      </c>
      <c r="C797" t="s">
        <v>12</v>
      </c>
      <c r="D797">
        <v>44</v>
      </c>
      <c r="E797">
        <v>12</v>
      </c>
      <c r="F797">
        <v>1</v>
      </c>
      <c r="G797">
        <v>45</v>
      </c>
      <c r="H797" t="s">
        <v>64</v>
      </c>
      <c r="I797">
        <v>102</v>
      </c>
    </row>
    <row r="798" spans="1:9" x14ac:dyDescent="0.3">
      <c r="A798">
        <v>155</v>
      </c>
      <c r="B798" t="s">
        <v>7</v>
      </c>
      <c r="C798" t="s">
        <v>14</v>
      </c>
      <c r="D798">
        <v>20</v>
      </c>
      <c r="E798">
        <v>5</v>
      </c>
      <c r="F798">
        <v>0</v>
      </c>
      <c r="G798">
        <v>34</v>
      </c>
      <c r="H798" t="s">
        <v>62</v>
      </c>
      <c r="I798">
        <v>59</v>
      </c>
    </row>
    <row r="799" spans="1:9" x14ac:dyDescent="0.3">
      <c r="A799">
        <v>155</v>
      </c>
      <c r="B799" t="s">
        <v>7</v>
      </c>
      <c r="C799" t="s">
        <v>15</v>
      </c>
      <c r="D799">
        <v>11</v>
      </c>
      <c r="E799">
        <v>0</v>
      </c>
      <c r="F799">
        <v>0</v>
      </c>
      <c r="G799">
        <v>21</v>
      </c>
      <c r="H799" t="s">
        <v>65</v>
      </c>
      <c r="I799">
        <v>32</v>
      </c>
    </row>
    <row r="800" spans="1:9" x14ac:dyDescent="0.3">
      <c r="A800">
        <v>155</v>
      </c>
      <c r="B800" t="s">
        <v>7</v>
      </c>
      <c r="C800" t="s">
        <v>16</v>
      </c>
      <c r="D800">
        <v>15</v>
      </c>
      <c r="E800">
        <v>0</v>
      </c>
      <c r="F800">
        <v>0</v>
      </c>
      <c r="G800">
        <v>13</v>
      </c>
      <c r="H800" t="s">
        <v>61</v>
      </c>
      <c r="I800">
        <v>28</v>
      </c>
    </row>
    <row r="801" spans="1:9" x14ac:dyDescent="0.3">
      <c r="A801">
        <v>155</v>
      </c>
      <c r="B801" t="s">
        <v>33</v>
      </c>
      <c r="C801" t="s">
        <v>8</v>
      </c>
      <c r="D801">
        <v>0</v>
      </c>
      <c r="E801">
        <v>0</v>
      </c>
      <c r="F801">
        <v>4</v>
      </c>
      <c r="G801">
        <v>0</v>
      </c>
      <c r="H801" t="s">
        <v>8</v>
      </c>
      <c r="I801">
        <v>4</v>
      </c>
    </row>
    <row r="802" spans="1:9" x14ac:dyDescent="0.3">
      <c r="A802">
        <v>155</v>
      </c>
      <c r="B802" t="s">
        <v>33</v>
      </c>
      <c r="C802" t="s">
        <v>9</v>
      </c>
      <c r="D802">
        <v>0</v>
      </c>
      <c r="E802">
        <v>0</v>
      </c>
      <c r="F802">
        <v>55</v>
      </c>
      <c r="G802">
        <v>0</v>
      </c>
      <c r="H802" t="s">
        <v>9</v>
      </c>
      <c r="I802">
        <v>55</v>
      </c>
    </row>
    <row r="803" spans="1:9" x14ac:dyDescent="0.3">
      <c r="A803">
        <v>155</v>
      </c>
      <c r="B803" t="s">
        <v>33</v>
      </c>
      <c r="C803" t="s">
        <v>10</v>
      </c>
      <c r="D803">
        <v>26</v>
      </c>
      <c r="E803">
        <v>6</v>
      </c>
      <c r="F803">
        <v>0</v>
      </c>
      <c r="G803">
        <v>25</v>
      </c>
      <c r="H803" t="s">
        <v>68</v>
      </c>
      <c r="I803">
        <v>57</v>
      </c>
    </row>
    <row r="804" spans="1:9" x14ac:dyDescent="0.3">
      <c r="A804">
        <v>155</v>
      </c>
      <c r="B804" t="s">
        <v>33</v>
      </c>
      <c r="C804" t="s">
        <v>14</v>
      </c>
      <c r="D804">
        <v>6</v>
      </c>
      <c r="E804">
        <v>0</v>
      </c>
      <c r="F804">
        <v>0</v>
      </c>
      <c r="G804">
        <v>12</v>
      </c>
      <c r="H804" t="s">
        <v>62</v>
      </c>
      <c r="I804">
        <v>18</v>
      </c>
    </row>
    <row r="805" spans="1:9" x14ac:dyDescent="0.3">
      <c r="A805">
        <v>155</v>
      </c>
      <c r="B805" t="s">
        <v>33</v>
      </c>
      <c r="C805" t="s">
        <v>19</v>
      </c>
      <c r="D805">
        <v>16</v>
      </c>
      <c r="E805">
        <v>0</v>
      </c>
      <c r="F805">
        <v>0</v>
      </c>
      <c r="G805">
        <v>16</v>
      </c>
      <c r="H805" t="s">
        <v>70</v>
      </c>
      <c r="I805">
        <v>32</v>
      </c>
    </row>
    <row r="806" spans="1:9" x14ac:dyDescent="0.3">
      <c r="A806">
        <v>156</v>
      </c>
      <c r="B806" t="s">
        <v>7</v>
      </c>
      <c r="C806" t="s">
        <v>11</v>
      </c>
      <c r="D806">
        <v>7</v>
      </c>
      <c r="E806">
        <v>0</v>
      </c>
      <c r="F806">
        <v>0</v>
      </c>
      <c r="G806">
        <v>12</v>
      </c>
      <c r="H806" t="s">
        <v>63</v>
      </c>
      <c r="I806">
        <v>19</v>
      </c>
    </row>
    <row r="807" spans="1:9" x14ac:dyDescent="0.3">
      <c r="A807">
        <v>156</v>
      </c>
      <c r="B807" t="s">
        <v>7</v>
      </c>
      <c r="C807" t="s">
        <v>12</v>
      </c>
      <c r="D807">
        <v>15</v>
      </c>
      <c r="E807">
        <v>1</v>
      </c>
      <c r="F807">
        <v>0</v>
      </c>
      <c r="G807">
        <v>25</v>
      </c>
      <c r="H807" t="s">
        <v>64</v>
      </c>
      <c r="I807">
        <v>41</v>
      </c>
    </row>
    <row r="808" spans="1:9" x14ac:dyDescent="0.3">
      <c r="A808">
        <v>156</v>
      </c>
      <c r="B808" t="s">
        <v>7</v>
      </c>
      <c r="C808" t="s">
        <v>14</v>
      </c>
      <c r="D808">
        <v>6</v>
      </c>
      <c r="E808">
        <v>7</v>
      </c>
      <c r="F808">
        <v>0</v>
      </c>
      <c r="G808">
        <v>24</v>
      </c>
      <c r="H808" t="s">
        <v>62</v>
      </c>
      <c r="I808">
        <v>37</v>
      </c>
    </row>
    <row r="809" spans="1:9" x14ac:dyDescent="0.3">
      <c r="A809">
        <v>156</v>
      </c>
      <c r="B809" t="s">
        <v>7</v>
      </c>
      <c r="C809" t="s">
        <v>15</v>
      </c>
      <c r="D809">
        <v>9</v>
      </c>
      <c r="E809">
        <v>0</v>
      </c>
      <c r="F809">
        <v>0</v>
      </c>
      <c r="G809">
        <v>18</v>
      </c>
      <c r="H809" t="s">
        <v>65</v>
      </c>
      <c r="I809">
        <v>27</v>
      </c>
    </row>
    <row r="810" spans="1:9" x14ac:dyDescent="0.3">
      <c r="A810">
        <v>156</v>
      </c>
      <c r="B810" t="s">
        <v>7</v>
      </c>
      <c r="C810" t="s">
        <v>16</v>
      </c>
      <c r="D810">
        <v>8</v>
      </c>
      <c r="E810">
        <v>0</v>
      </c>
      <c r="F810">
        <v>0</v>
      </c>
      <c r="G810">
        <v>8</v>
      </c>
      <c r="H810" t="s">
        <v>61</v>
      </c>
      <c r="I810">
        <v>16</v>
      </c>
    </row>
    <row r="811" spans="1:9" x14ac:dyDescent="0.3">
      <c r="A811">
        <v>156</v>
      </c>
      <c r="B811" t="s">
        <v>33</v>
      </c>
      <c r="C811" t="s">
        <v>8</v>
      </c>
      <c r="D811">
        <v>0</v>
      </c>
      <c r="E811">
        <v>0</v>
      </c>
      <c r="F811">
        <v>3</v>
      </c>
      <c r="G811">
        <v>0</v>
      </c>
      <c r="H811" t="s">
        <v>8</v>
      </c>
      <c r="I811">
        <v>3</v>
      </c>
    </row>
    <row r="812" spans="1:9" x14ac:dyDescent="0.3">
      <c r="A812">
        <v>156</v>
      </c>
      <c r="B812" t="s">
        <v>33</v>
      </c>
      <c r="C812" t="s">
        <v>9</v>
      </c>
      <c r="D812">
        <v>0</v>
      </c>
      <c r="E812">
        <v>0</v>
      </c>
      <c r="F812">
        <v>54</v>
      </c>
      <c r="G812">
        <v>0</v>
      </c>
      <c r="H812" t="s">
        <v>9</v>
      </c>
      <c r="I812">
        <v>54</v>
      </c>
    </row>
    <row r="813" spans="1:9" x14ac:dyDescent="0.3">
      <c r="A813">
        <v>156</v>
      </c>
      <c r="B813" t="s">
        <v>33</v>
      </c>
      <c r="C813" t="s">
        <v>10</v>
      </c>
      <c r="D813">
        <v>18</v>
      </c>
      <c r="E813">
        <v>5</v>
      </c>
      <c r="F813">
        <v>0</v>
      </c>
      <c r="G813">
        <v>22</v>
      </c>
      <c r="H813" t="s">
        <v>68</v>
      </c>
      <c r="I813">
        <v>45</v>
      </c>
    </row>
    <row r="814" spans="1:9" x14ac:dyDescent="0.3">
      <c r="A814">
        <v>156</v>
      </c>
      <c r="B814" t="s">
        <v>33</v>
      </c>
      <c r="C814" t="s">
        <v>12</v>
      </c>
      <c r="D814">
        <v>0</v>
      </c>
      <c r="E814">
        <v>0</v>
      </c>
      <c r="F814">
        <v>0</v>
      </c>
      <c r="G814">
        <v>3</v>
      </c>
      <c r="H814" t="s">
        <v>64</v>
      </c>
      <c r="I814">
        <v>3</v>
      </c>
    </row>
    <row r="815" spans="1:9" x14ac:dyDescent="0.3">
      <c r="A815">
        <v>156</v>
      </c>
      <c r="B815" t="s">
        <v>33</v>
      </c>
      <c r="C815" t="s">
        <v>14</v>
      </c>
      <c r="D815">
        <v>4</v>
      </c>
      <c r="E815">
        <v>0</v>
      </c>
      <c r="F815">
        <v>0</v>
      </c>
      <c r="G815">
        <v>2</v>
      </c>
      <c r="H815" t="s">
        <v>62</v>
      </c>
      <c r="I815">
        <v>6</v>
      </c>
    </row>
    <row r="816" spans="1:9" x14ac:dyDescent="0.3">
      <c r="A816">
        <v>156</v>
      </c>
      <c r="B816" t="s">
        <v>33</v>
      </c>
      <c r="C816" t="s">
        <v>15</v>
      </c>
      <c r="D816">
        <v>0</v>
      </c>
      <c r="E816">
        <v>0</v>
      </c>
      <c r="F816">
        <v>0</v>
      </c>
      <c r="G816">
        <v>2</v>
      </c>
      <c r="H816" t="s">
        <v>65</v>
      </c>
      <c r="I816">
        <v>2</v>
      </c>
    </row>
    <row r="817" spans="1:9" x14ac:dyDescent="0.3">
      <c r="A817">
        <v>156</v>
      </c>
      <c r="B817" t="s">
        <v>33</v>
      </c>
      <c r="C817" t="s">
        <v>19</v>
      </c>
      <c r="D817">
        <v>7</v>
      </c>
      <c r="E817">
        <v>4</v>
      </c>
      <c r="F817">
        <v>0</v>
      </c>
      <c r="G817">
        <v>10</v>
      </c>
      <c r="H817" t="s">
        <v>70</v>
      </c>
      <c r="I817">
        <v>21</v>
      </c>
    </row>
    <row r="818" spans="1:9" x14ac:dyDescent="0.3">
      <c r="A818">
        <v>156</v>
      </c>
      <c r="B818" t="s">
        <v>33</v>
      </c>
      <c r="C818" t="s">
        <v>29</v>
      </c>
      <c r="D818">
        <v>0</v>
      </c>
      <c r="E818">
        <v>0</v>
      </c>
      <c r="F818">
        <v>0</v>
      </c>
      <c r="G818">
        <v>3</v>
      </c>
      <c r="H818" t="s">
        <v>67</v>
      </c>
      <c r="I818">
        <v>3</v>
      </c>
    </row>
    <row r="819" spans="1:9" x14ac:dyDescent="0.3">
      <c r="A819">
        <v>157</v>
      </c>
      <c r="B819" t="s">
        <v>7</v>
      </c>
      <c r="C819" t="s">
        <v>12</v>
      </c>
      <c r="D819">
        <v>17</v>
      </c>
      <c r="E819">
        <v>0</v>
      </c>
      <c r="F819">
        <v>0</v>
      </c>
      <c r="G819">
        <v>20</v>
      </c>
      <c r="H819" t="s">
        <v>64</v>
      </c>
      <c r="I819">
        <v>37</v>
      </c>
    </row>
    <row r="820" spans="1:9" x14ac:dyDescent="0.3">
      <c r="A820">
        <v>157</v>
      </c>
      <c r="B820" t="s">
        <v>7</v>
      </c>
      <c r="C820" t="s">
        <v>14</v>
      </c>
      <c r="D820">
        <v>0</v>
      </c>
      <c r="E820">
        <v>0</v>
      </c>
      <c r="F820">
        <v>2</v>
      </c>
      <c r="G820">
        <v>1</v>
      </c>
      <c r="H820" t="s">
        <v>62</v>
      </c>
      <c r="I820">
        <v>3</v>
      </c>
    </row>
    <row r="821" spans="1:9" x14ac:dyDescent="0.3">
      <c r="A821">
        <v>157</v>
      </c>
      <c r="B821" t="s">
        <v>7</v>
      </c>
      <c r="C821" t="s">
        <v>15</v>
      </c>
      <c r="D821">
        <v>1</v>
      </c>
      <c r="E821">
        <v>0</v>
      </c>
      <c r="F821">
        <v>0</v>
      </c>
      <c r="G821">
        <v>1</v>
      </c>
      <c r="H821" t="s">
        <v>65</v>
      </c>
      <c r="I821">
        <v>2</v>
      </c>
    </row>
    <row r="822" spans="1:9" x14ac:dyDescent="0.3">
      <c r="A822">
        <v>157</v>
      </c>
      <c r="B822" t="s">
        <v>7</v>
      </c>
      <c r="C822" t="s">
        <v>16</v>
      </c>
      <c r="D822">
        <v>28</v>
      </c>
      <c r="E822">
        <v>2</v>
      </c>
      <c r="F822">
        <v>0</v>
      </c>
      <c r="G822">
        <v>31</v>
      </c>
      <c r="H822" t="s">
        <v>61</v>
      </c>
      <c r="I822">
        <v>61</v>
      </c>
    </row>
    <row r="823" spans="1:9" x14ac:dyDescent="0.3">
      <c r="A823">
        <v>157</v>
      </c>
      <c r="B823" t="s">
        <v>33</v>
      </c>
      <c r="C823" t="s">
        <v>8</v>
      </c>
      <c r="D823">
        <v>0</v>
      </c>
      <c r="E823">
        <v>0</v>
      </c>
      <c r="F823">
        <v>4</v>
      </c>
      <c r="G823">
        <v>0</v>
      </c>
      <c r="H823" t="s">
        <v>8</v>
      </c>
      <c r="I823">
        <v>4</v>
      </c>
    </row>
    <row r="824" spans="1:9" x14ac:dyDescent="0.3">
      <c r="A824">
        <v>157</v>
      </c>
      <c r="B824" t="s">
        <v>33</v>
      </c>
      <c r="C824" t="s">
        <v>9</v>
      </c>
      <c r="D824">
        <v>0</v>
      </c>
      <c r="E824">
        <v>0</v>
      </c>
      <c r="F824">
        <v>72</v>
      </c>
      <c r="G824">
        <v>0</v>
      </c>
      <c r="H824" t="s">
        <v>9</v>
      </c>
      <c r="I824">
        <v>72</v>
      </c>
    </row>
    <row r="825" spans="1:9" x14ac:dyDescent="0.3">
      <c r="A825">
        <v>157</v>
      </c>
      <c r="B825" t="s">
        <v>33</v>
      </c>
      <c r="C825" t="s">
        <v>10</v>
      </c>
      <c r="D825">
        <v>5</v>
      </c>
      <c r="E825">
        <v>0</v>
      </c>
      <c r="F825">
        <v>0</v>
      </c>
      <c r="G825">
        <v>12</v>
      </c>
      <c r="H825" t="s">
        <v>68</v>
      </c>
      <c r="I825">
        <v>17</v>
      </c>
    </row>
    <row r="826" spans="1:9" x14ac:dyDescent="0.3">
      <c r="A826">
        <v>157</v>
      </c>
      <c r="B826" t="s">
        <v>33</v>
      </c>
      <c r="C826" t="s">
        <v>11</v>
      </c>
      <c r="D826">
        <v>17</v>
      </c>
      <c r="E826">
        <v>1</v>
      </c>
      <c r="F826">
        <v>0</v>
      </c>
      <c r="G826">
        <v>19</v>
      </c>
      <c r="H826" t="s">
        <v>63</v>
      </c>
      <c r="I826">
        <v>37</v>
      </c>
    </row>
    <row r="827" spans="1:9" x14ac:dyDescent="0.3">
      <c r="A827">
        <v>157</v>
      </c>
      <c r="B827" t="s">
        <v>33</v>
      </c>
      <c r="C827" t="s">
        <v>14</v>
      </c>
      <c r="D827">
        <v>1</v>
      </c>
      <c r="E827">
        <v>0</v>
      </c>
      <c r="F827">
        <v>0</v>
      </c>
      <c r="G827">
        <v>2</v>
      </c>
      <c r="H827" t="s">
        <v>62</v>
      </c>
      <c r="I827">
        <v>3</v>
      </c>
    </row>
    <row r="828" spans="1:9" x14ac:dyDescent="0.3">
      <c r="A828">
        <v>157</v>
      </c>
      <c r="B828" t="s">
        <v>33</v>
      </c>
      <c r="C828" t="s">
        <v>15</v>
      </c>
      <c r="D828">
        <v>7</v>
      </c>
      <c r="E828">
        <v>3</v>
      </c>
      <c r="F828">
        <v>0</v>
      </c>
      <c r="G828">
        <v>9</v>
      </c>
      <c r="H828" t="s">
        <v>65</v>
      </c>
      <c r="I828">
        <v>19</v>
      </c>
    </row>
    <row r="829" spans="1:9" x14ac:dyDescent="0.3">
      <c r="A829">
        <v>157</v>
      </c>
      <c r="B829" t="s">
        <v>33</v>
      </c>
      <c r="C829" t="s">
        <v>19</v>
      </c>
      <c r="D829">
        <v>34</v>
      </c>
      <c r="E829">
        <v>22</v>
      </c>
      <c r="F829">
        <v>0</v>
      </c>
      <c r="G829">
        <v>41</v>
      </c>
      <c r="H829" t="s">
        <v>70</v>
      </c>
      <c r="I829">
        <v>97</v>
      </c>
    </row>
    <row r="830" spans="1:9" x14ac:dyDescent="0.3">
      <c r="A830">
        <v>158</v>
      </c>
      <c r="B830" t="s">
        <v>7</v>
      </c>
      <c r="C830" t="s">
        <v>11</v>
      </c>
      <c r="D830">
        <v>17</v>
      </c>
      <c r="E830">
        <v>1</v>
      </c>
      <c r="F830">
        <v>0</v>
      </c>
      <c r="G830">
        <v>22</v>
      </c>
      <c r="H830" t="s">
        <v>63</v>
      </c>
      <c r="I830">
        <v>40</v>
      </c>
    </row>
    <row r="831" spans="1:9" x14ac:dyDescent="0.3">
      <c r="A831">
        <v>158</v>
      </c>
      <c r="B831" t="s">
        <v>7</v>
      </c>
      <c r="C831" t="s">
        <v>12</v>
      </c>
      <c r="D831">
        <v>4</v>
      </c>
      <c r="E831">
        <v>0</v>
      </c>
      <c r="F831">
        <v>0</v>
      </c>
      <c r="G831">
        <v>2</v>
      </c>
      <c r="H831" t="s">
        <v>64</v>
      </c>
      <c r="I831">
        <v>6</v>
      </c>
    </row>
    <row r="832" spans="1:9" x14ac:dyDescent="0.3">
      <c r="A832">
        <v>158</v>
      </c>
      <c r="B832" t="s">
        <v>7</v>
      </c>
      <c r="C832" t="s">
        <v>14</v>
      </c>
      <c r="D832">
        <v>17</v>
      </c>
      <c r="E832">
        <v>8</v>
      </c>
      <c r="F832">
        <v>0</v>
      </c>
      <c r="G832">
        <v>32</v>
      </c>
      <c r="H832" t="s">
        <v>62</v>
      </c>
      <c r="I832">
        <v>57</v>
      </c>
    </row>
    <row r="833" spans="1:9" x14ac:dyDescent="0.3">
      <c r="A833">
        <v>158</v>
      </c>
      <c r="B833" t="s">
        <v>7</v>
      </c>
      <c r="C833" t="s">
        <v>15</v>
      </c>
      <c r="D833">
        <v>0</v>
      </c>
      <c r="E833">
        <v>0</v>
      </c>
      <c r="F833">
        <v>0</v>
      </c>
      <c r="G833">
        <v>3</v>
      </c>
      <c r="H833" t="s">
        <v>65</v>
      </c>
      <c r="I833">
        <v>3</v>
      </c>
    </row>
    <row r="834" spans="1:9" x14ac:dyDescent="0.3">
      <c r="A834">
        <v>158</v>
      </c>
      <c r="B834" t="s">
        <v>7</v>
      </c>
      <c r="C834" t="s">
        <v>16</v>
      </c>
      <c r="D834">
        <v>15</v>
      </c>
      <c r="E834">
        <v>5</v>
      </c>
      <c r="F834">
        <v>0</v>
      </c>
      <c r="G834">
        <v>19</v>
      </c>
      <c r="H834" t="s">
        <v>61</v>
      </c>
      <c r="I834">
        <v>39</v>
      </c>
    </row>
    <row r="835" spans="1:9" x14ac:dyDescent="0.3">
      <c r="A835">
        <v>158</v>
      </c>
      <c r="B835" t="s">
        <v>7</v>
      </c>
      <c r="C835" t="s">
        <v>22</v>
      </c>
      <c r="D835">
        <v>23</v>
      </c>
      <c r="E835">
        <v>0</v>
      </c>
      <c r="F835">
        <v>0</v>
      </c>
      <c r="G835">
        <v>26</v>
      </c>
      <c r="H835" t="s">
        <v>76</v>
      </c>
      <c r="I835">
        <v>49</v>
      </c>
    </row>
    <row r="836" spans="1:9" x14ac:dyDescent="0.3">
      <c r="A836">
        <v>158</v>
      </c>
      <c r="B836" t="s">
        <v>7</v>
      </c>
      <c r="C836" t="s">
        <v>23</v>
      </c>
      <c r="D836">
        <v>2</v>
      </c>
      <c r="E836">
        <v>0</v>
      </c>
      <c r="F836">
        <v>0</v>
      </c>
      <c r="G836">
        <v>2</v>
      </c>
      <c r="H836" t="s">
        <v>73</v>
      </c>
      <c r="I836">
        <v>4</v>
      </c>
    </row>
    <row r="837" spans="1:9" x14ac:dyDescent="0.3">
      <c r="A837">
        <v>158</v>
      </c>
      <c r="B837" t="s">
        <v>7</v>
      </c>
      <c r="C837" t="s">
        <v>24</v>
      </c>
      <c r="D837">
        <v>12</v>
      </c>
      <c r="E837">
        <v>0</v>
      </c>
      <c r="F837">
        <v>0</v>
      </c>
      <c r="G837">
        <v>12</v>
      </c>
      <c r="H837" t="s">
        <v>75</v>
      </c>
      <c r="I837">
        <v>24</v>
      </c>
    </row>
    <row r="838" spans="1:9" x14ac:dyDescent="0.3">
      <c r="A838">
        <v>158</v>
      </c>
      <c r="B838" t="s">
        <v>33</v>
      </c>
      <c r="C838" t="s">
        <v>8</v>
      </c>
      <c r="D838">
        <v>0</v>
      </c>
      <c r="E838">
        <v>0</v>
      </c>
      <c r="F838">
        <v>5</v>
      </c>
      <c r="G838">
        <v>0</v>
      </c>
      <c r="H838" t="s">
        <v>8</v>
      </c>
      <c r="I838">
        <v>5</v>
      </c>
    </row>
    <row r="839" spans="1:9" x14ac:dyDescent="0.3">
      <c r="A839">
        <v>158</v>
      </c>
      <c r="B839" t="s">
        <v>33</v>
      </c>
      <c r="C839" t="s">
        <v>9</v>
      </c>
      <c r="D839">
        <v>0</v>
      </c>
      <c r="E839">
        <v>0</v>
      </c>
      <c r="F839">
        <v>62</v>
      </c>
      <c r="G839">
        <v>0</v>
      </c>
      <c r="H839" t="s">
        <v>9</v>
      </c>
      <c r="I839">
        <v>62</v>
      </c>
    </row>
    <row r="840" spans="1:9" x14ac:dyDescent="0.3">
      <c r="A840">
        <v>158</v>
      </c>
      <c r="B840" t="s">
        <v>33</v>
      </c>
      <c r="C840" t="s">
        <v>10</v>
      </c>
      <c r="D840">
        <v>0</v>
      </c>
      <c r="E840">
        <v>0</v>
      </c>
      <c r="F840">
        <v>0</v>
      </c>
      <c r="G840">
        <v>6</v>
      </c>
      <c r="H840" t="s">
        <v>68</v>
      </c>
      <c r="I840">
        <v>6</v>
      </c>
    </row>
    <row r="841" spans="1:9" x14ac:dyDescent="0.3">
      <c r="A841">
        <v>158</v>
      </c>
      <c r="B841" t="s">
        <v>33</v>
      </c>
      <c r="C841" t="s">
        <v>11</v>
      </c>
      <c r="D841">
        <v>11</v>
      </c>
      <c r="E841">
        <v>1</v>
      </c>
      <c r="F841">
        <v>0</v>
      </c>
      <c r="G841">
        <v>18</v>
      </c>
      <c r="H841" t="s">
        <v>63</v>
      </c>
      <c r="I841">
        <v>30</v>
      </c>
    </row>
    <row r="842" spans="1:9" x14ac:dyDescent="0.3">
      <c r="A842">
        <v>158</v>
      </c>
      <c r="B842" t="s">
        <v>33</v>
      </c>
      <c r="C842" t="s">
        <v>14</v>
      </c>
      <c r="D842">
        <v>2</v>
      </c>
      <c r="E842">
        <v>2</v>
      </c>
      <c r="F842">
        <v>0</v>
      </c>
      <c r="G842">
        <v>6</v>
      </c>
      <c r="H842" t="s">
        <v>62</v>
      </c>
      <c r="I842">
        <v>10</v>
      </c>
    </row>
    <row r="843" spans="1:9" x14ac:dyDescent="0.3">
      <c r="A843">
        <v>158</v>
      </c>
      <c r="B843" t="s">
        <v>33</v>
      </c>
      <c r="C843" t="s">
        <v>15</v>
      </c>
      <c r="D843">
        <v>2</v>
      </c>
      <c r="E843">
        <v>0</v>
      </c>
      <c r="F843">
        <v>0</v>
      </c>
      <c r="G843">
        <v>4</v>
      </c>
      <c r="H843" t="s">
        <v>65</v>
      </c>
      <c r="I843">
        <v>6</v>
      </c>
    </row>
    <row r="844" spans="1:9" x14ac:dyDescent="0.3">
      <c r="A844">
        <v>158</v>
      </c>
      <c r="B844" t="s">
        <v>33</v>
      </c>
      <c r="C844" t="s">
        <v>19</v>
      </c>
      <c r="D844">
        <v>8</v>
      </c>
      <c r="E844">
        <v>7</v>
      </c>
      <c r="F844">
        <v>7</v>
      </c>
      <c r="G844">
        <v>11</v>
      </c>
      <c r="H844" t="s">
        <v>70</v>
      </c>
      <c r="I844">
        <v>33</v>
      </c>
    </row>
    <row r="845" spans="1:9" x14ac:dyDescent="0.3">
      <c r="A845">
        <v>158</v>
      </c>
      <c r="B845" t="s">
        <v>33</v>
      </c>
      <c r="C845" t="s">
        <v>22</v>
      </c>
      <c r="D845">
        <v>12</v>
      </c>
      <c r="E845">
        <v>0</v>
      </c>
      <c r="F845">
        <v>0</v>
      </c>
      <c r="G845">
        <v>12</v>
      </c>
      <c r="H845" t="s">
        <v>76</v>
      </c>
      <c r="I845">
        <v>24</v>
      </c>
    </row>
    <row r="846" spans="1:9" x14ac:dyDescent="0.3">
      <c r="A846">
        <v>158</v>
      </c>
      <c r="B846" t="s">
        <v>33</v>
      </c>
      <c r="C846" t="s">
        <v>23</v>
      </c>
      <c r="D846">
        <v>8</v>
      </c>
      <c r="E846">
        <v>11</v>
      </c>
      <c r="F846">
        <v>0</v>
      </c>
      <c r="G846">
        <v>12</v>
      </c>
      <c r="H846" t="s">
        <v>73</v>
      </c>
      <c r="I846">
        <v>31</v>
      </c>
    </row>
    <row r="847" spans="1:9" x14ac:dyDescent="0.3">
      <c r="A847">
        <v>158</v>
      </c>
      <c r="B847" t="s">
        <v>33</v>
      </c>
      <c r="C847" t="s">
        <v>24</v>
      </c>
      <c r="D847">
        <v>23</v>
      </c>
      <c r="E847">
        <v>35</v>
      </c>
      <c r="F847">
        <v>0</v>
      </c>
      <c r="G847">
        <v>35</v>
      </c>
      <c r="H847" t="s">
        <v>75</v>
      </c>
      <c r="I847">
        <v>93</v>
      </c>
    </row>
    <row r="848" spans="1:9" x14ac:dyDescent="0.3">
      <c r="A848">
        <v>158</v>
      </c>
      <c r="B848" t="s">
        <v>33</v>
      </c>
      <c r="C848" t="s">
        <v>28</v>
      </c>
      <c r="D848">
        <v>10</v>
      </c>
      <c r="E848">
        <v>2</v>
      </c>
      <c r="F848">
        <v>0</v>
      </c>
      <c r="G848">
        <v>10</v>
      </c>
      <c r="H848" t="s">
        <v>28</v>
      </c>
      <c r="I848">
        <v>22</v>
      </c>
    </row>
    <row r="849" spans="1:9" x14ac:dyDescent="0.3">
      <c r="A849">
        <v>158</v>
      </c>
      <c r="B849" t="s">
        <v>33</v>
      </c>
      <c r="C849" t="s">
        <v>29</v>
      </c>
      <c r="D849">
        <v>12</v>
      </c>
      <c r="E849">
        <v>0</v>
      </c>
      <c r="F849">
        <v>0</v>
      </c>
      <c r="G849">
        <v>5</v>
      </c>
      <c r="H849" t="s">
        <v>67</v>
      </c>
      <c r="I849">
        <v>17</v>
      </c>
    </row>
    <row r="850" spans="1:9" x14ac:dyDescent="0.3">
      <c r="A850">
        <v>159</v>
      </c>
      <c r="B850" t="s">
        <v>7</v>
      </c>
      <c r="C850" t="s">
        <v>11</v>
      </c>
      <c r="D850">
        <v>15</v>
      </c>
      <c r="E850">
        <v>0</v>
      </c>
      <c r="F850">
        <v>0</v>
      </c>
      <c r="G850">
        <v>22</v>
      </c>
      <c r="H850" t="s">
        <v>63</v>
      </c>
      <c r="I850">
        <v>37</v>
      </c>
    </row>
    <row r="851" spans="1:9" x14ac:dyDescent="0.3">
      <c r="A851">
        <v>159</v>
      </c>
      <c r="B851" t="s">
        <v>7</v>
      </c>
      <c r="C851" t="s">
        <v>14</v>
      </c>
      <c r="D851">
        <v>29</v>
      </c>
      <c r="E851">
        <v>1</v>
      </c>
      <c r="F851">
        <v>0</v>
      </c>
      <c r="G851">
        <v>26</v>
      </c>
      <c r="H851" t="s">
        <v>62</v>
      </c>
      <c r="I851">
        <v>56</v>
      </c>
    </row>
    <row r="852" spans="1:9" x14ac:dyDescent="0.3">
      <c r="A852">
        <v>159</v>
      </c>
      <c r="B852" t="s">
        <v>7</v>
      </c>
      <c r="C852" t="s">
        <v>15</v>
      </c>
      <c r="D852">
        <v>9</v>
      </c>
      <c r="E852">
        <v>0</v>
      </c>
      <c r="F852">
        <v>0</v>
      </c>
      <c r="G852">
        <v>16</v>
      </c>
      <c r="H852" t="s">
        <v>65</v>
      </c>
      <c r="I852">
        <v>25</v>
      </c>
    </row>
    <row r="853" spans="1:9" x14ac:dyDescent="0.3">
      <c r="A853">
        <v>159</v>
      </c>
      <c r="B853" t="s">
        <v>7</v>
      </c>
      <c r="C853" t="s">
        <v>16</v>
      </c>
      <c r="D853">
        <v>26</v>
      </c>
      <c r="E853">
        <v>0</v>
      </c>
      <c r="F853">
        <v>0</v>
      </c>
      <c r="G853">
        <v>25</v>
      </c>
      <c r="H853" t="s">
        <v>61</v>
      </c>
      <c r="I853">
        <v>51</v>
      </c>
    </row>
    <row r="854" spans="1:9" x14ac:dyDescent="0.3">
      <c r="A854">
        <v>159</v>
      </c>
      <c r="B854" t="s">
        <v>7</v>
      </c>
      <c r="C854" t="s">
        <v>19</v>
      </c>
      <c r="D854">
        <v>11</v>
      </c>
      <c r="E854">
        <v>3</v>
      </c>
      <c r="F854">
        <v>0</v>
      </c>
      <c r="G854">
        <v>9</v>
      </c>
      <c r="H854" t="s">
        <v>70</v>
      </c>
      <c r="I854">
        <v>23</v>
      </c>
    </row>
    <row r="855" spans="1:9" x14ac:dyDescent="0.3">
      <c r="A855">
        <v>159</v>
      </c>
      <c r="B855" t="s">
        <v>33</v>
      </c>
      <c r="C855" t="s">
        <v>9</v>
      </c>
      <c r="D855">
        <v>0</v>
      </c>
      <c r="E855">
        <v>0</v>
      </c>
      <c r="F855">
        <v>64</v>
      </c>
      <c r="G855">
        <v>0</v>
      </c>
      <c r="H855" t="s">
        <v>9</v>
      </c>
      <c r="I855">
        <v>64</v>
      </c>
    </row>
    <row r="856" spans="1:9" x14ac:dyDescent="0.3">
      <c r="A856">
        <v>159</v>
      </c>
      <c r="B856" t="s">
        <v>33</v>
      </c>
      <c r="C856" t="s">
        <v>11</v>
      </c>
      <c r="D856">
        <v>20</v>
      </c>
      <c r="E856">
        <v>3</v>
      </c>
      <c r="F856">
        <v>0</v>
      </c>
      <c r="G856">
        <v>16</v>
      </c>
      <c r="H856" t="s">
        <v>63</v>
      </c>
      <c r="I856">
        <v>39</v>
      </c>
    </row>
    <row r="857" spans="1:9" x14ac:dyDescent="0.3">
      <c r="A857">
        <v>159</v>
      </c>
      <c r="B857" t="s">
        <v>33</v>
      </c>
      <c r="C857" t="s">
        <v>12</v>
      </c>
      <c r="D857">
        <v>10</v>
      </c>
      <c r="E857">
        <v>0</v>
      </c>
      <c r="F857">
        <v>0</v>
      </c>
      <c r="G857">
        <v>9</v>
      </c>
      <c r="H857" t="s">
        <v>64</v>
      </c>
      <c r="I857">
        <v>19</v>
      </c>
    </row>
    <row r="858" spans="1:9" x14ac:dyDescent="0.3">
      <c r="A858">
        <v>159</v>
      </c>
      <c r="B858" t="s">
        <v>33</v>
      </c>
      <c r="C858" t="s">
        <v>14</v>
      </c>
      <c r="D858">
        <v>35</v>
      </c>
      <c r="E858">
        <v>6</v>
      </c>
      <c r="F858">
        <v>0</v>
      </c>
      <c r="G858">
        <v>39</v>
      </c>
      <c r="H858" t="s">
        <v>62</v>
      </c>
      <c r="I858">
        <v>80</v>
      </c>
    </row>
    <row r="859" spans="1:9" x14ac:dyDescent="0.3">
      <c r="A859">
        <v>159</v>
      </c>
      <c r="B859" t="s">
        <v>33</v>
      </c>
      <c r="C859" t="s">
        <v>15</v>
      </c>
      <c r="D859">
        <v>3</v>
      </c>
      <c r="E859">
        <v>0</v>
      </c>
      <c r="F859">
        <v>0</v>
      </c>
      <c r="G859">
        <v>11</v>
      </c>
      <c r="H859" t="s">
        <v>65</v>
      </c>
      <c r="I859">
        <v>14</v>
      </c>
    </row>
    <row r="860" spans="1:9" x14ac:dyDescent="0.3">
      <c r="A860">
        <v>159</v>
      </c>
      <c r="B860" t="s">
        <v>33</v>
      </c>
      <c r="C860" t="s">
        <v>19</v>
      </c>
      <c r="D860">
        <v>55</v>
      </c>
      <c r="E860">
        <v>27</v>
      </c>
      <c r="F860">
        <v>0</v>
      </c>
      <c r="G860">
        <v>55</v>
      </c>
      <c r="H860" t="s">
        <v>70</v>
      </c>
      <c r="I860">
        <v>137</v>
      </c>
    </row>
    <row r="861" spans="1:9" x14ac:dyDescent="0.3">
      <c r="A861">
        <v>159</v>
      </c>
      <c r="B861" t="s">
        <v>33</v>
      </c>
      <c r="C861" t="s">
        <v>28</v>
      </c>
      <c r="D861">
        <v>3</v>
      </c>
      <c r="E861">
        <v>0</v>
      </c>
      <c r="F861">
        <v>0</v>
      </c>
      <c r="G861">
        <v>1</v>
      </c>
      <c r="H861" t="s">
        <v>28</v>
      </c>
      <c r="I861">
        <v>4</v>
      </c>
    </row>
    <row r="862" spans="1:9" x14ac:dyDescent="0.3">
      <c r="A862">
        <v>159</v>
      </c>
      <c r="B862" t="s">
        <v>33</v>
      </c>
      <c r="C862" t="s">
        <v>29</v>
      </c>
      <c r="D862">
        <v>11</v>
      </c>
      <c r="E862">
        <v>0</v>
      </c>
      <c r="F862">
        <v>0</v>
      </c>
      <c r="G862">
        <v>9</v>
      </c>
      <c r="H862" t="s">
        <v>67</v>
      </c>
      <c r="I862">
        <v>20</v>
      </c>
    </row>
    <row r="863" spans="1:9" x14ac:dyDescent="0.3">
      <c r="A863">
        <v>160</v>
      </c>
      <c r="B863" t="s">
        <v>7</v>
      </c>
      <c r="C863" t="s">
        <v>11</v>
      </c>
      <c r="D863">
        <v>35</v>
      </c>
      <c r="E863">
        <v>6</v>
      </c>
      <c r="F863">
        <v>0</v>
      </c>
      <c r="G863">
        <v>41</v>
      </c>
      <c r="H863" t="s">
        <v>63</v>
      </c>
      <c r="I863">
        <v>82</v>
      </c>
    </row>
    <row r="864" spans="1:9" x14ac:dyDescent="0.3">
      <c r="A864">
        <v>160</v>
      </c>
      <c r="B864" t="s">
        <v>7</v>
      </c>
      <c r="C864" t="s">
        <v>14</v>
      </c>
      <c r="D864">
        <v>17</v>
      </c>
      <c r="E864">
        <v>14</v>
      </c>
      <c r="F864">
        <v>0</v>
      </c>
      <c r="G864">
        <v>27</v>
      </c>
      <c r="H864" t="s">
        <v>62</v>
      </c>
      <c r="I864">
        <v>58</v>
      </c>
    </row>
    <row r="865" spans="1:9" x14ac:dyDescent="0.3">
      <c r="A865">
        <v>160</v>
      </c>
      <c r="B865" t="s">
        <v>7</v>
      </c>
      <c r="C865" t="s">
        <v>15</v>
      </c>
      <c r="D865">
        <v>33</v>
      </c>
      <c r="E865">
        <v>14</v>
      </c>
      <c r="F865">
        <v>0</v>
      </c>
      <c r="G865">
        <v>44</v>
      </c>
      <c r="H865" t="s">
        <v>65</v>
      </c>
      <c r="I865">
        <v>91</v>
      </c>
    </row>
    <row r="866" spans="1:9" x14ac:dyDescent="0.3">
      <c r="A866">
        <v>160</v>
      </c>
      <c r="B866" t="s">
        <v>7</v>
      </c>
      <c r="C866" t="s">
        <v>16</v>
      </c>
      <c r="D866">
        <v>11</v>
      </c>
      <c r="E866">
        <v>3</v>
      </c>
      <c r="F866">
        <v>0</v>
      </c>
      <c r="G866">
        <v>26</v>
      </c>
      <c r="H866" t="s">
        <v>61</v>
      </c>
      <c r="I866">
        <v>40</v>
      </c>
    </row>
    <row r="867" spans="1:9" x14ac:dyDescent="0.3">
      <c r="A867">
        <v>160</v>
      </c>
      <c r="B867" t="s">
        <v>7</v>
      </c>
      <c r="C867" t="s">
        <v>19</v>
      </c>
      <c r="D867">
        <v>33</v>
      </c>
      <c r="E867">
        <v>15</v>
      </c>
      <c r="F867">
        <v>0</v>
      </c>
      <c r="G867">
        <v>38</v>
      </c>
      <c r="H867" t="s">
        <v>70</v>
      </c>
      <c r="I867">
        <v>86</v>
      </c>
    </row>
    <row r="868" spans="1:9" x14ac:dyDescent="0.3">
      <c r="A868">
        <v>160</v>
      </c>
      <c r="B868" t="s">
        <v>33</v>
      </c>
      <c r="C868" t="s">
        <v>8</v>
      </c>
      <c r="D868">
        <v>0</v>
      </c>
      <c r="E868">
        <v>0</v>
      </c>
      <c r="F868">
        <v>3</v>
      </c>
      <c r="G868">
        <v>0</v>
      </c>
      <c r="H868" t="s">
        <v>8</v>
      </c>
      <c r="I868">
        <v>3</v>
      </c>
    </row>
    <row r="869" spans="1:9" x14ac:dyDescent="0.3">
      <c r="A869">
        <v>160</v>
      </c>
      <c r="B869" t="s">
        <v>33</v>
      </c>
      <c r="C869" t="s">
        <v>9</v>
      </c>
      <c r="D869">
        <v>0</v>
      </c>
      <c r="E869">
        <v>0</v>
      </c>
      <c r="F869">
        <v>35</v>
      </c>
      <c r="G869">
        <v>0</v>
      </c>
      <c r="H869" t="s">
        <v>9</v>
      </c>
      <c r="I869">
        <v>35</v>
      </c>
    </row>
    <row r="870" spans="1:9" x14ac:dyDescent="0.3">
      <c r="A870">
        <v>160</v>
      </c>
      <c r="B870" t="s">
        <v>33</v>
      </c>
      <c r="C870" t="s">
        <v>11</v>
      </c>
      <c r="D870">
        <v>0</v>
      </c>
      <c r="E870">
        <v>0</v>
      </c>
      <c r="F870">
        <v>0</v>
      </c>
      <c r="G870">
        <v>4</v>
      </c>
      <c r="H870" t="s">
        <v>63</v>
      </c>
      <c r="I870">
        <v>4</v>
      </c>
    </row>
    <row r="871" spans="1:9" x14ac:dyDescent="0.3">
      <c r="A871">
        <v>160</v>
      </c>
      <c r="B871" t="s">
        <v>33</v>
      </c>
      <c r="C871" t="s">
        <v>14</v>
      </c>
      <c r="D871">
        <v>21</v>
      </c>
      <c r="E871">
        <v>15</v>
      </c>
      <c r="F871">
        <v>0</v>
      </c>
      <c r="G871">
        <v>26</v>
      </c>
      <c r="H871" t="s">
        <v>62</v>
      </c>
      <c r="I871">
        <v>62</v>
      </c>
    </row>
    <row r="872" spans="1:9" x14ac:dyDescent="0.3">
      <c r="A872">
        <v>160</v>
      </c>
      <c r="B872" t="s">
        <v>33</v>
      </c>
      <c r="C872" t="s">
        <v>15</v>
      </c>
      <c r="D872">
        <v>0</v>
      </c>
      <c r="E872">
        <v>0</v>
      </c>
      <c r="F872">
        <v>0</v>
      </c>
      <c r="G872">
        <v>2</v>
      </c>
      <c r="H872" t="s">
        <v>65</v>
      </c>
      <c r="I872">
        <v>2</v>
      </c>
    </row>
    <row r="873" spans="1:9" x14ac:dyDescent="0.3">
      <c r="A873">
        <v>160</v>
      </c>
      <c r="B873" t="s">
        <v>33</v>
      </c>
      <c r="C873" t="s">
        <v>16</v>
      </c>
      <c r="D873">
        <v>6</v>
      </c>
      <c r="E873">
        <v>0</v>
      </c>
      <c r="F873">
        <v>0</v>
      </c>
      <c r="G873">
        <v>4</v>
      </c>
      <c r="H873" t="s">
        <v>61</v>
      </c>
      <c r="I873">
        <v>10</v>
      </c>
    </row>
    <row r="874" spans="1:9" x14ac:dyDescent="0.3">
      <c r="A874">
        <v>161</v>
      </c>
      <c r="B874" t="s">
        <v>33</v>
      </c>
      <c r="C874" t="s">
        <v>8</v>
      </c>
      <c r="D874">
        <v>0</v>
      </c>
      <c r="E874">
        <v>0</v>
      </c>
      <c r="F874">
        <v>3</v>
      </c>
      <c r="G874">
        <v>0</v>
      </c>
      <c r="H874" t="s">
        <v>8</v>
      </c>
      <c r="I874">
        <v>3</v>
      </c>
    </row>
    <row r="875" spans="1:9" x14ac:dyDescent="0.3">
      <c r="A875">
        <v>161</v>
      </c>
      <c r="B875" t="s">
        <v>33</v>
      </c>
      <c r="C875" t="s">
        <v>9</v>
      </c>
      <c r="D875">
        <v>0</v>
      </c>
      <c r="E875">
        <v>0</v>
      </c>
      <c r="F875">
        <v>53</v>
      </c>
      <c r="G875">
        <v>0</v>
      </c>
      <c r="H875" t="s">
        <v>9</v>
      </c>
      <c r="I875">
        <v>53</v>
      </c>
    </row>
    <row r="876" spans="1:9" x14ac:dyDescent="0.3">
      <c r="A876">
        <v>161</v>
      </c>
      <c r="B876" t="s">
        <v>33</v>
      </c>
      <c r="C876" t="s">
        <v>10</v>
      </c>
      <c r="D876">
        <v>51</v>
      </c>
      <c r="E876">
        <v>33</v>
      </c>
      <c r="F876">
        <v>2</v>
      </c>
      <c r="G876">
        <v>59</v>
      </c>
      <c r="H876" t="s">
        <v>68</v>
      </c>
      <c r="I876">
        <v>145</v>
      </c>
    </row>
    <row r="877" spans="1:9" x14ac:dyDescent="0.3">
      <c r="A877">
        <v>161</v>
      </c>
      <c r="B877" t="s">
        <v>33</v>
      </c>
      <c r="C877" t="s">
        <v>11</v>
      </c>
      <c r="D877">
        <v>4</v>
      </c>
      <c r="E877">
        <v>2</v>
      </c>
      <c r="F877">
        <v>0</v>
      </c>
      <c r="G877">
        <v>6</v>
      </c>
      <c r="H877" t="s">
        <v>63</v>
      </c>
      <c r="I877">
        <v>12</v>
      </c>
    </row>
    <row r="878" spans="1:9" x14ac:dyDescent="0.3">
      <c r="A878">
        <v>161</v>
      </c>
      <c r="B878" t="s">
        <v>33</v>
      </c>
      <c r="C878" t="s">
        <v>12</v>
      </c>
      <c r="D878">
        <v>25</v>
      </c>
      <c r="E878">
        <v>2</v>
      </c>
      <c r="F878">
        <v>0</v>
      </c>
      <c r="G878">
        <v>19</v>
      </c>
      <c r="H878" t="s">
        <v>64</v>
      </c>
      <c r="I878">
        <v>46</v>
      </c>
    </row>
    <row r="879" spans="1:9" x14ac:dyDescent="0.3">
      <c r="A879">
        <v>161</v>
      </c>
      <c r="B879" t="s">
        <v>33</v>
      </c>
      <c r="C879" t="s">
        <v>14</v>
      </c>
      <c r="D879">
        <v>19</v>
      </c>
      <c r="E879">
        <v>0</v>
      </c>
      <c r="F879">
        <v>0</v>
      </c>
      <c r="G879">
        <v>16</v>
      </c>
      <c r="H879" t="s">
        <v>62</v>
      </c>
      <c r="I879">
        <v>35</v>
      </c>
    </row>
    <row r="880" spans="1:9" x14ac:dyDescent="0.3">
      <c r="A880">
        <v>161</v>
      </c>
      <c r="B880" t="s">
        <v>33</v>
      </c>
      <c r="C880" t="s">
        <v>15</v>
      </c>
      <c r="D880">
        <v>1</v>
      </c>
      <c r="E880">
        <v>0</v>
      </c>
      <c r="F880">
        <v>0</v>
      </c>
      <c r="G880">
        <v>8</v>
      </c>
      <c r="H880" t="s">
        <v>65</v>
      </c>
      <c r="I880">
        <v>9</v>
      </c>
    </row>
    <row r="881" spans="1:9" x14ac:dyDescent="0.3">
      <c r="A881">
        <v>161</v>
      </c>
      <c r="B881" t="s">
        <v>33</v>
      </c>
      <c r="C881" t="s">
        <v>16</v>
      </c>
      <c r="D881">
        <v>3</v>
      </c>
      <c r="E881">
        <v>0</v>
      </c>
      <c r="F881">
        <v>0</v>
      </c>
      <c r="G881">
        <v>7</v>
      </c>
      <c r="H881" t="s">
        <v>61</v>
      </c>
      <c r="I881">
        <v>10</v>
      </c>
    </row>
    <row r="882" spans="1:9" x14ac:dyDescent="0.3">
      <c r="A882">
        <v>161</v>
      </c>
      <c r="B882" t="s">
        <v>33</v>
      </c>
      <c r="C882" t="s">
        <v>19</v>
      </c>
      <c r="D882">
        <v>4</v>
      </c>
      <c r="E882">
        <v>0</v>
      </c>
      <c r="F882">
        <v>0</v>
      </c>
      <c r="G882">
        <v>6</v>
      </c>
      <c r="H882" t="s">
        <v>70</v>
      </c>
      <c r="I882">
        <v>10</v>
      </c>
    </row>
    <row r="883" spans="1:9" x14ac:dyDescent="0.3">
      <c r="A883">
        <v>161</v>
      </c>
      <c r="B883" t="s">
        <v>33</v>
      </c>
      <c r="C883" t="s">
        <v>20</v>
      </c>
      <c r="D883">
        <v>46</v>
      </c>
      <c r="E883">
        <v>1</v>
      </c>
      <c r="F883">
        <v>0</v>
      </c>
      <c r="G883">
        <v>37</v>
      </c>
      <c r="H883" t="s">
        <v>60</v>
      </c>
      <c r="I883">
        <v>84</v>
      </c>
    </row>
    <row r="884" spans="1:9" x14ac:dyDescent="0.3">
      <c r="A884">
        <v>161</v>
      </c>
      <c r="B884" t="s">
        <v>33</v>
      </c>
      <c r="C884" t="s">
        <v>24</v>
      </c>
      <c r="D884">
        <v>0</v>
      </c>
      <c r="E884">
        <v>0</v>
      </c>
      <c r="F884">
        <v>0</v>
      </c>
      <c r="G884">
        <v>2</v>
      </c>
      <c r="H884" t="s">
        <v>75</v>
      </c>
      <c r="I884">
        <v>2</v>
      </c>
    </row>
    <row r="885" spans="1:9" x14ac:dyDescent="0.3">
      <c r="A885">
        <v>161</v>
      </c>
      <c r="B885" t="s">
        <v>33</v>
      </c>
      <c r="C885" t="s">
        <v>28</v>
      </c>
      <c r="D885">
        <v>5</v>
      </c>
      <c r="E885">
        <v>0</v>
      </c>
      <c r="F885">
        <v>0</v>
      </c>
      <c r="G885">
        <v>4</v>
      </c>
      <c r="H885" t="s">
        <v>28</v>
      </c>
      <c r="I885">
        <v>9</v>
      </c>
    </row>
    <row r="886" spans="1:9" x14ac:dyDescent="0.3">
      <c r="A886">
        <v>162</v>
      </c>
      <c r="B886" t="s">
        <v>33</v>
      </c>
      <c r="C886" t="s">
        <v>8</v>
      </c>
      <c r="D886">
        <v>0</v>
      </c>
      <c r="E886">
        <v>0</v>
      </c>
      <c r="F886">
        <v>3</v>
      </c>
      <c r="G886">
        <v>0</v>
      </c>
      <c r="H886" t="s">
        <v>8</v>
      </c>
      <c r="I886">
        <v>3</v>
      </c>
    </row>
    <row r="887" spans="1:9" x14ac:dyDescent="0.3">
      <c r="A887">
        <v>162</v>
      </c>
      <c r="B887" t="s">
        <v>33</v>
      </c>
      <c r="C887" t="s">
        <v>11</v>
      </c>
      <c r="D887">
        <v>38</v>
      </c>
      <c r="E887">
        <v>33</v>
      </c>
      <c r="F887">
        <v>153</v>
      </c>
      <c r="G887">
        <v>85</v>
      </c>
      <c r="H887" t="s">
        <v>63</v>
      </c>
      <c r="I887">
        <v>309</v>
      </c>
    </row>
    <row r="888" spans="1:9" x14ac:dyDescent="0.3">
      <c r="A888">
        <v>162</v>
      </c>
      <c r="B888" t="s">
        <v>33</v>
      </c>
      <c r="C888" t="s">
        <v>12</v>
      </c>
      <c r="D888">
        <v>1</v>
      </c>
      <c r="E888">
        <v>0</v>
      </c>
      <c r="F888">
        <v>0</v>
      </c>
      <c r="G888">
        <v>7</v>
      </c>
      <c r="H888" t="s">
        <v>64</v>
      </c>
      <c r="I888">
        <v>8</v>
      </c>
    </row>
    <row r="889" spans="1:9" x14ac:dyDescent="0.3">
      <c r="A889">
        <v>162</v>
      </c>
      <c r="B889" t="s">
        <v>33</v>
      </c>
      <c r="C889" t="s">
        <v>14</v>
      </c>
      <c r="D889">
        <v>4</v>
      </c>
      <c r="E889">
        <v>3</v>
      </c>
      <c r="F889">
        <v>0</v>
      </c>
      <c r="G889">
        <v>9</v>
      </c>
      <c r="H889" t="s">
        <v>62</v>
      </c>
      <c r="I889">
        <v>16</v>
      </c>
    </row>
    <row r="890" spans="1:9" x14ac:dyDescent="0.3">
      <c r="A890">
        <v>162</v>
      </c>
      <c r="B890" t="s">
        <v>33</v>
      </c>
      <c r="C890" t="s">
        <v>15</v>
      </c>
      <c r="D890">
        <v>1</v>
      </c>
      <c r="E890">
        <v>0</v>
      </c>
      <c r="F890">
        <v>0</v>
      </c>
      <c r="G890">
        <v>8</v>
      </c>
      <c r="H890" t="s">
        <v>65</v>
      </c>
      <c r="I890">
        <v>9</v>
      </c>
    </row>
    <row r="891" spans="1:9" x14ac:dyDescent="0.3">
      <c r="A891">
        <v>162</v>
      </c>
      <c r="B891" t="s">
        <v>33</v>
      </c>
      <c r="C891" t="s">
        <v>16</v>
      </c>
      <c r="D891">
        <v>0</v>
      </c>
      <c r="E891">
        <v>0</v>
      </c>
      <c r="F891">
        <v>0</v>
      </c>
      <c r="G891">
        <v>6</v>
      </c>
      <c r="H891" t="s">
        <v>61</v>
      </c>
      <c r="I891">
        <v>6</v>
      </c>
    </row>
    <row r="892" spans="1:9" x14ac:dyDescent="0.3">
      <c r="A892">
        <v>162</v>
      </c>
      <c r="B892" t="s">
        <v>33</v>
      </c>
      <c r="C892" t="s">
        <v>19</v>
      </c>
      <c r="D892">
        <v>4</v>
      </c>
      <c r="E892">
        <v>0</v>
      </c>
      <c r="F892">
        <v>0</v>
      </c>
      <c r="G892">
        <v>11</v>
      </c>
      <c r="H892" t="s">
        <v>70</v>
      </c>
      <c r="I892">
        <v>15</v>
      </c>
    </row>
    <row r="893" spans="1:9" x14ac:dyDescent="0.3">
      <c r="A893">
        <v>162</v>
      </c>
      <c r="B893" t="s">
        <v>33</v>
      </c>
      <c r="C893" t="s">
        <v>24</v>
      </c>
      <c r="D893">
        <v>4</v>
      </c>
      <c r="E893">
        <v>0</v>
      </c>
      <c r="F893">
        <v>0</v>
      </c>
      <c r="G893">
        <v>7</v>
      </c>
      <c r="H893" t="s">
        <v>75</v>
      </c>
      <c r="I893">
        <v>11</v>
      </c>
    </row>
    <row r="894" spans="1:9" x14ac:dyDescent="0.3">
      <c r="A894">
        <v>163</v>
      </c>
      <c r="B894" t="s">
        <v>7</v>
      </c>
      <c r="C894" t="s">
        <v>11</v>
      </c>
      <c r="D894">
        <v>1</v>
      </c>
      <c r="E894">
        <v>0</v>
      </c>
      <c r="F894">
        <v>0</v>
      </c>
      <c r="G894">
        <v>1</v>
      </c>
      <c r="H894" t="s">
        <v>63</v>
      </c>
      <c r="I894">
        <v>2</v>
      </c>
    </row>
    <row r="895" spans="1:9" x14ac:dyDescent="0.3">
      <c r="A895">
        <v>163</v>
      </c>
      <c r="B895" t="s">
        <v>7</v>
      </c>
      <c r="C895" t="s">
        <v>12</v>
      </c>
      <c r="D895">
        <v>11</v>
      </c>
      <c r="E895">
        <v>6</v>
      </c>
      <c r="F895">
        <v>0</v>
      </c>
      <c r="G895">
        <v>12</v>
      </c>
      <c r="H895" t="s">
        <v>64</v>
      </c>
      <c r="I895">
        <v>29</v>
      </c>
    </row>
    <row r="896" spans="1:9" x14ac:dyDescent="0.3">
      <c r="A896">
        <v>163</v>
      </c>
      <c r="B896" t="s">
        <v>7</v>
      </c>
      <c r="C896" t="s">
        <v>14</v>
      </c>
      <c r="D896">
        <v>0</v>
      </c>
      <c r="E896">
        <v>0</v>
      </c>
      <c r="F896">
        <v>0</v>
      </c>
      <c r="G896">
        <v>1</v>
      </c>
      <c r="H896" t="s">
        <v>62</v>
      </c>
      <c r="I896">
        <v>1</v>
      </c>
    </row>
    <row r="897" spans="1:9" x14ac:dyDescent="0.3">
      <c r="A897">
        <v>163</v>
      </c>
      <c r="B897" t="s">
        <v>7</v>
      </c>
      <c r="C897" t="s">
        <v>15</v>
      </c>
      <c r="D897">
        <v>0</v>
      </c>
      <c r="E897">
        <v>0</v>
      </c>
      <c r="F897">
        <v>0</v>
      </c>
      <c r="G897">
        <v>1</v>
      </c>
      <c r="H897" t="s">
        <v>65</v>
      </c>
      <c r="I897">
        <v>1</v>
      </c>
    </row>
    <row r="898" spans="1:9" x14ac:dyDescent="0.3">
      <c r="A898">
        <v>163</v>
      </c>
      <c r="B898" t="s">
        <v>7</v>
      </c>
      <c r="C898" t="s">
        <v>29</v>
      </c>
      <c r="D898">
        <v>8</v>
      </c>
      <c r="E898">
        <v>0</v>
      </c>
      <c r="F898">
        <v>0</v>
      </c>
      <c r="G898">
        <v>4</v>
      </c>
      <c r="H898" t="s">
        <v>67</v>
      </c>
      <c r="I898">
        <v>12</v>
      </c>
    </row>
    <row r="899" spans="1:9" x14ac:dyDescent="0.3">
      <c r="A899">
        <v>163</v>
      </c>
      <c r="B899" t="s">
        <v>33</v>
      </c>
      <c r="C899" t="s">
        <v>8</v>
      </c>
      <c r="D899">
        <v>0</v>
      </c>
      <c r="E899">
        <v>0</v>
      </c>
      <c r="F899">
        <v>1</v>
      </c>
      <c r="G899">
        <v>0</v>
      </c>
      <c r="H899" t="s">
        <v>8</v>
      </c>
      <c r="I899">
        <v>1</v>
      </c>
    </row>
    <row r="900" spans="1:9" x14ac:dyDescent="0.3">
      <c r="A900">
        <v>163</v>
      </c>
      <c r="B900" t="s">
        <v>33</v>
      </c>
      <c r="C900" t="s">
        <v>9</v>
      </c>
      <c r="D900">
        <v>0</v>
      </c>
      <c r="E900">
        <v>0</v>
      </c>
      <c r="F900">
        <v>37</v>
      </c>
      <c r="G900">
        <v>0</v>
      </c>
      <c r="H900" t="s">
        <v>9</v>
      </c>
      <c r="I900">
        <v>37</v>
      </c>
    </row>
    <row r="901" spans="1:9" x14ac:dyDescent="0.3">
      <c r="A901">
        <v>163</v>
      </c>
      <c r="B901" t="s">
        <v>33</v>
      </c>
      <c r="C901" t="s">
        <v>10</v>
      </c>
      <c r="D901">
        <v>1</v>
      </c>
      <c r="E901">
        <v>0</v>
      </c>
      <c r="F901">
        <v>0</v>
      </c>
      <c r="G901">
        <v>3</v>
      </c>
      <c r="H901" t="s">
        <v>68</v>
      </c>
      <c r="I901">
        <v>4</v>
      </c>
    </row>
    <row r="902" spans="1:9" x14ac:dyDescent="0.3">
      <c r="A902">
        <v>163</v>
      </c>
      <c r="B902" t="s">
        <v>33</v>
      </c>
      <c r="C902" t="s">
        <v>11</v>
      </c>
      <c r="D902">
        <v>36</v>
      </c>
      <c r="E902">
        <v>4</v>
      </c>
      <c r="F902">
        <v>37</v>
      </c>
      <c r="G902">
        <v>33</v>
      </c>
      <c r="H902" t="s">
        <v>63</v>
      </c>
      <c r="I902">
        <v>110</v>
      </c>
    </row>
    <row r="903" spans="1:9" x14ac:dyDescent="0.3">
      <c r="A903">
        <v>163</v>
      </c>
      <c r="B903" t="s">
        <v>33</v>
      </c>
      <c r="C903" t="s">
        <v>12</v>
      </c>
      <c r="D903">
        <v>21</v>
      </c>
      <c r="E903">
        <v>17</v>
      </c>
      <c r="F903">
        <v>0</v>
      </c>
      <c r="G903">
        <v>22</v>
      </c>
      <c r="H903" t="s">
        <v>64</v>
      </c>
      <c r="I903">
        <v>60</v>
      </c>
    </row>
    <row r="904" spans="1:9" x14ac:dyDescent="0.3">
      <c r="A904">
        <v>163</v>
      </c>
      <c r="B904" t="s">
        <v>33</v>
      </c>
      <c r="C904" t="s">
        <v>14</v>
      </c>
      <c r="D904">
        <v>7</v>
      </c>
      <c r="E904">
        <v>7</v>
      </c>
      <c r="F904">
        <v>0</v>
      </c>
      <c r="G904">
        <v>11</v>
      </c>
      <c r="H904" t="s">
        <v>62</v>
      </c>
      <c r="I904">
        <v>25</v>
      </c>
    </row>
    <row r="905" spans="1:9" x14ac:dyDescent="0.3">
      <c r="A905">
        <v>163</v>
      </c>
      <c r="B905" t="s">
        <v>33</v>
      </c>
      <c r="C905" t="s">
        <v>15</v>
      </c>
      <c r="D905">
        <v>6</v>
      </c>
      <c r="E905">
        <v>2</v>
      </c>
      <c r="F905">
        <v>0</v>
      </c>
      <c r="G905">
        <v>13</v>
      </c>
      <c r="H905" t="s">
        <v>65</v>
      </c>
      <c r="I905">
        <v>21</v>
      </c>
    </row>
    <row r="906" spans="1:9" x14ac:dyDescent="0.3">
      <c r="A906">
        <v>163</v>
      </c>
      <c r="B906" t="s">
        <v>33</v>
      </c>
      <c r="C906" t="s">
        <v>16</v>
      </c>
      <c r="D906">
        <v>2</v>
      </c>
      <c r="E906">
        <v>4</v>
      </c>
      <c r="F906">
        <v>0</v>
      </c>
      <c r="G906">
        <v>4</v>
      </c>
      <c r="H906" t="s">
        <v>61</v>
      </c>
      <c r="I906">
        <v>10</v>
      </c>
    </row>
    <row r="907" spans="1:9" x14ac:dyDescent="0.3">
      <c r="A907">
        <v>163</v>
      </c>
      <c r="B907" t="s">
        <v>33</v>
      </c>
      <c r="C907" t="s">
        <v>19</v>
      </c>
      <c r="D907">
        <v>9</v>
      </c>
      <c r="E907">
        <v>21</v>
      </c>
      <c r="F907">
        <v>0</v>
      </c>
      <c r="G907">
        <v>15</v>
      </c>
      <c r="H907" t="s">
        <v>70</v>
      </c>
      <c r="I907">
        <v>45</v>
      </c>
    </row>
    <row r="908" spans="1:9" x14ac:dyDescent="0.3">
      <c r="A908">
        <v>163</v>
      </c>
      <c r="B908" t="s">
        <v>33</v>
      </c>
      <c r="C908" t="s">
        <v>24</v>
      </c>
      <c r="D908">
        <v>16</v>
      </c>
      <c r="E908">
        <v>0</v>
      </c>
      <c r="F908">
        <v>0</v>
      </c>
      <c r="G908">
        <v>24</v>
      </c>
      <c r="H908" t="s">
        <v>75</v>
      </c>
      <c r="I908">
        <v>40</v>
      </c>
    </row>
    <row r="909" spans="1:9" x14ac:dyDescent="0.3">
      <c r="A909">
        <v>163</v>
      </c>
      <c r="B909" t="s">
        <v>33</v>
      </c>
      <c r="C909" t="s">
        <v>28</v>
      </c>
      <c r="D909">
        <v>7</v>
      </c>
      <c r="E909">
        <v>0</v>
      </c>
      <c r="F909">
        <v>0</v>
      </c>
      <c r="G909">
        <v>3</v>
      </c>
      <c r="H909" t="s">
        <v>28</v>
      </c>
      <c r="I909">
        <v>10</v>
      </c>
    </row>
    <row r="910" spans="1:9" x14ac:dyDescent="0.3">
      <c r="A910">
        <v>164</v>
      </c>
      <c r="B910" t="s">
        <v>7</v>
      </c>
      <c r="C910" t="s">
        <v>11</v>
      </c>
      <c r="D910">
        <v>27</v>
      </c>
      <c r="E910">
        <v>1</v>
      </c>
      <c r="F910">
        <v>0</v>
      </c>
      <c r="G910">
        <v>17</v>
      </c>
      <c r="H910" t="s">
        <v>63</v>
      </c>
      <c r="I910">
        <v>45</v>
      </c>
    </row>
    <row r="911" spans="1:9" x14ac:dyDescent="0.3">
      <c r="A911">
        <v>164</v>
      </c>
      <c r="B911" t="s">
        <v>7</v>
      </c>
      <c r="C911" t="s">
        <v>12</v>
      </c>
      <c r="D911">
        <v>32</v>
      </c>
      <c r="E911">
        <v>8</v>
      </c>
      <c r="F911">
        <v>0</v>
      </c>
      <c r="G911">
        <v>32</v>
      </c>
      <c r="H911" t="s">
        <v>64</v>
      </c>
      <c r="I911">
        <v>72</v>
      </c>
    </row>
    <row r="912" spans="1:9" x14ac:dyDescent="0.3">
      <c r="A912">
        <v>164</v>
      </c>
      <c r="B912" t="s">
        <v>7</v>
      </c>
      <c r="C912" t="s">
        <v>14</v>
      </c>
      <c r="D912">
        <v>25</v>
      </c>
      <c r="E912">
        <v>13</v>
      </c>
      <c r="F912">
        <v>0</v>
      </c>
      <c r="G912">
        <v>22</v>
      </c>
      <c r="H912" t="s">
        <v>62</v>
      </c>
      <c r="I912">
        <v>60</v>
      </c>
    </row>
    <row r="913" spans="1:9" x14ac:dyDescent="0.3">
      <c r="A913">
        <v>164</v>
      </c>
      <c r="B913" t="s">
        <v>7</v>
      </c>
      <c r="C913" t="s">
        <v>15</v>
      </c>
      <c r="D913">
        <v>6</v>
      </c>
      <c r="E913">
        <v>3</v>
      </c>
      <c r="F913">
        <v>0</v>
      </c>
      <c r="G913">
        <v>17</v>
      </c>
      <c r="H913" t="s">
        <v>65</v>
      </c>
      <c r="I913">
        <v>26</v>
      </c>
    </row>
    <row r="914" spans="1:9" x14ac:dyDescent="0.3">
      <c r="A914">
        <v>164</v>
      </c>
      <c r="B914" t="s">
        <v>7</v>
      </c>
      <c r="C914" t="s">
        <v>16</v>
      </c>
      <c r="D914">
        <v>19</v>
      </c>
      <c r="E914">
        <v>0</v>
      </c>
      <c r="F914">
        <v>0</v>
      </c>
      <c r="G914">
        <v>16</v>
      </c>
      <c r="H914" t="s">
        <v>61</v>
      </c>
      <c r="I914">
        <v>35</v>
      </c>
    </row>
    <row r="915" spans="1:9" x14ac:dyDescent="0.3">
      <c r="A915">
        <v>164</v>
      </c>
      <c r="B915" t="s">
        <v>7</v>
      </c>
      <c r="C915" t="s">
        <v>24</v>
      </c>
      <c r="D915">
        <v>24</v>
      </c>
      <c r="E915">
        <v>0</v>
      </c>
      <c r="F915">
        <v>0</v>
      </c>
      <c r="G915">
        <v>17</v>
      </c>
      <c r="H915" t="s">
        <v>75</v>
      </c>
      <c r="I915">
        <v>41</v>
      </c>
    </row>
    <row r="916" spans="1:9" x14ac:dyDescent="0.3">
      <c r="A916">
        <v>164</v>
      </c>
      <c r="B916" t="s">
        <v>33</v>
      </c>
      <c r="C916" t="s">
        <v>8</v>
      </c>
      <c r="D916">
        <v>0</v>
      </c>
      <c r="E916">
        <v>0</v>
      </c>
      <c r="F916">
        <v>1</v>
      </c>
      <c r="G916">
        <v>0</v>
      </c>
      <c r="H916" t="s">
        <v>8</v>
      </c>
      <c r="I916">
        <v>1</v>
      </c>
    </row>
    <row r="917" spans="1:9" x14ac:dyDescent="0.3">
      <c r="A917">
        <v>164</v>
      </c>
      <c r="B917" t="s">
        <v>33</v>
      </c>
      <c r="C917" t="s">
        <v>9</v>
      </c>
      <c r="D917">
        <v>0</v>
      </c>
      <c r="E917">
        <v>0</v>
      </c>
      <c r="F917">
        <v>42</v>
      </c>
      <c r="G917">
        <v>0</v>
      </c>
      <c r="H917" t="s">
        <v>9</v>
      </c>
      <c r="I917">
        <v>42</v>
      </c>
    </row>
    <row r="918" spans="1:9" x14ac:dyDescent="0.3">
      <c r="A918">
        <v>164</v>
      </c>
      <c r="B918" t="s">
        <v>33</v>
      </c>
      <c r="C918" t="s">
        <v>10</v>
      </c>
      <c r="D918">
        <v>9</v>
      </c>
      <c r="E918">
        <v>5</v>
      </c>
      <c r="F918">
        <v>0</v>
      </c>
      <c r="G918">
        <v>8</v>
      </c>
      <c r="H918" t="s">
        <v>68</v>
      </c>
      <c r="I918">
        <v>22</v>
      </c>
    </row>
    <row r="919" spans="1:9" x14ac:dyDescent="0.3">
      <c r="A919">
        <v>164</v>
      </c>
      <c r="B919" t="s">
        <v>33</v>
      </c>
      <c r="C919" t="s">
        <v>19</v>
      </c>
      <c r="D919">
        <v>31</v>
      </c>
      <c r="E919">
        <v>10</v>
      </c>
      <c r="F919">
        <v>0</v>
      </c>
      <c r="G919">
        <v>23</v>
      </c>
      <c r="H919" t="s">
        <v>70</v>
      </c>
      <c r="I919">
        <v>64</v>
      </c>
    </row>
    <row r="920" spans="1:9" x14ac:dyDescent="0.3">
      <c r="A920">
        <v>164</v>
      </c>
      <c r="B920" t="s">
        <v>33</v>
      </c>
      <c r="C920" t="s">
        <v>24</v>
      </c>
      <c r="D920">
        <v>5</v>
      </c>
      <c r="E920">
        <v>5</v>
      </c>
      <c r="F920">
        <v>0</v>
      </c>
      <c r="G920">
        <v>9</v>
      </c>
      <c r="H920" t="s">
        <v>75</v>
      </c>
      <c r="I920">
        <v>19</v>
      </c>
    </row>
    <row r="921" spans="1:9" x14ac:dyDescent="0.3">
      <c r="A921">
        <v>165</v>
      </c>
      <c r="B921" t="s">
        <v>7</v>
      </c>
      <c r="C921" t="s">
        <v>11</v>
      </c>
      <c r="D921">
        <v>45</v>
      </c>
      <c r="E921">
        <v>3</v>
      </c>
      <c r="F921">
        <v>0</v>
      </c>
      <c r="G921">
        <v>26</v>
      </c>
      <c r="H921" t="s">
        <v>63</v>
      </c>
      <c r="I921">
        <v>74</v>
      </c>
    </row>
    <row r="922" spans="1:9" x14ac:dyDescent="0.3">
      <c r="A922">
        <v>165</v>
      </c>
      <c r="B922" t="s">
        <v>7</v>
      </c>
      <c r="C922" t="s">
        <v>12</v>
      </c>
      <c r="D922">
        <v>8</v>
      </c>
      <c r="E922">
        <v>2</v>
      </c>
      <c r="F922">
        <v>0</v>
      </c>
      <c r="G922">
        <v>7</v>
      </c>
      <c r="H922" t="s">
        <v>64</v>
      </c>
      <c r="I922">
        <v>17</v>
      </c>
    </row>
    <row r="923" spans="1:9" x14ac:dyDescent="0.3">
      <c r="A923">
        <v>165</v>
      </c>
      <c r="B923" t="s">
        <v>7</v>
      </c>
      <c r="C923" t="s">
        <v>14</v>
      </c>
      <c r="D923">
        <v>9</v>
      </c>
      <c r="E923">
        <v>0</v>
      </c>
      <c r="F923">
        <v>0</v>
      </c>
      <c r="G923">
        <v>3</v>
      </c>
      <c r="H923" t="s">
        <v>62</v>
      </c>
      <c r="I923">
        <v>12</v>
      </c>
    </row>
    <row r="924" spans="1:9" x14ac:dyDescent="0.3">
      <c r="A924">
        <v>165</v>
      </c>
      <c r="B924" t="s">
        <v>7</v>
      </c>
      <c r="C924" t="s">
        <v>15</v>
      </c>
      <c r="D924">
        <v>7</v>
      </c>
      <c r="E924">
        <v>2</v>
      </c>
      <c r="F924">
        <v>0</v>
      </c>
      <c r="G924">
        <v>9</v>
      </c>
      <c r="H924" t="s">
        <v>65</v>
      </c>
      <c r="I924">
        <v>18</v>
      </c>
    </row>
    <row r="925" spans="1:9" x14ac:dyDescent="0.3">
      <c r="A925">
        <v>165</v>
      </c>
      <c r="B925" t="s">
        <v>7</v>
      </c>
      <c r="C925" t="s">
        <v>16</v>
      </c>
      <c r="D925">
        <v>3</v>
      </c>
      <c r="E925">
        <v>0</v>
      </c>
      <c r="F925">
        <v>0</v>
      </c>
      <c r="G925">
        <v>4</v>
      </c>
      <c r="H925" t="s">
        <v>61</v>
      </c>
      <c r="I925">
        <v>7</v>
      </c>
    </row>
    <row r="926" spans="1:9" x14ac:dyDescent="0.3">
      <c r="A926">
        <v>165</v>
      </c>
      <c r="B926" t="s">
        <v>33</v>
      </c>
      <c r="C926" t="s">
        <v>9</v>
      </c>
      <c r="D926">
        <v>0</v>
      </c>
      <c r="E926">
        <v>0</v>
      </c>
      <c r="F926">
        <v>57</v>
      </c>
      <c r="G926">
        <v>0</v>
      </c>
      <c r="H926" t="s">
        <v>9</v>
      </c>
      <c r="I926">
        <v>57</v>
      </c>
    </row>
    <row r="927" spans="1:9" x14ac:dyDescent="0.3">
      <c r="A927">
        <v>165</v>
      </c>
      <c r="B927" t="s">
        <v>33</v>
      </c>
      <c r="C927" t="s">
        <v>10</v>
      </c>
      <c r="D927">
        <v>8</v>
      </c>
      <c r="E927">
        <v>0</v>
      </c>
      <c r="F927">
        <v>0</v>
      </c>
      <c r="G927">
        <v>9</v>
      </c>
      <c r="H927" t="s">
        <v>68</v>
      </c>
      <c r="I927">
        <v>17</v>
      </c>
    </row>
    <row r="928" spans="1:9" x14ac:dyDescent="0.3">
      <c r="A928">
        <v>165</v>
      </c>
      <c r="B928" t="s">
        <v>33</v>
      </c>
      <c r="C928" t="s">
        <v>12</v>
      </c>
      <c r="D928">
        <v>10</v>
      </c>
      <c r="E928">
        <v>0</v>
      </c>
      <c r="F928">
        <v>0</v>
      </c>
      <c r="G928">
        <v>9</v>
      </c>
      <c r="H928" t="s">
        <v>64</v>
      </c>
      <c r="I928">
        <v>19</v>
      </c>
    </row>
    <row r="929" spans="1:9" x14ac:dyDescent="0.3">
      <c r="A929">
        <v>165</v>
      </c>
      <c r="B929" t="s">
        <v>33</v>
      </c>
      <c r="C929" t="s">
        <v>14</v>
      </c>
      <c r="D929">
        <v>14</v>
      </c>
      <c r="E929">
        <v>20</v>
      </c>
      <c r="F929">
        <v>0</v>
      </c>
      <c r="G929">
        <v>29</v>
      </c>
      <c r="H929" t="s">
        <v>62</v>
      </c>
      <c r="I929">
        <v>63</v>
      </c>
    </row>
    <row r="930" spans="1:9" x14ac:dyDescent="0.3">
      <c r="A930">
        <v>165</v>
      </c>
      <c r="B930" t="s">
        <v>33</v>
      </c>
      <c r="C930" t="s">
        <v>15</v>
      </c>
      <c r="D930">
        <v>27</v>
      </c>
      <c r="E930">
        <v>0</v>
      </c>
      <c r="F930">
        <v>0</v>
      </c>
      <c r="G930">
        <v>26</v>
      </c>
      <c r="H930" t="s">
        <v>65</v>
      </c>
      <c r="I930">
        <v>53</v>
      </c>
    </row>
    <row r="931" spans="1:9" x14ac:dyDescent="0.3">
      <c r="A931">
        <v>165</v>
      </c>
      <c r="B931" t="s">
        <v>33</v>
      </c>
      <c r="C931" t="s">
        <v>16</v>
      </c>
      <c r="D931">
        <v>13</v>
      </c>
      <c r="E931">
        <v>0</v>
      </c>
      <c r="F931">
        <v>0</v>
      </c>
      <c r="G931">
        <v>13</v>
      </c>
      <c r="H931" t="s">
        <v>61</v>
      </c>
      <c r="I931">
        <v>26</v>
      </c>
    </row>
    <row r="932" spans="1:9" x14ac:dyDescent="0.3">
      <c r="A932">
        <v>165</v>
      </c>
      <c r="B932" t="s">
        <v>33</v>
      </c>
      <c r="C932" t="s">
        <v>19</v>
      </c>
      <c r="D932">
        <v>32</v>
      </c>
      <c r="E932">
        <v>0</v>
      </c>
      <c r="F932">
        <v>0</v>
      </c>
      <c r="G932">
        <v>41</v>
      </c>
      <c r="H932" t="s">
        <v>70</v>
      </c>
      <c r="I932">
        <v>73</v>
      </c>
    </row>
    <row r="933" spans="1:9" x14ac:dyDescent="0.3">
      <c r="A933">
        <v>165</v>
      </c>
      <c r="B933" t="s">
        <v>33</v>
      </c>
      <c r="C933" t="s">
        <v>28</v>
      </c>
      <c r="D933">
        <v>29</v>
      </c>
      <c r="E933">
        <v>0</v>
      </c>
      <c r="F933">
        <v>0</v>
      </c>
      <c r="G933">
        <v>17</v>
      </c>
      <c r="H933" t="s">
        <v>28</v>
      </c>
      <c r="I933">
        <v>46</v>
      </c>
    </row>
    <row r="934" spans="1:9" x14ac:dyDescent="0.3">
      <c r="A934">
        <v>166</v>
      </c>
      <c r="B934" t="s">
        <v>7</v>
      </c>
      <c r="C934" t="s">
        <v>11</v>
      </c>
      <c r="D934">
        <v>56</v>
      </c>
      <c r="E934">
        <v>18</v>
      </c>
      <c r="F934">
        <v>2</v>
      </c>
      <c r="G934">
        <v>63</v>
      </c>
      <c r="H934" t="s">
        <v>63</v>
      </c>
      <c r="I934">
        <v>139</v>
      </c>
    </row>
    <row r="935" spans="1:9" x14ac:dyDescent="0.3">
      <c r="A935">
        <v>166</v>
      </c>
      <c r="B935" t="s">
        <v>7</v>
      </c>
      <c r="C935" t="s">
        <v>12</v>
      </c>
      <c r="D935">
        <v>37</v>
      </c>
      <c r="E935">
        <v>0</v>
      </c>
      <c r="F935">
        <v>0</v>
      </c>
      <c r="G935">
        <v>45</v>
      </c>
      <c r="H935" t="s">
        <v>64</v>
      </c>
      <c r="I935">
        <v>82</v>
      </c>
    </row>
    <row r="936" spans="1:9" x14ac:dyDescent="0.3">
      <c r="A936">
        <v>166</v>
      </c>
      <c r="B936" t="s">
        <v>7</v>
      </c>
      <c r="C936" t="s">
        <v>14</v>
      </c>
      <c r="D936">
        <v>41</v>
      </c>
      <c r="E936">
        <v>0</v>
      </c>
      <c r="F936">
        <v>17</v>
      </c>
      <c r="G936">
        <v>24</v>
      </c>
      <c r="H936" t="s">
        <v>62</v>
      </c>
      <c r="I936">
        <v>82</v>
      </c>
    </row>
    <row r="937" spans="1:9" x14ac:dyDescent="0.3">
      <c r="A937">
        <v>166</v>
      </c>
      <c r="B937" t="s">
        <v>7</v>
      </c>
      <c r="C937" t="s">
        <v>15</v>
      </c>
      <c r="D937">
        <v>9</v>
      </c>
      <c r="E937">
        <v>0</v>
      </c>
      <c r="F937">
        <v>0</v>
      </c>
      <c r="G937">
        <v>23</v>
      </c>
      <c r="H937" t="s">
        <v>65</v>
      </c>
      <c r="I937">
        <v>32</v>
      </c>
    </row>
    <row r="938" spans="1:9" x14ac:dyDescent="0.3">
      <c r="A938">
        <v>166</v>
      </c>
      <c r="B938" t="s">
        <v>7</v>
      </c>
      <c r="C938" t="s">
        <v>16</v>
      </c>
      <c r="D938">
        <v>8</v>
      </c>
      <c r="E938">
        <v>0</v>
      </c>
      <c r="F938">
        <v>0</v>
      </c>
      <c r="G938">
        <v>22</v>
      </c>
      <c r="H938" t="s">
        <v>61</v>
      </c>
      <c r="I938">
        <v>30</v>
      </c>
    </row>
    <row r="939" spans="1:9" x14ac:dyDescent="0.3">
      <c r="A939">
        <v>166</v>
      </c>
      <c r="B939" t="s">
        <v>7</v>
      </c>
      <c r="C939" t="s">
        <v>19</v>
      </c>
      <c r="D939">
        <v>33</v>
      </c>
      <c r="E939">
        <v>19</v>
      </c>
      <c r="F939">
        <v>0</v>
      </c>
      <c r="G939">
        <v>38</v>
      </c>
      <c r="H939" t="s">
        <v>70</v>
      </c>
      <c r="I939">
        <v>90</v>
      </c>
    </row>
    <row r="940" spans="1:9" x14ac:dyDescent="0.3">
      <c r="A940">
        <v>166</v>
      </c>
      <c r="B940" t="s">
        <v>7</v>
      </c>
      <c r="C940" t="s">
        <v>24</v>
      </c>
      <c r="D940">
        <v>40</v>
      </c>
      <c r="E940">
        <v>5</v>
      </c>
      <c r="F940">
        <v>0</v>
      </c>
      <c r="G940">
        <v>42</v>
      </c>
      <c r="H940" t="s">
        <v>75</v>
      </c>
      <c r="I940">
        <v>87</v>
      </c>
    </row>
    <row r="941" spans="1:9" x14ac:dyDescent="0.3">
      <c r="A941">
        <v>166</v>
      </c>
      <c r="B941" t="s">
        <v>33</v>
      </c>
      <c r="C941" t="s">
        <v>8</v>
      </c>
      <c r="D941">
        <v>0</v>
      </c>
      <c r="E941">
        <v>0</v>
      </c>
      <c r="F941">
        <v>3</v>
      </c>
      <c r="G941">
        <v>0</v>
      </c>
      <c r="H941" t="s">
        <v>8</v>
      </c>
      <c r="I941">
        <v>3</v>
      </c>
    </row>
    <row r="942" spans="1:9" x14ac:dyDescent="0.3">
      <c r="A942">
        <v>166</v>
      </c>
      <c r="B942" t="s">
        <v>33</v>
      </c>
      <c r="C942" t="s">
        <v>9</v>
      </c>
      <c r="D942">
        <v>0</v>
      </c>
      <c r="E942">
        <v>0</v>
      </c>
      <c r="F942">
        <v>77</v>
      </c>
      <c r="G942">
        <v>0</v>
      </c>
      <c r="H942" t="s">
        <v>9</v>
      </c>
      <c r="I942">
        <v>77</v>
      </c>
    </row>
    <row r="943" spans="1:9" x14ac:dyDescent="0.3">
      <c r="A943">
        <v>166</v>
      </c>
      <c r="B943" t="s">
        <v>33</v>
      </c>
      <c r="C943" t="s">
        <v>12</v>
      </c>
      <c r="D943">
        <v>5</v>
      </c>
      <c r="E943">
        <v>0</v>
      </c>
      <c r="F943">
        <v>0</v>
      </c>
      <c r="G943">
        <v>6</v>
      </c>
      <c r="H943" t="s">
        <v>64</v>
      </c>
      <c r="I943">
        <v>11</v>
      </c>
    </row>
    <row r="944" spans="1:9" x14ac:dyDescent="0.3">
      <c r="A944">
        <v>166</v>
      </c>
      <c r="B944" t="s">
        <v>33</v>
      </c>
      <c r="C944" t="s">
        <v>14</v>
      </c>
      <c r="D944">
        <v>0</v>
      </c>
      <c r="E944">
        <v>11</v>
      </c>
      <c r="F944">
        <v>0</v>
      </c>
      <c r="G944">
        <v>4</v>
      </c>
      <c r="H944" t="s">
        <v>62</v>
      </c>
      <c r="I944">
        <v>15</v>
      </c>
    </row>
    <row r="945" spans="1:9" x14ac:dyDescent="0.3">
      <c r="A945">
        <v>166</v>
      </c>
      <c r="B945" t="s">
        <v>33</v>
      </c>
      <c r="C945" t="s">
        <v>15</v>
      </c>
      <c r="D945">
        <v>5</v>
      </c>
      <c r="E945">
        <v>0</v>
      </c>
      <c r="F945">
        <v>0</v>
      </c>
      <c r="G945">
        <v>11</v>
      </c>
      <c r="H945" t="s">
        <v>65</v>
      </c>
      <c r="I945">
        <v>16</v>
      </c>
    </row>
    <row r="946" spans="1:9" x14ac:dyDescent="0.3">
      <c r="A946">
        <v>166</v>
      </c>
      <c r="B946" t="s">
        <v>33</v>
      </c>
      <c r="C946" t="s">
        <v>16</v>
      </c>
      <c r="D946">
        <v>1</v>
      </c>
      <c r="E946">
        <v>0</v>
      </c>
      <c r="F946">
        <v>0</v>
      </c>
      <c r="G946">
        <v>2</v>
      </c>
      <c r="H946" t="s">
        <v>61</v>
      </c>
      <c r="I946">
        <v>3</v>
      </c>
    </row>
    <row r="947" spans="1:9" x14ac:dyDescent="0.3">
      <c r="A947">
        <v>166</v>
      </c>
      <c r="B947" t="s">
        <v>33</v>
      </c>
      <c r="C947" t="s">
        <v>19</v>
      </c>
      <c r="D947">
        <v>15</v>
      </c>
      <c r="E947">
        <v>0</v>
      </c>
      <c r="F947">
        <v>0</v>
      </c>
      <c r="G947">
        <v>14</v>
      </c>
      <c r="H947" t="s">
        <v>70</v>
      </c>
      <c r="I947">
        <v>29</v>
      </c>
    </row>
    <row r="948" spans="1:9" x14ac:dyDescent="0.3">
      <c r="A948">
        <v>167</v>
      </c>
      <c r="B948" t="s">
        <v>7</v>
      </c>
      <c r="C948" t="s">
        <v>11</v>
      </c>
      <c r="D948">
        <v>16</v>
      </c>
      <c r="E948">
        <v>2</v>
      </c>
      <c r="F948">
        <v>0</v>
      </c>
      <c r="G948">
        <v>20</v>
      </c>
      <c r="H948" t="s">
        <v>63</v>
      </c>
      <c r="I948">
        <v>38</v>
      </c>
    </row>
    <row r="949" spans="1:9" x14ac:dyDescent="0.3">
      <c r="A949">
        <v>167</v>
      </c>
      <c r="B949" t="s">
        <v>7</v>
      </c>
      <c r="C949" t="s">
        <v>12</v>
      </c>
      <c r="D949">
        <v>28</v>
      </c>
      <c r="E949">
        <v>2</v>
      </c>
      <c r="F949">
        <v>0</v>
      </c>
      <c r="G949">
        <v>26</v>
      </c>
      <c r="H949" t="s">
        <v>64</v>
      </c>
      <c r="I949">
        <v>56</v>
      </c>
    </row>
    <row r="950" spans="1:9" x14ac:dyDescent="0.3">
      <c r="A950">
        <v>167</v>
      </c>
      <c r="B950" t="s">
        <v>7</v>
      </c>
      <c r="C950" t="s">
        <v>14</v>
      </c>
      <c r="D950">
        <v>15</v>
      </c>
      <c r="E950">
        <v>6</v>
      </c>
      <c r="F950">
        <v>0</v>
      </c>
      <c r="G950">
        <v>16</v>
      </c>
      <c r="H950" t="s">
        <v>62</v>
      </c>
      <c r="I950">
        <v>37</v>
      </c>
    </row>
    <row r="951" spans="1:9" x14ac:dyDescent="0.3">
      <c r="A951">
        <v>167</v>
      </c>
      <c r="B951" t="s">
        <v>7</v>
      </c>
      <c r="C951" t="s">
        <v>15</v>
      </c>
      <c r="D951">
        <v>3</v>
      </c>
      <c r="E951">
        <v>3</v>
      </c>
      <c r="F951">
        <v>0</v>
      </c>
      <c r="G951">
        <v>16</v>
      </c>
      <c r="H951" t="s">
        <v>65</v>
      </c>
      <c r="I951">
        <v>22</v>
      </c>
    </row>
    <row r="952" spans="1:9" x14ac:dyDescent="0.3">
      <c r="A952">
        <v>167</v>
      </c>
      <c r="B952" t="s">
        <v>7</v>
      </c>
      <c r="C952" t="s">
        <v>16</v>
      </c>
      <c r="D952">
        <v>10</v>
      </c>
      <c r="E952">
        <v>0</v>
      </c>
      <c r="F952">
        <v>0</v>
      </c>
      <c r="G952">
        <v>18</v>
      </c>
      <c r="H952" t="s">
        <v>61</v>
      </c>
      <c r="I952">
        <v>28</v>
      </c>
    </row>
    <row r="953" spans="1:9" x14ac:dyDescent="0.3">
      <c r="A953">
        <v>167</v>
      </c>
      <c r="B953" t="s">
        <v>7</v>
      </c>
      <c r="C953" t="s">
        <v>24</v>
      </c>
      <c r="D953">
        <v>4</v>
      </c>
      <c r="E953">
        <v>0</v>
      </c>
      <c r="F953">
        <v>0</v>
      </c>
      <c r="G953">
        <v>3</v>
      </c>
      <c r="H953" t="s">
        <v>75</v>
      </c>
      <c r="I953">
        <v>7</v>
      </c>
    </row>
    <row r="954" spans="1:9" x14ac:dyDescent="0.3">
      <c r="A954">
        <v>167</v>
      </c>
      <c r="B954" t="s">
        <v>33</v>
      </c>
      <c r="C954" t="s">
        <v>8</v>
      </c>
      <c r="D954">
        <v>0</v>
      </c>
      <c r="E954">
        <v>0</v>
      </c>
      <c r="F954">
        <v>3</v>
      </c>
      <c r="G954">
        <v>0</v>
      </c>
      <c r="H954" t="s">
        <v>8</v>
      </c>
      <c r="I954">
        <v>3</v>
      </c>
    </row>
    <row r="955" spans="1:9" x14ac:dyDescent="0.3">
      <c r="A955">
        <v>167</v>
      </c>
      <c r="B955" t="s">
        <v>33</v>
      </c>
      <c r="C955" t="s">
        <v>9</v>
      </c>
      <c r="D955">
        <v>0</v>
      </c>
      <c r="E955">
        <v>0</v>
      </c>
      <c r="F955">
        <v>41</v>
      </c>
      <c r="G955">
        <v>0</v>
      </c>
      <c r="H955" t="s">
        <v>9</v>
      </c>
      <c r="I955">
        <v>41</v>
      </c>
    </row>
    <row r="956" spans="1:9" x14ac:dyDescent="0.3">
      <c r="A956">
        <v>167</v>
      </c>
      <c r="B956" t="s">
        <v>33</v>
      </c>
      <c r="C956" t="s">
        <v>10</v>
      </c>
      <c r="D956">
        <v>30</v>
      </c>
      <c r="E956">
        <v>0</v>
      </c>
      <c r="F956">
        <v>0</v>
      </c>
      <c r="G956">
        <v>17</v>
      </c>
      <c r="H956" t="s">
        <v>68</v>
      </c>
      <c r="I956">
        <v>47</v>
      </c>
    </row>
    <row r="957" spans="1:9" x14ac:dyDescent="0.3">
      <c r="A957">
        <v>167</v>
      </c>
      <c r="B957" t="s">
        <v>33</v>
      </c>
      <c r="C957" t="s">
        <v>19</v>
      </c>
      <c r="D957">
        <v>8</v>
      </c>
      <c r="E957">
        <v>11</v>
      </c>
      <c r="F957">
        <v>0</v>
      </c>
      <c r="G957">
        <v>13</v>
      </c>
      <c r="H957" t="s">
        <v>70</v>
      </c>
      <c r="I957">
        <v>32</v>
      </c>
    </row>
    <row r="958" spans="1:9" x14ac:dyDescent="0.3">
      <c r="A958">
        <v>167</v>
      </c>
      <c r="B958" t="s">
        <v>33</v>
      </c>
      <c r="C958" t="s">
        <v>28</v>
      </c>
      <c r="D958">
        <v>9</v>
      </c>
      <c r="E958">
        <v>0</v>
      </c>
      <c r="F958">
        <v>0</v>
      </c>
      <c r="G958">
        <v>6</v>
      </c>
      <c r="H958" t="s">
        <v>28</v>
      </c>
      <c r="I958">
        <v>15</v>
      </c>
    </row>
    <row r="959" spans="1:9" x14ac:dyDescent="0.3">
      <c r="A959">
        <v>168</v>
      </c>
      <c r="B959" t="s">
        <v>7</v>
      </c>
      <c r="C959" t="s">
        <v>15</v>
      </c>
      <c r="D959">
        <v>11</v>
      </c>
      <c r="E959">
        <v>0</v>
      </c>
      <c r="F959">
        <v>0</v>
      </c>
      <c r="G959">
        <v>8</v>
      </c>
      <c r="H959" t="s">
        <v>65</v>
      </c>
      <c r="I959">
        <v>19</v>
      </c>
    </row>
    <row r="960" spans="1:9" x14ac:dyDescent="0.3">
      <c r="A960">
        <v>168</v>
      </c>
      <c r="B960" t="s">
        <v>7</v>
      </c>
      <c r="C960" t="s">
        <v>16</v>
      </c>
      <c r="D960">
        <v>0</v>
      </c>
      <c r="E960">
        <v>0</v>
      </c>
      <c r="F960">
        <v>0</v>
      </c>
      <c r="G960">
        <v>1</v>
      </c>
      <c r="H960" t="s">
        <v>61</v>
      </c>
      <c r="I960">
        <v>1</v>
      </c>
    </row>
    <row r="961" spans="1:9" x14ac:dyDescent="0.3">
      <c r="A961">
        <v>168</v>
      </c>
      <c r="B961" t="s">
        <v>7</v>
      </c>
      <c r="C961" t="s">
        <v>19</v>
      </c>
      <c r="D961">
        <v>27</v>
      </c>
      <c r="E961">
        <v>26</v>
      </c>
      <c r="F961">
        <v>0</v>
      </c>
      <c r="G961">
        <v>28</v>
      </c>
      <c r="H961" t="s">
        <v>70</v>
      </c>
      <c r="I961">
        <v>81</v>
      </c>
    </row>
    <row r="962" spans="1:9" x14ac:dyDescent="0.3">
      <c r="A962">
        <v>168</v>
      </c>
      <c r="B962" t="s">
        <v>33</v>
      </c>
      <c r="C962" t="s">
        <v>8</v>
      </c>
      <c r="D962">
        <v>0</v>
      </c>
      <c r="E962">
        <v>0</v>
      </c>
      <c r="F962">
        <v>1</v>
      </c>
      <c r="G962">
        <v>0</v>
      </c>
      <c r="H962" t="s">
        <v>8</v>
      </c>
      <c r="I962">
        <v>1</v>
      </c>
    </row>
    <row r="963" spans="1:9" x14ac:dyDescent="0.3">
      <c r="A963">
        <v>168</v>
      </c>
      <c r="B963" t="s">
        <v>33</v>
      </c>
      <c r="C963" t="s">
        <v>9</v>
      </c>
      <c r="D963">
        <v>0</v>
      </c>
      <c r="E963">
        <v>0</v>
      </c>
      <c r="F963">
        <v>39</v>
      </c>
      <c r="G963">
        <v>0</v>
      </c>
      <c r="H963" t="s">
        <v>9</v>
      </c>
      <c r="I963">
        <v>39</v>
      </c>
    </row>
    <row r="964" spans="1:9" x14ac:dyDescent="0.3">
      <c r="A964">
        <v>168</v>
      </c>
      <c r="B964" t="s">
        <v>33</v>
      </c>
      <c r="C964" t="s">
        <v>10</v>
      </c>
      <c r="D964">
        <v>27</v>
      </c>
      <c r="E964">
        <v>4</v>
      </c>
      <c r="F964">
        <v>0</v>
      </c>
      <c r="G964">
        <v>22</v>
      </c>
      <c r="H964" t="s">
        <v>68</v>
      </c>
      <c r="I964">
        <v>53</v>
      </c>
    </row>
    <row r="965" spans="1:9" x14ac:dyDescent="0.3">
      <c r="A965">
        <v>168</v>
      </c>
      <c r="B965" t="s">
        <v>33</v>
      </c>
      <c r="C965" t="s">
        <v>11</v>
      </c>
      <c r="D965">
        <v>15</v>
      </c>
      <c r="E965">
        <v>0</v>
      </c>
      <c r="F965">
        <v>0</v>
      </c>
      <c r="G965">
        <v>7</v>
      </c>
      <c r="H965" t="s">
        <v>63</v>
      </c>
      <c r="I965">
        <v>22</v>
      </c>
    </row>
    <row r="966" spans="1:9" x14ac:dyDescent="0.3">
      <c r="A966">
        <v>168</v>
      </c>
      <c r="B966" t="s">
        <v>33</v>
      </c>
      <c r="C966" t="s">
        <v>12</v>
      </c>
      <c r="D966">
        <v>18</v>
      </c>
      <c r="E966">
        <v>6</v>
      </c>
      <c r="F966">
        <v>0</v>
      </c>
      <c r="G966">
        <v>14</v>
      </c>
      <c r="H966" t="s">
        <v>64</v>
      </c>
      <c r="I966">
        <v>38</v>
      </c>
    </row>
    <row r="967" spans="1:9" x14ac:dyDescent="0.3">
      <c r="A967">
        <v>168</v>
      </c>
      <c r="B967" t="s">
        <v>33</v>
      </c>
      <c r="C967" t="s">
        <v>14</v>
      </c>
      <c r="D967">
        <v>0</v>
      </c>
      <c r="E967">
        <v>8</v>
      </c>
      <c r="F967">
        <v>0</v>
      </c>
      <c r="G967">
        <v>7</v>
      </c>
      <c r="H967" t="s">
        <v>62</v>
      </c>
      <c r="I967">
        <v>15</v>
      </c>
    </row>
    <row r="968" spans="1:9" x14ac:dyDescent="0.3">
      <c r="A968">
        <v>168</v>
      </c>
      <c r="B968" t="s">
        <v>33</v>
      </c>
      <c r="C968" t="s">
        <v>15</v>
      </c>
      <c r="D968">
        <v>0</v>
      </c>
      <c r="E968">
        <v>0</v>
      </c>
      <c r="F968">
        <v>0</v>
      </c>
      <c r="G968">
        <v>2</v>
      </c>
      <c r="H968" t="s">
        <v>65</v>
      </c>
      <c r="I968">
        <v>2</v>
      </c>
    </row>
    <row r="969" spans="1:9" x14ac:dyDescent="0.3">
      <c r="A969">
        <v>168</v>
      </c>
      <c r="B969" t="s">
        <v>33</v>
      </c>
      <c r="C969" t="s">
        <v>16</v>
      </c>
      <c r="D969">
        <v>17</v>
      </c>
      <c r="E969">
        <v>0</v>
      </c>
      <c r="F969">
        <v>0</v>
      </c>
      <c r="G969">
        <v>7</v>
      </c>
      <c r="H969" t="s">
        <v>61</v>
      </c>
      <c r="I969">
        <v>24</v>
      </c>
    </row>
    <row r="970" spans="1:9" x14ac:dyDescent="0.3">
      <c r="A970">
        <v>168</v>
      </c>
      <c r="B970" t="s">
        <v>33</v>
      </c>
      <c r="C970" t="s">
        <v>19</v>
      </c>
      <c r="D970">
        <v>29</v>
      </c>
      <c r="E970">
        <v>9</v>
      </c>
      <c r="F970">
        <v>0</v>
      </c>
      <c r="G970">
        <v>22</v>
      </c>
      <c r="H970" t="s">
        <v>70</v>
      </c>
      <c r="I970">
        <v>60</v>
      </c>
    </row>
    <row r="971" spans="1:9" x14ac:dyDescent="0.3">
      <c r="A971">
        <v>168</v>
      </c>
      <c r="B971" t="s">
        <v>33</v>
      </c>
      <c r="C971" t="s">
        <v>29</v>
      </c>
      <c r="D971">
        <v>4</v>
      </c>
      <c r="E971">
        <v>0</v>
      </c>
      <c r="F971">
        <v>0</v>
      </c>
      <c r="G971">
        <v>3</v>
      </c>
      <c r="H971" t="s">
        <v>67</v>
      </c>
      <c r="I971">
        <v>7</v>
      </c>
    </row>
    <row r="972" spans="1:9" x14ac:dyDescent="0.3">
      <c r="A972">
        <v>169</v>
      </c>
      <c r="B972" t="s">
        <v>7</v>
      </c>
      <c r="C972" t="s">
        <v>14</v>
      </c>
      <c r="D972">
        <v>36</v>
      </c>
      <c r="E972">
        <v>14</v>
      </c>
      <c r="F972">
        <v>0</v>
      </c>
      <c r="G972">
        <v>34</v>
      </c>
      <c r="H972" t="s">
        <v>62</v>
      </c>
      <c r="I972">
        <v>84</v>
      </c>
    </row>
    <row r="973" spans="1:9" x14ac:dyDescent="0.3">
      <c r="A973">
        <v>169</v>
      </c>
      <c r="B973" t="s">
        <v>7</v>
      </c>
      <c r="C973" t="s">
        <v>15</v>
      </c>
      <c r="D973">
        <v>16</v>
      </c>
      <c r="E973">
        <v>2</v>
      </c>
      <c r="F973">
        <v>0</v>
      </c>
      <c r="G973">
        <v>27</v>
      </c>
      <c r="H973" t="s">
        <v>65</v>
      </c>
      <c r="I973">
        <v>45</v>
      </c>
    </row>
    <row r="974" spans="1:9" x14ac:dyDescent="0.3">
      <c r="A974">
        <v>169</v>
      </c>
      <c r="B974" t="s">
        <v>7</v>
      </c>
      <c r="C974" t="s">
        <v>16</v>
      </c>
      <c r="D974">
        <v>22</v>
      </c>
      <c r="E974">
        <v>1</v>
      </c>
      <c r="F974">
        <v>0</v>
      </c>
      <c r="G974">
        <v>22</v>
      </c>
      <c r="H974" t="s">
        <v>61</v>
      </c>
      <c r="I974">
        <v>45</v>
      </c>
    </row>
    <row r="975" spans="1:9" x14ac:dyDescent="0.3">
      <c r="A975">
        <v>169</v>
      </c>
      <c r="B975" t="s">
        <v>7</v>
      </c>
      <c r="C975" t="s">
        <v>19</v>
      </c>
      <c r="D975">
        <v>14</v>
      </c>
      <c r="E975">
        <v>7</v>
      </c>
      <c r="F975">
        <v>0</v>
      </c>
      <c r="G975">
        <v>22</v>
      </c>
      <c r="H975" t="s">
        <v>70</v>
      </c>
      <c r="I975">
        <v>43</v>
      </c>
    </row>
    <row r="976" spans="1:9" x14ac:dyDescent="0.3">
      <c r="A976">
        <v>169</v>
      </c>
      <c r="B976" t="s">
        <v>33</v>
      </c>
      <c r="C976" t="s">
        <v>8</v>
      </c>
      <c r="D976">
        <v>0</v>
      </c>
      <c r="E976">
        <v>0</v>
      </c>
      <c r="F976">
        <v>1</v>
      </c>
      <c r="G976">
        <v>0</v>
      </c>
      <c r="H976" t="s">
        <v>8</v>
      </c>
      <c r="I976">
        <v>1</v>
      </c>
    </row>
    <row r="977" spans="1:9" x14ac:dyDescent="0.3">
      <c r="A977">
        <v>169</v>
      </c>
      <c r="B977" t="s">
        <v>33</v>
      </c>
      <c r="C977" t="s">
        <v>9</v>
      </c>
      <c r="D977">
        <v>0</v>
      </c>
      <c r="E977">
        <v>0</v>
      </c>
      <c r="F977">
        <v>38</v>
      </c>
      <c r="G977">
        <v>0</v>
      </c>
      <c r="H977" t="s">
        <v>9</v>
      </c>
      <c r="I977">
        <v>38</v>
      </c>
    </row>
    <row r="978" spans="1:9" x14ac:dyDescent="0.3">
      <c r="A978">
        <v>169</v>
      </c>
      <c r="B978" t="s">
        <v>33</v>
      </c>
      <c r="C978" t="s">
        <v>10</v>
      </c>
      <c r="D978">
        <v>10</v>
      </c>
      <c r="E978">
        <v>0</v>
      </c>
      <c r="F978">
        <v>0</v>
      </c>
      <c r="G978">
        <v>3</v>
      </c>
      <c r="H978" t="s">
        <v>68</v>
      </c>
      <c r="I978">
        <v>13</v>
      </c>
    </row>
    <row r="979" spans="1:9" x14ac:dyDescent="0.3">
      <c r="A979">
        <v>169</v>
      </c>
      <c r="B979" t="s">
        <v>33</v>
      </c>
      <c r="C979" t="s">
        <v>15</v>
      </c>
      <c r="D979">
        <v>1</v>
      </c>
      <c r="E979">
        <v>0</v>
      </c>
      <c r="F979">
        <v>0</v>
      </c>
      <c r="G979">
        <v>2</v>
      </c>
      <c r="H979" t="s">
        <v>65</v>
      </c>
      <c r="I979">
        <v>3</v>
      </c>
    </row>
    <row r="980" spans="1:9" x14ac:dyDescent="0.3">
      <c r="A980">
        <v>169</v>
      </c>
      <c r="B980" t="s">
        <v>33</v>
      </c>
      <c r="C980" t="s">
        <v>16</v>
      </c>
      <c r="D980">
        <v>8</v>
      </c>
      <c r="E980">
        <v>5</v>
      </c>
      <c r="F980">
        <v>0</v>
      </c>
      <c r="G980">
        <v>12</v>
      </c>
      <c r="H980" t="s">
        <v>61</v>
      </c>
      <c r="I980">
        <v>25</v>
      </c>
    </row>
    <row r="981" spans="1:9" x14ac:dyDescent="0.3">
      <c r="A981">
        <v>169</v>
      </c>
      <c r="B981" t="s">
        <v>33</v>
      </c>
      <c r="C981" t="s">
        <v>18</v>
      </c>
      <c r="D981">
        <v>0</v>
      </c>
      <c r="E981">
        <v>0</v>
      </c>
      <c r="F981">
        <v>0</v>
      </c>
      <c r="G981">
        <v>7</v>
      </c>
      <c r="H981" t="s">
        <v>72</v>
      </c>
      <c r="I981">
        <v>7</v>
      </c>
    </row>
    <row r="982" spans="1:9" x14ac:dyDescent="0.3">
      <c r="A982">
        <v>169</v>
      </c>
      <c r="B982" t="s">
        <v>33</v>
      </c>
      <c r="C982" t="s">
        <v>19</v>
      </c>
      <c r="D982">
        <v>15</v>
      </c>
      <c r="E982">
        <v>0</v>
      </c>
      <c r="F982">
        <v>0</v>
      </c>
      <c r="G982">
        <v>10</v>
      </c>
      <c r="H982" t="s">
        <v>70</v>
      </c>
      <c r="I982">
        <v>25</v>
      </c>
    </row>
    <row r="983" spans="1:9" x14ac:dyDescent="0.3">
      <c r="A983">
        <v>170</v>
      </c>
      <c r="B983" t="s">
        <v>7</v>
      </c>
      <c r="C983" t="s">
        <v>14</v>
      </c>
      <c r="D983">
        <v>21</v>
      </c>
      <c r="E983">
        <v>7</v>
      </c>
      <c r="F983">
        <v>0</v>
      </c>
      <c r="G983">
        <v>42</v>
      </c>
      <c r="H983" t="s">
        <v>62</v>
      </c>
      <c r="I983">
        <v>70</v>
      </c>
    </row>
    <row r="984" spans="1:9" x14ac:dyDescent="0.3">
      <c r="A984">
        <v>170</v>
      </c>
      <c r="B984" t="s">
        <v>7</v>
      </c>
      <c r="C984" t="s">
        <v>15</v>
      </c>
      <c r="D984">
        <v>8</v>
      </c>
      <c r="E984">
        <v>0</v>
      </c>
      <c r="F984">
        <v>0</v>
      </c>
      <c r="G984">
        <v>14</v>
      </c>
      <c r="H984" t="s">
        <v>65</v>
      </c>
      <c r="I984">
        <v>22</v>
      </c>
    </row>
    <row r="985" spans="1:9" x14ac:dyDescent="0.3">
      <c r="A985">
        <v>170</v>
      </c>
      <c r="B985" t="s">
        <v>7</v>
      </c>
      <c r="C985" t="s">
        <v>16</v>
      </c>
      <c r="D985">
        <v>34</v>
      </c>
      <c r="E985">
        <v>1</v>
      </c>
      <c r="F985">
        <v>0</v>
      </c>
      <c r="G985">
        <v>27</v>
      </c>
      <c r="H985" t="s">
        <v>61</v>
      </c>
      <c r="I985">
        <v>62</v>
      </c>
    </row>
    <row r="986" spans="1:9" x14ac:dyDescent="0.3">
      <c r="A986">
        <v>170</v>
      </c>
      <c r="B986" t="s">
        <v>7</v>
      </c>
      <c r="C986" t="s">
        <v>23</v>
      </c>
      <c r="D986">
        <v>3</v>
      </c>
      <c r="E986">
        <v>0</v>
      </c>
      <c r="F986">
        <v>0</v>
      </c>
      <c r="G986">
        <v>6</v>
      </c>
      <c r="H986" t="s">
        <v>73</v>
      </c>
      <c r="I986">
        <v>9</v>
      </c>
    </row>
    <row r="987" spans="1:9" x14ac:dyDescent="0.3">
      <c r="A987">
        <v>170</v>
      </c>
      <c r="B987" t="s">
        <v>33</v>
      </c>
      <c r="C987" t="s">
        <v>9</v>
      </c>
      <c r="D987">
        <v>0</v>
      </c>
      <c r="E987">
        <v>0</v>
      </c>
      <c r="F987">
        <v>44</v>
      </c>
      <c r="G987">
        <v>0</v>
      </c>
      <c r="H987" t="s">
        <v>9</v>
      </c>
      <c r="I987">
        <v>44</v>
      </c>
    </row>
    <row r="988" spans="1:9" x14ac:dyDescent="0.3">
      <c r="A988">
        <v>170</v>
      </c>
      <c r="B988" t="s">
        <v>33</v>
      </c>
      <c r="C988" t="s">
        <v>12</v>
      </c>
      <c r="D988">
        <v>29</v>
      </c>
      <c r="E988">
        <v>14</v>
      </c>
      <c r="F988">
        <v>0</v>
      </c>
      <c r="G988">
        <v>38</v>
      </c>
      <c r="H988" t="s">
        <v>64</v>
      </c>
      <c r="I988">
        <v>81</v>
      </c>
    </row>
    <row r="989" spans="1:9" x14ac:dyDescent="0.3">
      <c r="A989">
        <v>170</v>
      </c>
      <c r="B989" t="s">
        <v>33</v>
      </c>
      <c r="C989" t="s">
        <v>18</v>
      </c>
      <c r="D989">
        <v>0</v>
      </c>
      <c r="E989">
        <v>0</v>
      </c>
      <c r="F989">
        <v>0</v>
      </c>
      <c r="G989">
        <v>11</v>
      </c>
      <c r="H989" t="s">
        <v>72</v>
      </c>
      <c r="I989">
        <v>11</v>
      </c>
    </row>
    <row r="990" spans="1:9" x14ac:dyDescent="0.3">
      <c r="A990">
        <v>170</v>
      </c>
      <c r="B990" t="s">
        <v>33</v>
      </c>
      <c r="C990" t="s">
        <v>19</v>
      </c>
      <c r="D990">
        <v>6</v>
      </c>
      <c r="E990">
        <v>0</v>
      </c>
      <c r="F990">
        <v>0</v>
      </c>
      <c r="G990">
        <v>10</v>
      </c>
      <c r="H990" t="s">
        <v>70</v>
      </c>
      <c r="I990">
        <v>16</v>
      </c>
    </row>
    <row r="991" spans="1:9" x14ac:dyDescent="0.3">
      <c r="A991">
        <v>170</v>
      </c>
      <c r="B991" t="s">
        <v>33</v>
      </c>
      <c r="C991" t="s">
        <v>22</v>
      </c>
      <c r="D991">
        <v>0</v>
      </c>
      <c r="E991">
        <v>0</v>
      </c>
      <c r="F991">
        <v>0</v>
      </c>
      <c r="G991">
        <v>1</v>
      </c>
      <c r="H991" t="s">
        <v>76</v>
      </c>
      <c r="I991">
        <v>1</v>
      </c>
    </row>
    <row r="992" spans="1:9" x14ac:dyDescent="0.3">
      <c r="A992">
        <v>170</v>
      </c>
      <c r="B992" t="s">
        <v>33</v>
      </c>
      <c r="C992" t="s">
        <v>23</v>
      </c>
      <c r="D992">
        <v>15</v>
      </c>
      <c r="E992">
        <v>5</v>
      </c>
      <c r="F992">
        <v>1</v>
      </c>
      <c r="G992">
        <v>12</v>
      </c>
      <c r="H992" t="s">
        <v>73</v>
      </c>
      <c r="I992">
        <v>33</v>
      </c>
    </row>
    <row r="993" spans="1:9" x14ac:dyDescent="0.3">
      <c r="A993">
        <v>171</v>
      </c>
      <c r="B993" t="s">
        <v>7</v>
      </c>
      <c r="C993" t="s">
        <v>14</v>
      </c>
      <c r="D993">
        <v>25</v>
      </c>
      <c r="E993">
        <v>0</v>
      </c>
      <c r="F993">
        <v>0</v>
      </c>
      <c r="G993">
        <v>19</v>
      </c>
      <c r="H993" t="s">
        <v>62</v>
      </c>
      <c r="I993">
        <v>44</v>
      </c>
    </row>
    <row r="994" spans="1:9" x14ac:dyDescent="0.3">
      <c r="A994">
        <v>171</v>
      </c>
      <c r="B994" t="s">
        <v>7</v>
      </c>
      <c r="C994" t="s">
        <v>16</v>
      </c>
      <c r="D994">
        <v>10</v>
      </c>
      <c r="E994">
        <v>4</v>
      </c>
      <c r="F994">
        <v>0</v>
      </c>
      <c r="G994">
        <v>18</v>
      </c>
      <c r="H994" t="s">
        <v>61</v>
      </c>
      <c r="I994">
        <v>32</v>
      </c>
    </row>
    <row r="995" spans="1:9" x14ac:dyDescent="0.3">
      <c r="A995">
        <v>171</v>
      </c>
      <c r="B995" t="s">
        <v>7</v>
      </c>
      <c r="C995" t="s">
        <v>24</v>
      </c>
      <c r="D995">
        <v>16</v>
      </c>
      <c r="E995">
        <v>3</v>
      </c>
      <c r="F995">
        <v>0</v>
      </c>
      <c r="G995">
        <v>15</v>
      </c>
      <c r="H995" t="s">
        <v>75</v>
      </c>
      <c r="I995">
        <v>34</v>
      </c>
    </row>
    <row r="996" spans="1:9" x14ac:dyDescent="0.3">
      <c r="A996">
        <v>171</v>
      </c>
      <c r="B996" t="s">
        <v>33</v>
      </c>
      <c r="C996" t="s">
        <v>8</v>
      </c>
      <c r="D996">
        <v>0</v>
      </c>
      <c r="E996">
        <v>0</v>
      </c>
      <c r="F996">
        <v>2</v>
      </c>
      <c r="G996">
        <v>0</v>
      </c>
      <c r="H996" t="s">
        <v>8</v>
      </c>
      <c r="I996">
        <v>2</v>
      </c>
    </row>
    <row r="997" spans="1:9" x14ac:dyDescent="0.3">
      <c r="A997">
        <v>171</v>
      </c>
      <c r="B997" t="s">
        <v>33</v>
      </c>
      <c r="C997" t="s">
        <v>9</v>
      </c>
      <c r="D997">
        <v>0</v>
      </c>
      <c r="E997">
        <v>0</v>
      </c>
      <c r="F997">
        <v>29</v>
      </c>
      <c r="G997">
        <v>0</v>
      </c>
      <c r="H997" t="s">
        <v>9</v>
      </c>
      <c r="I997">
        <v>29</v>
      </c>
    </row>
    <row r="998" spans="1:9" x14ac:dyDescent="0.3">
      <c r="A998">
        <v>171</v>
      </c>
      <c r="B998" t="s">
        <v>33</v>
      </c>
      <c r="C998" t="s">
        <v>10</v>
      </c>
      <c r="D998">
        <v>37</v>
      </c>
      <c r="E998">
        <v>0</v>
      </c>
      <c r="F998">
        <v>1</v>
      </c>
      <c r="G998">
        <v>25</v>
      </c>
      <c r="H998" t="s">
        <v>68</v>
      </c>
      <c r="I998">
        <v>63</v>
      </c>
    </row>
    <row r="999" spans="1:9" x14ac:dyDescent="0.3">
      <c r="A999">
        <v>171</v>
      </c>
      <c r="B999" t="s">
        <v>33</v>
      </c>
      <c r="C999" t="s">
        <v>12</v>
      </c>
      <c r="D999">
        <v>2</v>
      </c>
      <c r="E999">
        <v>1</v>
      </c>
      <c r="F999">
        <v>0</v>
      </c>
      <c r="G999">
        <v>6</v>
      </c>
      <c r="H999" t="s">
        <v>64</v>
      </c>
      <c r="I999">
        <v>9</v>
      </c>
    </row>
    <row r="1000" spans="1:9" x14ac:dyDescent="0.3">
      <c r="A1000">
        <v>171</v>
      </c>
      <c r="B1000" t="s">
        <v>33</v>
      </c>
      <c r="C1000" t="s">
        <v>14</v>
      </c>
      <c r="D1000">
        <v>12</v>
      </c>
      <c r="E1000">
        <v>23</v>
      </c>
      <c r="F1000">
        <v>0</v>
      </c>
      <c r="G1000">
        <v>27</v>
      </c>
      <c r="H1000" t="s">
        <v>62</v>
      </c>
      <c r="I1000">
        <v>62</v>
      </c>
    </row>
    <row r="1001" spans="1:9" x14ac:dyDescent="0.3">
      <c r="A1001">
        <v>171</v>
      </c>
      <c r="B1001" t="s">
        <v>33</v>
      </c>
      <c r="C1001" t="s">
        <v>15</v>
      </c>
      <c r="D1001">
        <v>10</v>
      </c>
      <c r="E1001">
        <v>4</v>
      </c>
      <c r="F1001">
        <v>0</v>
      </c>
      <c r="G1001">
        <v>23</v>
      </c>
      <c r="H1001" t="s">
        <v>65</v>
      </c>
      <c r="I1001">
        <v>37</v>
      </c>
    </row>
    <row r="1002" spans="1:9" x14ac:dyDescent="0.3">
      <c r="A1002">
        <v>171</v>
      </c>
      <c r="B1002" t="s">
        <v>33</v>
      </c>
      <c r="C1002" t="s">
        <v>19</v>
      </c>
      <c r="D1002">
        <v>28</v>
      </c>
      <c r="E1002">
        <v>8</v>
      </c>
      <c r="F1002">
        <v>0</v>
      </c>
      <c r="G1002">
        <v>28</v>
      </c>
      <c r="H1002" t="s">
        <v>70</v>
      </c>
      <c r="I1002">
        <v>64</v>
      </c>
    </row>
    <row r="1003" spans="1:9" x14ac:dyDescent="0.3">
      <c r="A1003">
        <v>171</v>
      </c>
      <c r="B1003" t="s">
        <v>33</v>
      </c>
      <c r="C1003" t="s">
        <v>22</v>
      </c>
      <c r="D1003">
        <v>14</v>
      </c>
      <c r="E1003">
        <v>5</v>
      </c>
      <c r="F1003">
        <v>0</v>
      </c>
      <c r="G1003">
        <v>21</v>
      </c>
      <c r="H1003" t="s">
        <v>76</v>
      </c>
      <c r="I1003">
        <v>40</v>
      </c>
    </row>
    <row r="1004" spans="1:9" x14ac:dyDescent="0.3">
      <c r="A1004">
        <v>171</v>
      </c>
      <c r="B1004" t="s">
        <v>33</v>
      </c>
      <c r="C1004" t="s">
        <v>24</v>
      </c>
      <c r="D1004">
        <v>4</v>
      </c>
      <c r="E1004">
        <v>5</v>
      </c>
      <c r="F1004">
        <v>0</v>
      </c>
      <c r="G1004">
        <v>4</v>
      </c>
      <c r="H1004" t="s">
        <v>75</v>
      </c>
      <c r="I1004">
        <v>13</v>
      </c>
    </row>
    <row r="1005" spans="1:9" x14ac:dyDescent="0.3">
      <c r="A1005">
        <v>172</v>
      </c>
      <c r="B1005" t="s">
        <v>7</v>
      </c>
      <c r="C1005" t="s">
        <v>11</v>
      </c>
      <c r="D1005">
        <v>20</v>
      </c>
      <c r="E1005">
        <v>0</v>
      </c>
      <c r="F1005">
        <v>0</v>
      </c>
      <c r="G1005">
        <v>15</v>
      </c>
      <c r="H1005" t="s">
        <v>63</v>
      </c>
      <c r="I1005">
        <v>35</v>
      </c>
    </row>
    <row r="1006" spans="1:9" x14ac:dyDescent="0.3">
      <c r="A1006">
        <v>172</v>
      </c>
      <c r="B1006" t="s">
        <v>7</v>
      </c>
      <c r="C1006" t="s">
        <v>14</v>
      </c>
      <c r="D1006">
        <v>21</v>
      </c>
      <c r="E1006">
        <v>14</v>
      </c>
      <c r="F1006">
        <v>0</v>
      </c>
      <c r="G1006">
        <v>24</v>
      </c>
      <c r="H1006" t="s">
        <v>62</v>
      </c>
      <c r="I1006">
        <v>59</v>
      </c>
    </row>
    <row r="1007" spans="1:9" x14ac:dyDescent="0.3">
      <c r="A1007">
        <v>172</v>
      </c>
      <c r="B1007" t="s">
        <v>7</v>
      </c>
      <c r="C1007" t="s">
        <v>16</v>
      </c>
      <c r="D1007">
        <v>5</v>
      </c>
      <c r="E1007">
        <v>0</v>
      </c>
      <c r="F1007">
        <v>0</v>
      </c>
      <c r="G1007">
        <v>7</v>
      </c>
      <c r="H1007" t="s">
        <v>61</v>
      </c>
      <c r="I1007">
        <v>12</v>
      </c>
    </row>
    <row r="1008" spans="1:9" x14ac:dyDescent="0.3">
      <c r="A1008">
        <v>172</v>
      </c>
      <c r="B1008" t="s">
        <v>7</v>
      </c>
      <c r="C1008" t="s">
        <v>22</v>
      </c>
      <c r="D1008">
        <v>5</v>
      </c>
      <c r="E1008">
        <v>0</v>
      </c>
      <c r="F1008">
        <v>0</v>
      </c>
      <c r="G1008">
        <v>4</v>
      </c>
      <c r="H1008" t="s">
        <v>76</v>
      </c>
      <c r="I1008">
        <v>9</v>
      </c>
    </row>
    <row r="1009" spans="1:9" x14ac:dyDescent="0.3">
      <c r="A1009">
        <v>172</v>
      </c>
      <c r="B1009" t="s">
        <v>33</v>
      </c>
      <c r="C1009" t="s">
        <v>8</v>
      </c>
      <c r="D1009">
        <v>0</v>
      </c>
      <c r="E1009">
        <v>0</v>
      </c>
      <c r="F1009">
        <v>2</v>
      </c>
      <c r="G1009">
        <v>0</v>
      </c>
      <c r="H1009" t="s">
        <v>8</v>
      </c>
      <c r="I1009">
        <v>2</v>
      </c>
    </row>
    <row r="1010" spans="1:9" x14ac:dyDescent="0.3">
      <c r="A1010">
        <v>172</v>
      </c>
      <c r="B1010" t="s">
        <v>33</v>
      </c>
      <c r="C1010" t="s">
        <v>9</v>
      </c>
      <c r="D1010">
        <v>0</v>
      </c>
      <c r="E1010">
        <v>0</v>
      </c>
      <c r="F1010">
        <v>6</v>
      </c>
      <c r="G1010">
        <v>0</v>
      </c>
      <c r="H1010" t="s">
        <v>9</v>
      </c>
      <c r="I1010">
        <v>6</v>
      </c>
    </row>
    <row r="1011" spans="1:9" x14ac:dyDescent="0.3">
      <c r="A1011">
        <v>172</v>
      </c>
      <c r="B1011" t="s">
        <v>33</v>
      </c>
      <c r="C1011" t="s">
        <v>11</v>
      </c>
      <c r="D1011">
        <v>30</v>
      </c>
      <c r="E1011">
        <v>1</v>
      </c>
      <c r="F1011">
        <v>25</v>
      </c>
      <c r="G1011">
        <v>24</v>
      </c>
      <c r="H1011" t="s">
        <v>63</v>
      </c>
      <c r="I1011">
        <v>80</v>
      </c>
    </row>
    <row r="1012" spans="1:9" x14ac:dyDescent="0.3">
      <c r="A1012">
        <v>172</v>
      </c>
      <c r="B1012" t="s">
        <v>33</v>
      </c>
      <c r="C1012" t="s">
        <v>12</v>
      </c>
      <c r="D1012">
        <v>9</v>
      </c>
      <c r="E1012">
        <v>0</v>
      </c>
      <c r="F1012">
        <v>0</v>
      </c>
      <c r="G1012">
        <v>7</v>
      </c>
      <c r="H1012" t="s">
        <v>64</v>
      </c>
      <c r="I1012">
        <v>16</v>
      </c>
    </row>
    <row r="1013" spans="1:9" x14ac:dyDescent="0.3">
      <c r="A1013">
        <v>172</v>
      </c>
      <c r="B1013" t="s">
        <v>33</v>
      </c>
      <c r="C1013" t="s">
        <v>14</v>
      </c>
      <c r="D1013">
        <v>8</v>
      </c>
      <c r="E1013">
        <v>8</v>
      </c>
      <c r="F1013">
        <v>0</v>
      </c>
      <c r="G1013">
        <v>16</v>
      </c>
      <c r="H1013" t="s">
        <v>62</v>
      </c>
      <c r="I1013">
        <v>32</v>
      </c>
    </row>
    <row r="1014" spans="1:9" x14ac:dyDescent="0.3">
      <c r="A1014">
        <v>172</v>
      </c>
      <c r="B1014" t="s">
        <v>33</v>
      </c>
      <c r="C1014" t="s">
        <v>15</v>
      </c>
      <c r="D1014">
        <v>3</v>
      </c>
      <c r="E1014">
        <v>0</v>
      </c>
      <c r="F1014">
        <v>0</v>
      </c>
      <c r="G1014">
        <v>8</v>
      </c>
      <c r="H1014" t="s">
        <v>65</v>
      </c>
      <c r="I1014">
        <v>11</v>
      </c>
    </row>
    <row r="1015" spans="1:9" x14ac:dyDescent="0.3">
      <c r="A1015">
        <v>172</v>
      </c>
      <c r="B1015" t="s">
        <v>33</v>
      </c>
      <c r="C1015" t="s">
        <v>16</v>
      </c>
      <c r="D1015">
        <v>4</v>
      </c>
      <c r="E1015">
        <v>0</v>
      </c>
      <c r="F1015">
        <v>0</v>
      </c>
      <c r="G1015">
        <v>6</v>
      </c>
      <c r="H1015" t="s">
        <v>61</v>
      </c>
      <c r="I1015">
        <v>10</v>
      </c>
    </row>
    <row r="1016" spans="1:9" x14ac:dyDescent="0.3">
      <c r="A1016">
        <v>172</v>
      </c>
      <c r="B1016" t="s">
        <v>33</v>
      </c>
      <c r="C1016" t="s">
        <v>19</v>
      </c>
      <c r="D1016">
        <v>9</v>
      </c>
      <c r="E1016">
        <v>0</v>
      </c>
      <c r="F1016">
        <v>0</v>
      </c>
      <c r="G1016">
        <v>9</v>
      </c>
      <c r="H1016" t="s">
        <v>70</v>
      </c>
      <c r="I1016">
        <v>18</v>
      </c>
    </row>
    <row r="1017" spans="1:9" x14ac:dyDescent="0.3">
      <c r="A1017">
        <v>172</v>
      </c>
      <c r="B1017" t="s">
        <v>33</v>
      </c>
      <c r="C1017" t="s">
        <v>22</v>
      </c>
      <c r="D1017">
        <v>1</v>
      </c>
      <c r="E1017">
        <v>0</v>
      </c>
      <c r="F1017">
        <v>0</v>
      </c>
      <c r="G1017">
        <v>6</v>
      </c>
      <c r="H1017" t="s">
        <v>76</v>
      </c>
      <c r="I1017">
        <v>7</v>
      </c>
    </row>
    <row r="1018" spans="1:9" x14ac:dyDescent="0.3">
      <c r="A1018">
        <v>172</v>
      </c>
      <c r="B1018" t="s">
        <v>33</v>
      </c>
      <c r="C1018" t="s">
        <v>29</v>
      </c>
      <c r="D1018">
        <v>6</v>
      </c>
      <c r="E1018">
        <v>0</v>
      </c>
      <c r="F1018">
        <v>0</v>
      </c>
      <c r="G1018">
        <v>6</v>
      </c>
      <c r="H1018" t="s">
        <v>67</v>
      </c>
      <c r="I1018">
        <v>12</v>
      </c>
    </row>
    <row r="1019" spans="1:9" x14ac:dyDescent="0.3">
      <c r="A1019">
        <v>173</v>
      </c>
      <c r="B1019" t="s">
        <v>7</v>
      </c>
      <c r="C1019" t="s">
        <v>11</v>
      </c>
      <c r="D1019">
        <v>34</v>
      </c>
      <c r="E1019">
        <v>0</v>
      </c>
      <c r="F1019">
        <v>0</v>
      </c>
      <c r="G1019">
        <v>47</v>
      </c>
      <c r="H1019" t="s">
        <v>63</v>
      </c>
      <c r="I1019">
        <v>81</v>
      </c>
    </row>
    <row r="1020" spans="1:9" x14ac:dyDescent="0.3">
      <c r="A1020">
        <v>173</v>
      </c>
      <c r="B1020" t="s">
        <v>7</v>
      </c>
      <c r="C1020" t="s">
        <v>14</v>
      </c>
      <c r="D1020">
        <v>6</v>
      </c>
      <c r="E1020">
        <v>0</v>
      </c>
      <c r="F1020">
        <v>0</v>
      </c>
      <c r="G1020">
        <v>7</v>
      </c>
      <c r="H1020" t="s">
        <v>62</v>
      </c>
      <c r="I1020">
        <v>13</v>
      </c>
    </row>
    <row r="1021" spans="1:9" x14ac:dyDescent="0.3">
      <c r="A1021">
        <v>173</v>
      </c>
      <c r="B1021" t="s">
        <v>7</v>
      </c>
      <c r="C1021" t="s">
        <v>22</v>
      </c>
      <c r="D1021">
        <v>28</v>
      </c>
      <c r="E1021">
        <v>2</v>
      </c>
      <c r="F1021">
        <v>0</v>
      </c>
      <c r="G1021">
        <v>30</v>
      </c>
      <c r="H1021" t="s">
        <v>76</v>
      </c>
      <c r="I1021">
        <v>60</v>
      </c>
    </row>
    <row r="1022" spans="1:9" x14ac:dyDescent="0.3">
      <c r="A1022">
        <v>173</v>
      </c>
      <c r="B1022" t="s">
        <v>33</v>
      </c>
      <c r="C1022" t="s">
        <v>8</v>
      </c>
      <c r="D1022">
        <v>0</v>
      </c>
      <c r="E1022">
        <v>0</v>
      </c>
      <c r="F1022">
        <v>1</v>
      </c>
      <c r="G1022">
        <v>0</v>
      </c>
      <c r="H1022" t="s">
        <v>8</v>
      </c>
      <c r="I1022">
        <v>1</v>
      </c>
    </row>
    <row r="1023" spans="1:9" x14ac:dyDescent="0.3">
      <c r="A1023">
        <v>173</v>
      </c>
      <c r="B1023" t="s">
        <v>33</v>
      </c>
      <c r="C1023" t="s">
        <v>9</v>
      </c>
      <c r="D1023">
        <v>0</v>
      </c>
      <c r="E1023">
        <v>0</v>
      </c>
      <c r="F1023">
        <v>5</v>
      </c>
      <c r="G1023">
        <v>0</v>
      </c>
      <c r="H1023" t="s">
        <v>9</v>
      </c>
      <c r="I1023">
        <v>5</v>
      </c>
    </row>
    <row r="1024" spans="1:9" x14ac:dyDescent="0.3">
      <c r="A1024">
        <v>173</v>
      </c>
      <c r="B1024" t="s">
        <v>33</v>
      </c>
      <c r="C1024" t="s">
        <v>10</v>
      </c>
      <c r="D1024">
        <v>4</v>
      </c>
      <c r="E1024">
        <v>1</v>
      </c>
      <c r="F1024">
        <v>0</v>
      </c>
      <c r="G1024">
        <v>4</v>
      </c>
      <c r="H1024" t="s">
        <v>68</v>
      </c>
      <c r="I1024">
        <v>9</v>
      </c>
    </row>
    <row r="1025" spans="1:9" x14ac:dyDescent="0.3">
      <c r="A1025">
        <v>173</v>
      </c>
      <c r="B1025" t="s">
        <v>33</v>
      </c>
      <c r="C1025" t="s">
        <v>11</v>
      </c>
      <c r="D1025">
        <v>2</v>
      </c>
      <c r="E1025">
        <v>0</v>
      </c>
      <c r="F1025">
        <v>55</v>
      </c>
      <c r="G1025">
        <v>5</v>
      </c>
      <c r="H1025" t="s">
        <v>63</v>
      </c>
      <c r="I1025">
        <v>62</v>
      </c>
    </row>
    <row r="1026" spans="1:9" x14ac:dyDescent="0.3">
      <c r="A1026">
        <v>173</v>
      </c>
      <c r="B1026" t="s">
        <v>33</v>
      </c>
      <c r="C1026" t="s">
        <v>12</v>
      </c>
      <c r="D1026">
        <v>9</v>
      </c>
      <c r="E1026">
        <v>1</v>
      </c>
      <c r="F1026">
        <v>0</v>
      </c>
      <c r="G1026">
        <v>11</v>
      </c>
      <c r="H1026" t="s">
        <v>64</v>
      </c>
      <c r="I1026">
        <v>21</v>
      </c>
    </row>
    <row r="1027" spans="1:9" x14ac:dyDescent="0.3">
      <c r="A1027">
        <v>173</v>
      </c>
      <c r="B1027" t="s">
        <v>33</v>
      </c>
      <c r="C1027" t="s">
        <v>14</v>
      </c>
      <c r="D1027">
        <v>7</v>
      </c>
      <c r="E1027">
        <v>4</v>
      </c>
      <c r="F1027">
        <v>0</v>
      </c>
      <c r="G1027">
        <v>10</v>
      </c>
      <c r="H1027" t="s">
        <v>62</v>
      </c>
      <c r="I1027">
        <v>21</v>
      </c>
    </row>
    <row r="1028" spans="1:9" x14ac:dyDescent="0.3">
      <c r="A1028">
        <v>173</v>
      </c>
      <c r="B1028" t="s">
        <v>33</v>
      </c>
      <c r="C1028" t="s">
        <v>15</v>
      </c>
      <c r="D1028">
        <v>2</v>
      </c>
      <c r="E1028">
        <v>0</v>
      </c>
      <c r="F1028">
        <v>0</v>
      </c>
      <c r="G1028">
        <v>6</v>
      </c>
      <c r="H1028" t="s">
        <v>65</v>
      </c>
      <c r="I1028">
        <v>8</v>
      </c>
    </row>
    <row r="1029" spans="1:9" x14ac:dyDescent="0.3">
      <c r="A1029">
        <v>173</v>
      </c>
      <c r="B1029" t="s">
        <v>33</v>
      </c>
      <c r="C1029" t="s">
        <v>16</v>
      </c>
      <c r="D1029">
        <v>1</v>
      </c>
      <c r="E1029">
        <v>0</v>
      </c>
      <c r="F1029">
        <v>0</v>
      </c>
      <c r="G1029">
        <v>3</v>
      </c>
      <c r="H1029" t="s">
        <v>61</v>
      </c>
      <c r="I1029">
        <v>4</v>
      </c>
    </row>
    <row r="1030" spans="1:9" x14ac:dyDescent="0.3">
      <c r="A1030">
        <v>173</v>
      </c>
      <c r="B1030" t="s">
        <v>33</v>
      </c>
      <c r="C1030" t="s">
        <v>19</v>
      </c>
      <c r="D1030">
        <v>14</v>
      </c>
      <c r="E1030">
        <v>0</v>
      </c>
      <c r="F1030">
        <v>0</v>
      </c>
      <c r="G1030">
        <v>9</v>
      </c>
      <c r="H1030" t="s">
        <v>70</v>
      </c>
      <c r="I1030">
        <v>23</v>
      </c>
    </row>
    <row r="1031" spans="1:9" x14ac:dyDescent="0.3">
      <c r="A1031">
        <v>173</v>
      </c>
      <c r="B1031" t="s">
        <v>33</v>
      </c>
      <c r="C1031" t="s">
        <v>22</v>
      </c>
      <c r="D1031">
        <v>1</v>
      </c>
      <c r="E1031">
        <v>0</v>
      </c>
      <c r="F1031">
        <v>0</v>
      </c>
      <c r="G1031">
        <v>1</v>
      </c>
      <c r="H1031" t="s">
        <v>76</v>
      </c>
      <c r="I1031">
        <v>2</v>
      </c>
    </row>
    <row r="1032" spans="1:9" x14ac:dyDescent="0.3">
      <c r="A1032">
        <v>173</v>
      </c>
      <c r="B1032" t="s">
        <v>33</v>
      </c>
      <c r="C1032" t="s">
        <v>29</v>
      </c>
      <c r="D1032">
        <v>0</v>
      </c>
      <c r="E1032">
        <v>0</v>
      </c>
      <c r="F1032">
        <v>0</v>
      </c>
      <c r="G1032">
        <v>2</v>
      </c>
      <c r="H1032" t="s">
        <v>67</v>
      </c>
      <c r="I1032">
        <v>2</v>
      </c>
    </row>
    <row r="1033" spans="1:9" x14ac:dyDescent="0.3">
      <c r="A1033">
        <v>174</v>
      </c>
      <c r="B1033" t="s">
        <v>7</v>
      </c>
      <c r="C1033" t="s">
        <v>11</v>
      </c>
      <c r="D1033">
        <v>9</v>
      </c>
      <c r="E1033">
        <v>0</v>
      </c>
      <c r="F1033">
        <v>0</v>
      </c>
      <c r="G1033">
        <v>6</v>
      </c>
      <c r="H1033" t="s">
        <v>63</v>
      </c>
      <c r="I1033">
        <v>15</v>
      </c>
    </row>
    <row r="1034" spans="1:9" x14ac:dyDescent="0.3">
      <c r="A1034">
        <v>174</v>
      </c>
      <c r="B1034" t="s">
        <v>7</v>
      </c>
      <c r="C1034" t="s">
        <v>13</v>
      </c>
      <c r="D1034">
        <v>0</v>
      </c>
      <c r="E1034">
        <v>0</v>
      </c>
      <c r="F1034">
        <v>0</v>
      </c>
      <c r="G1034">
        <v>2</v>
      </c>
      <c r="H1034" t="s">
        <v>69</v>
      </c>
      <c r="I1034">
        <v>2</v>
      </c>
    </row>
    <row r="1035" spans="1:9" x14ac:dyDescent="0.3">
      <c r="A1035">
        <v>174</v>
      </c>
      <c r="B1035" t="s">
        <v>7</v>
      </c>
      <c r="C1035" t="s">
        <v>14</v>
      </c>
      <c r="D1035">
        <v>6</v>
      </c>
      <c r="E1035">
        <v>0</v>
      </c>
      <c r="F1035">
        <v>0</v>
      </c>
      <c r="G1035">
        <v>5</v>
      </c>
      <c r="H1035" t="s">
        <v>62</v>
      </c>
      <c r="I1035">
        <v>11</v>
      </c>
    </row>
    <row r="1036" spans="1:9" x14ac:dyDescent="0.3">
      <c r="A1036">
        <v>174</v>
      </c>
      <c r="B1036" t="s">
        <v>7</v>
      </c>
      <c r="C1036" t="s">
        <v>24</v>
      </c>
      <c r="D1036">
        <v>4</v>
      </c>
      <c r="E1036">
        <v>0</v>
      </c>
      <c r="F1036">
        <v>0</v>
      </c>
      <c r="G1036">
        <v>3</v>
      </c>
      <c r="H1036" t="s">
        <v>75</v>
      </c>
      <c r="I1036">
        <v>7</v>
      </c>
    </row>
    <row r="1037" spans="1:9" x14ac:dyDescent="0.3">
      <c r="A1037">
        <v>174</v>
      </c>
      <c r="B1037" t="s">
        <v>33</v>
      </c>
      <c r="C1037" t="s">
        <v>8</v>
      </c>
      <c r="D1037">
        <v>0</v>
      </c>
      <c r="E1037">
        <v>0</v>
      </c>
      <c r="F1037">
        <v>3</v>
      </c>
      <c r="G1037">
        <v>0</v>
      </c>
      <c r="H1037" t="s">
        <v>8</v>
      </c>
      <c r="I1037">
        <v>3</v>
      </c>
    </row>
    <row r="1038" spans="1:9" x14ac:dyDescent="0.3">
      <c r="A1038">
        <v>174</v>
      </c>
      <c r="B1038" t="s">
        <v>33</v>
      </c>
      <c r="C1038" t="s">
        <v>9</v>
      </c>
      <c r="D1038">
        <v>0</v>
      </c>
      <c r="E1038">
        <v>0</v>
      </c>
      <c r="F1038">
        <v>20</v>
      </c>
      <c r="G1038">
        <v>0</v>
      </c>
      <c r="H1038" t="s">
        <v>9</v>
      </c>
      <c r="I1038">
        <v>20</v>
      </c>
    </row>
    <row r="1039" spans="1:9" x14ac:dyDescent="0.3">
      <c r="A1039">
        <v>174</v>
      </c>
      <c r="B1039" t="s">
        <v>33</v>
      </c>
      <c r="C1039" t="s">
        <v>10</v>
      </c>
      <c r="D1039">
        <v>21</v>
      </c>
      <c r="E1039">
        <v>0</v>
      </c>
      <c r="F1039">
        <v>0</v>
      </c>
      <c r="G1039">
        <v>10</v>
      </c>
      <c r="H1039" t="s">
        <v>68</v>
      </c>
      <c r="I1039">
        <v>31</v>
      </c>
    </row>
    <row r="1040" spans="1:9" x14ac:dyDescent="0.3">
      <c r="A1040">
        <v>174</v>
      </c>
      <c r="B1040" t="s">
        <v>33</v>
      </c>
      <c r="C1040" t="s">
        <v>12</v>
      </c>
      <c r="D1040">
        <v>43</v>
      </c>
      <c r="E1040">
        <v>24</v>
      </c>
      <c r="F1040">
        <v>0</v>
      </c>
      <c r="G1040">
        <v>47</v>
      </c>
      <c r="H1040" t="s">
        <v>64</v>
      </c>
      <c r="I1040">
        <v>114</v>
      </c>
    </row>
    <row r="1041" spans="1:9" x14ac:dyDescent="0.3">
      <c r="A1041">
        <v>174</v>
      </c>
      <c r="B1041" t="s">
        <v>33</v>
      </c>
      <c r="C1041" t="s">
        <v>15</v>
      </c>
      <c r="D1041">
        <v>29</v>
      </c>
      <c r="E1041">
        <v>1</v>
      </c>
      <c r="F1041">
        <v>0</v>
      </c>
      <c r="G1041">
        <v>27</v>
      </c>
      <c r="H1041" t="s">
        <v>65</v>
      </c>
      <c r="I1041">
        <v>57</v>
      </c>
    </row>
    <row r="1042" spans="1:9" x14ac:dyDescent="0.3">
      <c r="A1042">
        <v>174</v>
      </c>
      <c r="B1042" t="s">
        <v>33</v>
      </c>
      <c r="C1042" t="s">
        <v>16</v>
      </c>
      <c r="D1042">
        <v>10</v>
      </c>
      <c r="E1042">
        <v>8</v>
      </c>
      <c r="F1042">
        <v>3</v>
      </c>
      <c r="G1042">
        <v>9</v>
      </c>
      <c r="H1042" t="s">
        <v>61</v>
      </c>
      <c r="I1042">
        <v>30</v>
      </c>
    </row>
    <row r="1043" spans="1:9" x14ac:dyDescent="0.3">
      <c r="A1043">
        <v>174</v>
      </c>
      <c r="B1043" t="s">
        <v>33</v>
      </c>
      <c r="C1043" t="s">
        <v>19</v>
      </c>
      <c r="D1043">
        <v>55</v>
      </c>
      <c r="E1043">
        <v>5</v>
      </c>
      <c r="F1043">
        <v>0</v>
      </c>
      <c r="G1043">
        <v>28</v>
      </c>
      <c r="H1043" t="s">
        <v>70</v>
      </c>
      <c r="I1043">
        <v>88</v>
      </c>
    </row>
    <row r="1044" spans="1:9" x14ac:dyDescent="0.3">
      <c r="A1044">
        <v>174</v>
      </c>
      <c r="B1044" t="s">
        <v>33</v>
      </c>
      <c r="C1044" t="s">
        <v>22</v>
      </c>
      <c r="D1044">
        <v>4</v>
      </c>
      <c r="E1044">
        <v>0</v>
      </c>
      <c r="F1044">
        <v>0</v>
      </c>
      <c r="G1044">
        <v>2</v>
      </c>
      <c r="H1044" t="s">
        <v>76</v>
      </c>
      <c r="I1044">
        <v>6</v>
      </c>
    </row>
    <row r="1045" spans="1:9" x14ac:dyDescent="0.3">
      <c r="A1045">
        <v>175</v>
      </c>
      <c r="B1045" t="s">
        <v>7</v>
      </c>
      <c r="C1045" t="s">
        <v>11</v>
      </c>
      <c r="D1045">
        <v>18</v>
      </c>
      <c r="E1045">
        <v>2</v>
      </c>
      <c r="F1045">
        <v>0</v>
      </c>
      <c r="G1045">
        <v>30</v>
      </c>
      <c r="H1045" t="s">
        <v>63</v>
      </c>
      <c r="I1045">
        <v>50</v>
      </c>
    </row>
    <row r="1046" spans="1:9" x14ac:dyDescent="0.3">
      <c r="A1046">
        <v>175</v>
      </c>
      <c r="B1046" t="s">
        <v>7</v>
      </c>
      <c r="C1046" t="s">
        <v>12</v>
      </c>
      <c r="D1046">
        <v>33</v>
      </c>
      <c r="E1046">
        <v>92</v>
      </c>
      <c r="F1046">
        <v>23</v>
      </c>
      <c r="G1046">
        <v>82</v>
      </c>
      <c r="H1046" t="s">
        <v>64</v>
      </c>
      <c r="I1046">
        <v>230</v>
      </c>
    </row>
    <row r="1047" spans="1:9" x14ac:dyDescent="0.3">
      <c r="A1047">
        <v>175</v>
      </c>
      <c r="B1047" t="s">
        <v>7</v>
      </c>
      <c r="C1047" t="s">
        <v>14</v>
      </c>
      <c r="D1047">
        <v>38</v>
      </c>
      <c r="E1047">
        <v>11</v>
      </c>
      <c r="F1047">
        <v>0</v>
      </c>
      <c r="G1047">
        <v>24</v>
      </c>
      <c r="H1047" t="s">
        <v>62</v>
      </c>
      <c r="I1047">
        <v>73</v>
      </c>
    </row>
    <row r="1048" spans="1:9" x14ac:dyDescent="0.3">
      <c r="A1048">
        <v>175</v>
      </c>
      <c r="B1048" t="s">
        <v>7</v>
      </c>
      <c r="C1048" t="s">
        <v>15</v>
      </c>
      <c r="D1048">
        <v>21</v>
      </c>
      <c r="E1048">
        <v>0</v>
      </c>
      <c r="F1048">
        <v>0</v>
      </c>
      <c r="G1048">
        <v>32</v>
      </c>
      <c r="H1048" t="s">
        <v>65</v>
      </c>
      <c r="I1048">
        <v>53</v>
      </c>
    </row>
    <row r="1049" spans="1:9" x14ac:dyDescent="0.3">
      <c r="A1049">
        <v>175</v>
      </c>
      <c r="B1049" t="s">
        <v>7</v>
      </c>
      <c r="C1049" t="s">
        <v>16</v>
      </c>
      <c r="D1049">
        <v>7</v>
      </c>
      <c r="E1049">
        <v>5</v>
      </c>
      <c r="F1049">
        <v>0</v>
      </c>
      <c r="G1049">
        <v>18</v>
      </c>
      <c r="H1049" t="s">
        <v>61</v>
      </c>
      <c r="I1049">
        <v>30</v>
      </c>
    </row>
    <row r="1050" spans="1:9" x14ac:dyDescent="0.3">
      <c r="A1050">
        <v>175</v>
      </c>
      <c r="B1050" t="s">
        <v>7</v>
      </c>
      <c r="C1050" t="s">
        <v>19</v>
      </c>
      <c r="D1050">
        <v>18</v>
      </c>
      <c r="E1050">
        <v>7</v>
      </c>
      <c r="F1050">
        <v>0</v>
      </c>
      <c r="G1050">
        <v>23</v>
      </c>
      <c r="H1050" t="s">
        <v>70</v>
      </c>
      <c r="I1050">
        <v>48</v>
      </c>
    </row>
    <row r="1051" spans="1:9" x14ac:dyDescent="0.3">
      <c r="A1051">
        <v>175</v>
      </c>
      <c r="B1051" t="s">
        <v>7</v>
      </c>
      <c r="C1051" t="s">
        <v>22</v>
      </c>
      <c r="D1051">
        <v>30</v>
      </c>
      <c r="E1051">
        <v>6</v>
      </c>
      <c r="F1051">
        <v>0</v>
      </c>
      <c r="G1051">
        <v>47</v>
      </c>
      <c r="H1051" t="s">
        <v>76</v>
      </c>
      <c r="I1051">
        <v>83</v>
      </c>
    </row>
    <row r="1052" spans="1:9" x14ac:dyDescent="0.3">
      <c r="A1052">
        <v>175</v>
      </c>
      <c r="B1052" t="s">
        <v>33</v>
      </c>
      <c r="C1052" t="s">
        <v>8</v>
      </c>
      <c r="D1052">
        <v>0</v>
      </c>
      <c r="E1052">
        <v>0</v>
      </c>
      <c r="F1052">
        <v>1</v>
      </c>
      <c r="G1052">
        <v>0</v>
      </c>
      <c r="H1052" t="s">
        <v>8</v>
      </c>
      <c r="I1052">
        <v>1</v>
      </c>
    </row>
    <row r="1053" spans="1:9" x14ac:dyDescent="0.3">
      <c r="A1053">
        <v>175</v>
      </c>
      <c r="B1053" t="s">
        <v>33</v>
      </c>
      <c r="C1053" t="s">
        <v>9</v>
      </c>
      <c r="D1053">
        <v>0</v>
      </c>
      <c r="E1053">
        <v>0</v>
      </c>
      <c r="F1053">
        <v>36</v>
      </c>
      <c r="G1053">
        <v>0</v>
      </c>
      <c r="H1053" t="s">
        <v>9</v>
      </c>
      <c r="I1053">
        <v>36</v>
      </c>
    </row>
    <row r="1054" spans="1:9" x14ac:dyDescent="0.3">
      <c r="A1054">
        <v>175</v>
      </c>
      <c r="B1054" t="s">
        <v>33</v>
      </c>
      <c r="C1054" t="s">
        <v>10</v>
      </c>
      <c r="D1054">
        <v>12</v>
      </c>
      <c r="E1054">
        <v>0</v>
      </c>
      <c r="F1054">
        <v>0</v>
      </c>
      <c r="G1054">
        <v>17</v>
      </c>
      <c r="H1054" t="s">
        <v>68</v>
      </c>
      <c r="I1054">
        <v>29</v>
      </c>
    </row>
    <row r="1055" spans="1:9" x14ac:dyDescent="0.3">
      <c r="A1055">
        <v>175</v>
      </c>
      <c r="B1055" t="s">
        <v>33</v>
      </c>
      <c r="C1055" t="s">
        <v>11</v>
      </c>
      <c r="D1055">
        <v>3</v>
      </c>
      <c r="E1055">
        <v>0</v>
      </c>
      <c r="F1055">
        <v>0</v>
      </c>
      <c r="G1055">
        <v>6</v>
      </c>
      <c r="H1055" t="s">
        <v>63</v>
      </c>
      <c r="I1055">
        <v>9</v>
      </c>
    </row>
    <row r="1056" spans="1:9" x14ac:dyDescent="0.3">
      <c r="A1056">
        <v>175</v>
      </c>
      <c r="B1056" t="s">
        <v>33</v>
      </c>
      <c r="C1056" t="s">
        <v>12</v>
      </c>
      <c r="D1056">
        <v>14</v>
      </c>
      <c r="E1056">
        <v>0</v>
      </c>
      <c r="F1056">
        <v>1</v>
      </c>
      <c r="G1056">
        <v>13</v>
      </c>
      <c r="H1056" t="s">
        <v>64</v>
      </c>
      <c r="I1056">
        <v>28</v>
      </c>
    </row>
    <row r="1057" spans="1:9" x14ac:dyDescent="0.3">
      <c r="A1057">
        <v>175</v>
      </c>
      <c r="B1057" t="s">
        <v>33</v>
      </c>
      <c r="C1057" t="s">
        <v>14</v>
      </c>
      <c r="D1057">
        <v>9</v>
      </c>
      <c r="E1057">
        <v>2</v>
      </c>
      <c r="F1057">
        <v>0</v>
      </c>
      <c r="G1057">
        <v>12</v>
      </c>
      <c r="H1057" t="s">
        <v>62</v>
      </c>
      <c r="I1057">
        <v>23</v>
      </c>
    </row>
    <row r="1058" spans="1:9" x14ac:dyDescent="0.3">
      <c r="A1058">
        <v>175</v>
      </c>
      <c r="B1058" t="s">
        <v>33</v>
      </c>
      <c r="C1058" t="s">
        <v>15</v>
      </c>
      <c r="D1058">
        <v>0</v>
      </c>
      <c r="E1058">
        <v>0</v>
      </c>
      <c r="F1058">
        <v>0</v>
      </c>
      <c r="G1058">
        <v>6</v>
      </c>
      <c r="H1058" t="s">
        <v>65</v>
      </c>
      <c r="I1058">
        <v>6</v>
      </c>
    </row>
    <row r="1059" spans="1:9" x14ac:dyDescent="0.3">
      <c r="A1059">
        <v>175</v>
      </c>
      <c r="B1059" t="s">
        <v>33</v>
      </c>
      <c r="C1059" t="s">
        <v>16</v>
      </c>
      <c r="D1059">
        <v>0</v>
      </c>
      <c r="E1059">
        <v>0</v>
      </c>
      <c r="F1059">
        <v>0</v>
      </c>
      <c r="G1059">
        <v>4</v>
      </c>
      <c r="H1059" t="s">
        <v>61</v>
      </c>
      <c r="I1059">
        <v>4</v>
      </c>
    </row>
    <row r="1060" spans="1:9" x14ac:dyDescent="0.3">
      <c r="A1060">
        <v>175</v>
      </c>
      <c r="B1060" t="s">
        <v>33</v>
      </c>
      <c r="C1060" t="s">
        <v>17</v>
      </c>
      <c r="D1060">
        <v>0</v>
      </c>
      <c r="E1060">
        <v>0</v>
      </c>
      <c r="F1060">
        <v>0</v>
      </c>
      <c r="G1060">
        <v>1</v>
      </c>
      <c r="H1060" t="s">
        <v>66</v>
      </c>
      <c r="I1060">
        <v>1</v>
      </c>
    </row>
    <row r="1061" spans="1:9" x14ac:dyDescent="0.3">
      <c r="A1061">
        <v>175</v>
      </c>
      <c r="B1061" t="s">
        <v>33</v>
      </c>
      <c r="C1061" t="s">
        <v>19</v>
      </c>
      <c r="D1061">
        <v>1</v>
      </c>
      <c r="E1061">
        <v>0</v>
      </c>
      <c r="F1061">
        <v>0</v>
      </c>
      <c r="G1061">
        <v>7</v>
      </c>
      <c r="H1061" t="s">
        <v>70</v>
      </c>
      <c r="I1061">
        <v>8</v>
      </c>
    </row>
    <row r="1062" spans="1:9" x14ac:dyDescent="0.3">
      <c r="A1062">
        <v>175</v>
      </c>
      <c r="B1062" t="s">
        <v>33</v>
      </c>
      <c r="C1062" t="s">
        <v>24</v>
      </c>
      <c r="D1062">
        <v>0</v>
      </c>
      <c r="E1062">
        <v>0</v>
      </c>
      <c r="F1062">
        <v>0</v>
      </c>
      <c r="G1062">
        <v>2</v>
      </c>
      <c r="H1062" t="s">
        <v>75</v>
      </c>
      <c r="I1062">
        <v>2</v>
      </c>
    </row>
    <row r="1063" spans="1:9" x14ac:dyDescent="0.3">
      <c r="A1063">
        <v>175</v>
      </c>
      <c r="B1063" t="s">
        <v>33</v>
      </c>
      <c r="C1063" t="s">
        <v>28</v>
      </c>
      <c r="D1063">
        <v>0</v>
      </c>
      <c r="E1063">
        <v>0</v>
      </c>
      <c r="F1063">
        <v>0</v>
      </c>
      <c r="G1063">
        <v>1</v>
      </c>
      <c r="H1063" t="s">
        <v>28</v>
      </c>
      <c r="I1063">
        <v>1</v>
      </c>
    </row>
    <row r="1064" spans="1:9" x14ac:dyDescent="0.3">
      <c r="A1064">
        <v>175</v>
      </c>
      <c r="B1064" t="s">
        <v>33</v>
      </c>
      <c r="C1064" t="s">
        <v>29</v>
      </c>
      <c r="D1064">
        <v>3</v>
      </c>
      <c r="E1064">
        <v>0</v>
      </c>
      <c r="F1064">
        <v>0</v>
      </c>
      <c r="G1064">
        <v>5</v>
      </c>
      <c r="H1064" t="s">
        <v>67</v>
      </c>
      <c r="I1064">
        <v>8</v>
      </c>
    </row>
    <row r="1065" spans="1:9" x14ac:dyDescent="0.3">
      <c r="A1065">
        <v>176</v>
      </c>
      <c r="B1065" t="s">
        <v>7</v>
      </c>
      <c r="C1065" t="s">
        <v>11</v>
      </c>
      <c r="D1065">
        <v>13</v>
      </c>
      <c r="E1065">
        <v>0</v>
      </c>
      <c r="F1065">
        <v>0</v>
      </c>
      <c r="G1065">
        <v>10</v>
      </c>
      <c r="H1065" t="s">
        <v>63</v>
      </c>
      <c r="I1065">
        <v>23</v>
      </c>
    </row>
    <row r="1066" spans="1:9" x14ac:dyDescent="0.3">
      <c r="A1066">
        <v>176</v>
      </c>
      <c r="B1066" t="s">
        <v>7</v>
      </c>
      <c r="C1066" t="s">
        <v>12</v>
      </c>
      <c r="D1066">
        <v>0</v>
      </c>
      <c r="E1066">
        <v>0</v>
      </c>
      <c r="F1066">
        <v>0</v>
      </c>
      <c r="G1066">
        <v>1</v>
      </c>
      <c r="H1066" t="s">
        <v>64</v>
      </c>
      <c r="I1066">
        <v>1</v>
      </c>
    </row>
    <row r="1067" spans="1:9" x14ac:dyDescent="0.3">
      <c r="A1067">
        <v>176</v>
      </c>
      <c r="B1067" t="s">
        <v>7</v>
      </c>
      <c r="C1067" t="s">
        <v>14</v>
      </c>
      <c r="D1067">
        <v>0</v>
      </c>
      <c r="E1067">
        <v>0</v>
      </c>
      <c r="F1067">
        <v>0</v>
      </c>
      <c r="G1067">
        <v>1</v>
      </c>
      <c r="H1067" t="s">
        <v>62</v>
      </c>
      <c r="I1067">
        <v>1</v>
      </c>
    </row>
    <row r="1068" spans="1:9" x14ac:dyDescent="0.3">
      <c r="A1068">
        <v>176</v>
      </c>
      <c r="B1068" t="s">
        <v>7</v>
      </c>
      <c r="C1068" t="s">
        <v>15</v>
      </c>
      <c r="D1068">
        <v>0</v>
      </c>
      <c r="E1068">
        <v>0</v>
      </c>
      <c r="F1068">
        <v>0</v>
      </c>
      <c r="G1068">
        <v>1</v>
      </c>
      <c r="H1068" t="s">
        <v>65</v>
      </c>
      <c r="I1068">
        <v>1</v>
      </c>
    </row>
    <row r="1069" spans="1:9" x14ac:dyDescent="0.3">
      <c r="A1069">
        <v>176</v>
      </c>
      <c r="B1069" t="s">
        <v>7</v>
      </c>
      <c r="C1069" t="s">
        <v>16</v>
      </c>
      <c r="D1069">
        <v>0</v>
      </c>
      <c r="E1069">
        <v>0</v>
      </c>
      <c r="F1069">
        <v>0</v>
      </c>
      <c r="G1069">
        <v>1</v>
      </c>
      <c r="H1069" t="s">
        <v>61</v>
      </c>
      <c r="I1069">
        <v>1</v>
      </c>
    </row>
    <row r="1070" spans="1:9" x14ac:dyDescent="0.3">
      <c r="A1070">
        <v>176</v>
      </c>
      <c r="B1070" t="s">
        <v>7</v>
      </c>
      <c r="C1070" t="s">
        <v>19</v>
      </c>
      <c r="D1070">
        <v>0</v>
      </c>
      <c r="E1070">
        <v>0</v>
      </c>
      <c r="F1070">
        <v>0</v>
      </c>
      <c r="G1070">
        <v>1</v>
      </c>
      <c r="H1070" t="s">
        <v>70</v>
      </c>
      <c r="I1070">
        <v>1</v>
      </c>
    </row>
    <row r="1071" spans="1:9" x14ac:dyDescent="0.3">
      <c r="A1071">
        <v>176</v>
      </c>
      <c r="B1071" t="s">
        <v>33</v>
      </c>
      <c r="C1071" t="s">
        <v>8</v>
      </c>
      <c r="D1071">
        <v>0</v>
      </c>
      <c r="E1071">
        <v>0</v>
      </c>
      <c r="F1071">
        <v>3</v>
      </c>
      <c r="G1071">
        <v>0</v>
      </c>
      <c r="H1071" t="s">
        <v>8</v>
      </c>
      <c r="I1071">
        <v>3</v>
      </c>
    </row>
    <row r="1072" spans="1:9" x14ac:dyDescent="0.3">
      <c r="A1072">
        <v>176</v>
      </c>
      <c r="B1072" t="s">
        <v>33</v>
      </c>
      <c r="C1072" t="s">
        <v>9</v>
      </c>
      <c r="D1072">
        <v>0</v>
      </c>
      <c r="E1072">
        <v>0</v>
      </c>
      <c r="F1072">
        <v>23</v>
      </c>
      <c r="G1072">
        <v>0</v>
      </c>
      <c r="H1072" t="s">
        <v>9</v>
      </c>
      <c r="I1072">
        <v>23</v>
      </c>
    </row>
    <row r="1073" spans="1:9" x14ac:dyDescent="0.3">
      <c r="A1073">
        <v>176</v>
      </c>
      <c r="B1073" t="s">
        <v>33</v>
      </c>
      <c r="C1073" t="s">
        <v>12</v>
      </c>
      <c r="D1073">
        <v>71</v>
      </c>
      <c r="E1073">
        <v>33</v>
      </c>
      <c r="F1073">
        <v>0</v>
      </c>
      <c r="G1073">
        <v>60</v>
      </c>
      <c r="H1073" t="s">
        <v>64</v>
      </c>
      <c r="I1073">
        <v>164</v>
      </c>
    </row>
    <row r="1074" spans="1:9" x14ac:dyDescent="0.3">
      <c r="A1074">
        <v>177</v>
      </c>
      <c r="B1074" t="s">
        <v>7</v>
      </c>
      <c r="C1074" t="s">
        <v>14</v>
      </c>
      <c r="D1074">
        <v>8</v>
      </c>
      <c r="E1074">
        <v>0</v>
      </c>
      <c r="F1074">
        <v>0</v>
      </c>
      <c r="G1074">
        <v>5</v>
      </c>
      <c r="H1074" t="s">
        <v>62</v>
      </c>
      <c r="I1074">
        <v>13</v>
      </c>
    </row>
    <row r="1075" spans="1:9" x14ac:dyDescent="0.3">
      <c r="A1075">
        <v>177</v>
      </c>
      <c r="B1075" t="s">
        <v>7</v>
      </c>
      <c r="C1075" t="s">
        <v>23</v>
      </c>
      <c r="D1075">
        <v>7</v>
      </c>
      <c r="E1075">
        <v>3</v>
      </c>
      <c r="F1075">
        <v>63</v>
      </c>
      <c r="G1075">
        <v>22</v>
      </c>
      <c r="H1075" t="s">
        <v>73</v>
      </c>
      <c r="I1075">
        <v>95</v>
      </c>
    </row>
    <row r="1076" spans="1:9" x14ac:dyDescent="0.3">
      <c r="A1076">
        <v>177</v>
      </c>
      <c r="B1076" t="s">
        <v>33</v>
      </c>
      <c r="C1076" t="s">
        <v>9</v>
      </c>
      <c r="D1076">
        <v>0</v>
      </c>
      <c r="E1076">
        <v>0</v>
      </c>
      <c r="F1076">
        <v>23</v>
      </c>
      <c r="G1076">
        <v>0</v>
      </c>
      <c r="H1076" t="s">
        <v>9</v>
      </c>
      <c r="I1076">
        <v>23</v>
      </c>
    </row>
    <row r="1077" spans="1:9" x14ac:dyDescent="0.3">
      <c r="A1077">
        <v>177</v>
      </c>
      <c r="B1077" t="s">
        <v>33</v>
      </c>
      <c r="C1077" t="s">
        <v>10</v>
      </c>
      <c r="D1077">
        <v>4</v>
      </c>
      <c r="E1077">
        <v>0</v>
      </c>
      <c r="F1077">
        <v>0</v>
      </c>
      <c r="G1077">
        <v>4</v>
      </c>
      <c r="H1077" t="s">
        <v>68</v>
      </c>
      <c r="I1077">
        <v>8</v>
      </c>
    </row>
    <row r="1078" spans="1:9" x14ac:dyDescent="0.3">
      <c r="A1078">
        <v>177</v>
      </c>
      <c r="B1078" t="s">
        <v>33</v>
      </c>
      <c r="C1078" t="s">
        <v>12</v>
      </c>
      <c r="D1078">
        <v>4</v>
      </c>
      <c r="E1078">
        <v>0</v>
      </c>
      <c r="F1078">
        <v>0</v>
      </c>
      <c r="G1078">
        <v>3</v>
      </c>
      <c r="H1078" t="s">
        <v>64</v>
      </c>
      <c r="I1078">
        <v>7</v>
      </c>
    </row>
    <row r="1079" spans="1:9" x14ac:dyDescent="0.3">
      <c r="A1079">
        <v>177</v>
      </c>
      <c r="B1079" t="s">
        <v>33</v>
      </c>
      <c r="C1079" t="s">
        <v>15</v>
      </c>
      <c r="D1079">
        <v>17</v>
      </c>
      <c r="E1079">
        <v>12</v>
      </c>
      <c r="F1079">
        <v>1</v>
      </c>
      <c r="G1079">
        <v>20</v>
      </c>
      <c r="H1079" t="s">
        <v>65</v>
      </c>
      <c r="I1079">
        <v>50</v>
      </c>
    </row>
    <row r="1080" spans="1:9" x14ac:dyDescent="0.3">
      <c r="A1080">
        <v>177</v>
      </c>
      <c r="B1080" t="s">
        <v>33</v>
      </c>
      <c r="C1080" t="s">
        <v>16</v>
      </c>
      <c r="D1080">
        <v>16</v>
      </c>
      <c r="E1080">
        <v>0</v>
      </c>
      <c r="F1080">
        <v>0</v>
      </c>
      <c r="G1080">
        <v>6</v>
      </c>
      <c r="H1080" t="s">
        <v>61</v>
      </c>
      <c r="I1080">
        <v>22</v>
      </c>
    </row>
    <row r="1081" spans="1:9" x14ac:dyDescent="0.3">
      <c r="A1081">
        <v>177</v>
      </c>
      <c r="B1081" t="s">
        <v>33</v>
      </c>
      <c r="C1081" t="s">
        <v>19</v>
      </c>
      <c r="D1081">
        <v>20</v>
      </c>
      <c r="E1081">
        <v>0</v>
      </c>
      <c r="F1081">
        <v>0</v>
      </c>
      <c r="G1081">
        <v>16</v>
      </c>
      <c r="H1081" t="s">
        <v>70</v>
      </c>
      <c r="I1081">
        <v>36</v>
      </c>
    </row>
    <row r="1082" spans="1:9" x14ac:dyDescent="0.3">
      <c r="A1082">
        <v>177</v>
      </c>
      <c r="B1082" t="s">
        <v>33</v>
      </c>
      <c r="C1082" t="s">
        <v>23</v>
      </c>
      <c r="D1082">
        <v>27</v>
      </c>
      <c r="E1082">
        <v>1</v>
      </c>
      <c r="F1082">
        <v>0</v>
      </c>
      <c r="G1082">
        <v>27</v>
      </c>
      <c r="H1082" t="s">
        <v>73</v>
      </c>
      <c r="I1082">
        <v>55</v>
      </c>
    </row>
    <row r="1083" spans="1:9" x14ac:dyDescent="0.3">
      <c r="A1083">
        <v>177</v>
      </c>
      <c r="B1083" t="s">
        <v>33</v>
      </c>
      <c r="C1083" t="s">
        <v>29</v>
      </c>
      <c r="D1083">
        <v>0</v>
      </c>
      <c r="E1083">
        <v>0</v>
      </c>
      <c r="F1083">
        <v>0</v>
      </c>
      <c r="G1083">
        <v>3</v>
      </c>
      <c r="H1083" t="s">
        <v>67</v>
      </c>
      <c r="I1083">
        <v>3</v>
      </c>
    </row>
    <row r="1084" spans="1:9" x14ac:dyDescent="0.3">
      <c r="A1084">
        <v>178</v>
      </c>
      <c r="B1084" t="s">
        <v>7</v>
      </c>
      <c r="C1084" t="s">
        <v>11</v>
      </c>
      <c r="D1084">
        <v>15</v>
      </c>
      <c r="E1084">
        <v>0</v>
      </c>
      <c r="F1084">
        <v>0</v>
      </c>
      <c r="G1084">
        <v>20</v>
      </c>
      <c r="H1084" t="s">
        <v>63</v>
      </c>
      <c r="I1084">
        <v>35</v>
      </c>
    </row>
    <row r="1085" spans="1:9" x14ac:dyDescent="0.3">
      <c r="A1085">
        <v>178</v>
      </c>
      <c r="B1085" t="s">
        <v>7</v>
      </c>
      <c r="C1085" t="s">
        <v>14</v>
      </c>
      <c r="D1085">
        <v>13</v>
      </c>
      <c r="E1085">
        <v>2</v>
      </c>
      <c r="F1085">
        <v>0</v>
      </c>
      <c r="G1085">
        <v>16</v>
      </c>
      <c r="H1085" t="s">
        <v>62</v>
      </c>
      <c r="I1085">
        <v>31</v>
      </c>
    </row>
    <row r="1086" spans="1:9" x14ac:dyDescent="0.3">
      <c r="A1086">
        <v>178</v>
      </c>
      <c r="B1086" t="s">
        <v>7</v>
      </c>
      <c r="C1086" t="s">
        <v>22</v>
      </c>
      <c r="D1086">
        <v>22</v>
      </c>
      <c r="E1086">
        <v>0</v>
      </c>
      <c r="F1086">
        <v>0</v>
      </c>
      <c r="G1086">
        <v>10</v>
      </c>
      <c r="H1086" t="s">
        <v>76</v>
      </c>
      <c r="I1086">
        <v>32</v>
      </c>
    </row>
    <row r="1087" spans="1:9" x14ac:dyDescent="0.3">
      <c r="A1087">
        <v>178</v>
      </c>
      <c r="B1087" t="s">
        <v>7</v>
      </c>
      <c r="C1087" t="s">
        <v>23</v>
      </c>
      <c r="D1087">
        <v>17</v>
      </c>
      <c r="E1087">
        <v>3</v>
      </c>
      <c r="F1087">
        <v>0</v>
      </c>
      <c r="G1087">
        <v>16</v>
      </c>
      <c r="H1087" t="s">
        <v>73</v>
      </c>
      <c r="I1087">
        <v>36</v>
      </c>
    </row>
    <row r="1088" spans="1:9" x14ac:dyDescent="0.3">
      <c r="A1088">
        <v>178</v>
      </c>
      <c r="B1088" t="s">
        <v>33</v>
      </c>
      <c r="C1088" t="s">
        <v>8</v>
      </c>
      <c r="D1088">
        <v>0</v>
      </c>
      <c r="E1088">
        <v>0</v>
      </c>
      <c r="F1088">
        <v>1</v>
      </c>
      <c r="G1088">
        <v>0</v>
      </c>
      <c r="H1088" t="s">
        <v>8</v>
      </c>
      <c r="I1088">
        <v>1</v>
      </c>
    </row>
    <row r="1089" spans="1:9" x14ac:dyDescent="0.3">
      <c r="A1089">
        <v>178</v>
      </c>
      <c r="B1089" t="s">
        <v>33</v>
      </c>
      <c r="C1089" t="s">
        <v>9</v>
      </c>
      <c r="D1089">
        <v>0</v>
      </c>
      <c r="E1089">
        <v>0</v>
      </c>
      <c r="F1089">
        <v>42</v>
      </c>
      <c r="G1089">
        <v>0</v>
      </c>
      <c r="H1089" t="s">
        <v>9</v>
      </c>
      <c r="I1089">
        <v>42</v>
      </c>
    </row>
    <row r="1090" spans="1:9" x14ac:dyDescent="0.3">
      <c r="A1090">
        <v>178</v>
      </c>
      <c r="B1090" t="s">
        <v>33</v>
      </c>
      <c r="C1090" t="s">
        <v>10</v>
      </c>
      <c r="D1090">
        <v>13</v>
      </c>
      <c r="E1090">
        <v>0</v>
      </c>
      <c r="F1090">
        <v>17</v>
      </c>
      <c r="G1090">
        <v>17</v>
      </c>
      <c r="H1090" t="s">
        <v>68</v>
      </c>
      <c r="I1090">
        <v>47</v>
      </c>
    </row>
    <row r="1091" spans="1:9" x14ac:dyDescent="0.3">
      <c r="A1091">
        <v>178</v>
      </c>
      <c r="B1091" t="s">
        <v>33</v>
      </c>
      <c r="C1091" t="s">
        <v>15</v>
      </c>
      <c r="D1091">
        <v>0</v>
      </c>
      <c r="E1091">
        <v>0</v>
      </c>
      <c r="F1091">
        <v>0</v>
      </c>
      <c r="G1091">
        <v>5</v>
      </c>
      <c r="H1091" t="s">
        <v>65</v>
      </c>
      <c r="I1091">
        <v>5</v>
      </c>
    </row>
    <row r="1092" spans="1:9" x14ac:dyDescent="0.3">
      <c r="A1092">
        <v>178</v>
      </c>
      <c r="B1092" t="s">
        <v>33</v>
      </c>
      <c r="C1092" t="s">
        <v>16</v>
      </c>
      <c r="D1092">
        <v>17</v>
      </c>
      <c r="E1092">
        <v>3</v>
      </c>
      <c r="F1092">
        <v>0</v>
      </c>
      <c r="G1092">
        <v>24</v>
      </c>
      <c r="H1092" t="s">
        <v>61</v>
      </c>
      <c r="I1092">
        <v>44</v>
      </c>
    </row>
    <row r="1093" spans="1:9" x14ac:dyDescent="0.3">
      <c r="A1093">
        <v>178</v>
      </c>
      <c r="B1093" t="s">
        <v>33</v>
      </c>
      <c r="C1093" t="s">
        <v>19</v>
      </c>
      <c r="D1093">
        <v>14</v>
      </c>
      <c r="E1093">
        <v>47</v>
      </c>
      <c r="F1093">
        <v>0</v>
      </c>
      <c r="G1093">
        <v>23</v>
      </c>
      <c r="H1093" t="s">
        <v>70</v>
      </c>
      <c r="I1093">
        <v>84</v>
      </c>
    </row>
    <row r="1094" spans="1:9" x14ac:dyDescent="0.3">
      <c r="A1094">
        <v>179</v>
      </c>
      <c r="B1094" t="s">
        <v>7</v>
      </c>
      <c r="C1094" t="s">
        <v>11</v>
      </c>
      <c r="D1094">
        <v>6</v>
      </c>
      <c r="E1094">
        <v>0</v>
      </c>
      <c r="F1094">
        <v>0</v>
      </c>
      <c r="G1094">
        <v>8</v>
      </c>
      <c r="H1094" t="s">
        <v>63</v>
      </c>
      <c r="I1094">
        <v>14</v>
      </c>
    </row>
    <row r="1095" spans="1:9" x14ac:dyDescent="0.3">
      <c r="A1095">
        <v>179</v>
      </c>
      <c r="B1095" t="s">
        <v>7</v>
      </c>
      <c r="C1095" t="s">
        <v>14</v>
      </c>
      <c r="D1095">
        <v>9</v>
      </c>
      <c r="E1095">
        <v>3</v>
      </c>
      <c r="F1095">
        <v>0</v>
      </c>
      <c r="G1095">
        <v>13</v>
      </c>
      <c r="H1095" t="s">
        <v>62</v>
      </c>
      <c r="I1095">
        <v>25</v>
      </c>
    </row>
    <row r="1096" spans="1:9" x14ac:dyDescent="0.3">
      <c r="A1096">
        <v>179</v>
      </c>
      <c r="B1096" t="s">
        <v>7</v>
      </c>
      <c r="C1096" t="s">
        <v>16</v>
      </c>
      <c r="D1096">
        <v>7</v>
      </c>
      <c r="E1096">
        <v>8</v>
      </c>
      <c r="F1096">
        <v>0</v>
      </c>
      <c r="G1096">
        <v>6</v>
      </c>
      <c r="H1096" t="s">
        <v>61</v>
      </c>
      <c r="I1096">
        <v>21</v>
      </c>
    </row>
    <row r="1097" spans="1:9" x14ac:dyDescent="0.3">
      <c r="A1097">
        <v>179</v>
      </c>
      <c r="B1097" t="s">
        <v>7</v>
      </c>
      <c r="C1097" t="s">
        <v>22</v>
      </c>
      <c r="D1097">
        <v>7</v>
      </c>
      <c r="E1097">
        <v>0</v>
      </c>
      <c r="F1097">
        <v>0</v>
      </c>
      <c r="G1097">
        <v>9</v>
      </c>
      <c r="H1097" t="s">
        <v>76</v>
      </c>
      <c r="I1097">
        <v>16</v>
      </c>
    </row>
    <row r="1098" spans="1:9" x14ac:dyDescent="0.3">
      <c r="A1098">
        <v>179</v>
      </c>
      <c r="B1098" t="s">
        <v>33</v>
      </c>
      <c r="C1098" t="s">
        <v>8</v>
      </c>
      <c r="D1098">
        <v>0</v>
      </c>
      <c r="E1098">
        <v>0</v>
      </c>
      <c r="F1098">
        <v>3</v>
      </c>
      <c r="G1098">
        <v>0</v>
      </c>
      <c r="H1098" t="s">
        <v>8</v>
      </c>
      <c r="I1098">
        <v>3</v>
      </c>
    </row>
    <row r="1099" spans="1:9" x14ac:dyDescent="0.3">
      <c r="A1099">
        <v>179</v>
      </c>
      <c r="B1099" t="s">
        <v>33</v>
      </c>
      <c r="C1099" t="s">
        <v>9</v>
      </c>
      <c r="D1099">
        <v>0</v>
      </c>
      <c r="E1099">
        <v>0</v>
      </c>
      <c r="F1099">
        <v>55</v>
      </c>
      <c r="G1099">
        <v>0</v>
      </c>
      <c r="H1099" t="s">
        <v>9</v>
      </c>
      <c r="I1099">
        <v>55</v>
      </c>
    </row>
    <row r="1100" spans="1:9" x14ac:dyDescent="0.3">
      <c r="A1100">
        <v>179</v>
      </c>
      <c r="B1100" t="s">
        <v>33</v>
      </c>
      <c r="C1100" t="s">
        <v>10</v>
      </c>
      <c r="D1100">
        <v>9</v>
      </c>
      <c r="E1100">
        <v>0</v>
      </c>
      <c r="F1100">
        <v>0</v>
      </c>
      <c r="G1100">
        <v>11</v>
      </c>
      <c r="H1100" t="s">
        <v>68</v>
      </c>
      <c r="I1100">
        <v>20</v>
      </c>
    </row>
    <row r="1101" spans="1:9" x14ac:dyDescent="0.3">
      <c r="A1101">
        <v>179</v>
      </c>
      <c r="B1101" t="s">
        <v>33</v>
      </c>
      <c r="C1101" t="s">
        <v>11</v>
      </c>
      <c r="D1101">
        <v>10</v>
      </c>
      <c r="E1101">
        <v>0</v>
      </c>
      <c r="F1101">
        <v>0</v>
      </c>
      <c r="G1101">
        <v>8</v>
      </c>
      <c r="H1101" t="s">
        <v>63</v>
      </c>
      <c r="I1101">
        <v>18</v>
      </c>
    </row>
    <row r="1102" spans="1:9" x14ac:dyDescent="0.3">
      <c r="A1102">
        <v>179</v>
      </c>
      <c r="B1102" t="s">
        <v>33</v>
      </c>
      <c r="C1102" t="s">
        <v>14</v>
      </c>
      <c r="D1102">
        <v>11</v>
      </c>
      <c r="E1102">
        <v>2</v>
      </c>
      <c r="F1102">
        <v>0</v>
      </c>
      <c r="G1102">
        <v>10</v>
      </c>
      <c r="H1102" t="s">
        <v>62</v>
      </c>
      <c r="I1102">
        <v>23</v>
      </c>
    </row>
    <row r="1103" spans="1:9" x14ac:dyDescent="0.3">
      <c r="A1103">
        <v>179</v>
      </c>
      <c r="B1103" t="s">
        <v>33</v>
      </c>
      <c r="C1103" t="s">
        <v>15</v>
      </c>
      <c r="D1103">
        <v>0</v>
      </c>
      <c r="E1103">
        <v>0</v>
      </c>
      <c r="F1103">
        <v>0</v>
      </c>
      <c r="G1103">
        <v>9</v>
      </c>
      <c r="H1103" t="s">
        <v>65</v>
      </c>
      <c r="I1103">
        <v>9</v>
      </c>
    </row>
    <row r="1104" spans="1:9" x14ac:dyDescent="0.3">
      <c r="A1104">
        <v>179</v>
      </c>
      <c r="B1104" t="s">
        <v>33</v>
      </c>
      <c r="C1104" t="s">
        <v>19</v>
      </c>
      <c r="D1104">
        <v>59</v>
      </c>
      <c r="E1104">
        <v>35</v>
      </c>
      <c r="F1104">
        <v>0</v>
      </c>
      <c r="G1104">
        <v>75</v>
      </c>
      <c r="H1104" t="s">
        <v>70</v>
      </c>
      <c r="I1104">
        <v>169</v>
      </c>
    </row>
    <row r="1105" spans="1:9" x14ac:dyDescent="0.3">
      <c r="A1105">
        <v>179</v>
      </c>
      <c r="B1105" t="s">
        <v>33</v>
      </c>
      <c r="C1105" t="s">
        <v>22</v>
      </c>
      <c r="D1105">
        <v>2</v>
      </c>
      <c r="E1105">
        <v>0</v>
      </c>
      <c r="F1105">
        <v>0</v>
      </c>
      <c r="G1105">
        <v>7</v>
      </c>
      <c r="H1105" t="s">
        <v>76</v>
      </c>
      <c r="I1105">
        <v>9</v>
      </c>
    </row>
    <row r="1106" spans="1:9" x14ac:dyDescent="0.3">
      <c r="A1106">
        <v>180</v>
      </c>
      <c r="B1106" t="s">
        <v>7</v>
      </c>
      <c r="C1106" t="s">
        <v>14</v>
      </c>
      <c r="D1106">
        <v>56</v>
      </c>
      <c r="E1106">
        <v>0</v>
      </c>
      <c r="F1106">
        <v>0</v>
      </c>
      <c r="G1106">
        <v>33</v>
      </c>
      <c r="H1106" t="s">
        <v>62</v>
      </c>
      <c r="I1106">
        <v>89</v>
      </c>
    </row>
    <row r="1107" spans="1:9" x14ac:dyDescent="0.3">
      <c r="A1107">
        <v>180</v>
      </c>
      <c r="B1107" t="s">
        <v>33</v>
      </c>
      <c r="C1107" t="s">
        <v>8</v>
      </c>
      <c r="D1107">
        <v>0</v>
      </c>
      <c r="E1107">
        <v>0</v>
      </c>
      <c r="F1107">
        <v>3</v>
      </c>
      <c r="G1107">
        <v>0</v>
      </c>
      <c r="H1107" t="s">
        <v>8</v>
      </c>
      <c r="I1107">
        <v>3</v>
      </c>
    </row>
    <row r="1108" spans="1:9" x14ac:dyDescent="0.3">
      <c r="A1108">
        <v>180</v>
      </c>
      <c r="B1108" t="s">
        <v>33</v>
      </c>
      <c r="C1108" t="s">
        <v>9</v>
      </c>
      <c r="D1108">
        <v>0</v>
      </c>
      <c r="E1108">
        <v>0</v>
      </c>
      <c r="F1108">
        <v>30</v>
      </c>
      <c r="G1108">
        <v>0</v>
      </c>
      <c r="H1108" t="s">
        <v>9</v>
      </c>
      <c r="I1108">
        <v>30</v>
      </c>
    </row>
    <row r="1109" spans="1:9" x14ac:dyDescent="0.3">
      <c r="A1109">
        <v>180</v>
      </c>
      <c r="B1109" t="s">
        <v>33</v>
      </c>
      <c r="C1109" t="s">
        <v>10</v>
      </c>
      <c r="D1109">
        <v>47</v>
      </c>
      <c r="E1109">
        <v>5</v>
      </c>
      <c r="F1109">
        <v>9</v>
      </c>
      <c r="G1109">
        <v>41</v>
      </c>
      <c r="H1109" t="s">
        <v>68</v>
      </c>
      <c r="I1109">
        <v>102</v>
      </c>
    </row>
    <row r="1110" spans="1:9" x14ac:dyDescent="0.3">
      <c r="A1110">
        <v>180</v>
      </c>
      <c r="B1110" t="s">
        <v>33</v>
      </c>
      <c r="C1110" t="s">
        <v>11</v>
      </c>
      <c r="D1110">
        <v>13</v>
      </c>
      <c r="E1110">
        <v>0</v>
      </c>
      <c r="F1110">
        <v>0</v>
      </c>
      <c r="G1110">
        <v>12</v>
      </c>
      <c r="H1110" t="s">
        <v>63</v>
      </c>
      <c r="I1110">
        <v>25</v>
      </c>
    </row>
    <row r="1111" spans="1:9" x14ac:dyDescent="0.3">
      <c r="A1111">
        <v>180</v>
      </c>
      <c r="B1111" t="s">
        <v>33</v>
      </c>
      <c r="C1111" t="s">
        <v>14</v>
      </c>
      <c r="D1111">
        <v>20</v>
      </c>
      <c r="E1111">
        <v>10</v>
      </c>
      <c r="F1111">
        <v>5</v>
      </c>
      <c r="G1111">
        <v>27</v>
      </c>
      <c r="H1111" t="s">
        <v>62</v>
      </c>
      <c r="I1111">
        <v>62</v>
      </c>
    </row>
    <row r="1112" spans="1:9" x14ac:dyDescent="0.3">
      <c r="A1112">
        <v>180</v>
      </c>
      <c r="B1112" t="s">
        <v>33</v>
      </c>
      <c r="C1112" t="s">
        <v>15</v>
      </c>
      <c r="D1112">
        <v>15</v>
      </c>
      <c r="E1112">
        <v>0</v>
      </c>
      <c r="F1112">
        <v>0</v>
      </c>
      <c r="G1112">
        <v>16</v>
      </c>
      <c r="H1112" t="s">
        <v>65</v>
      </c>
      <c r="I1112">
        <v>31</v>
      </c>
    </row>
    <row r="1113" spans="1:9" x14ac:dyDescent="0.3">
      <c r="A1113">
        <v>180</v>
      </c>
      <c r="B1113" t="s">
        <v>33</v>
      </c>
      <c r="C1113" t="s">
        <v>16</v>
      </c>
      <c r="D1113">
        <v>2</v>
      </c>
      <c r="E1113">
        <v>0</v>
      </c>
      <c r="F1113">
        <v>0</v>
      </c>
      <c r="G1113">
        <v>7</v>
      </c>
      <c r="H1113" t="s">
        <v>61</v>
      </c>
      <c r="I1113">
        <v>9</v>
      </c>
    </row>
    <row r="1114" spans="1:9" x14ac:dyDescent="0.3">
      <c r="A1114">
        <v>180</v>
      </c>
      <c r="B1114" t="s">
        <v>33</v>
      </c>
      <c r="C1114" t="s">
        <v>19</v>
      </c>
      <c r="D1114">
        <v>59</v>
      </c>
      <c r="E1114">
        <v>17</v>
      </c>
      <c r="F1114">
        <v>0</v>
      </c>
      <c r="G1114">
        <v>36</v>
      </c>
      <c r="H1114" t="s">
        <v>70</v>
      </c>
      <c r="I1114">
        <v>112</v>
      </c>
    </row>
    <row r="1115" spans="1:9" x14ac:dyDescent="0.3">
      <c r="A1115">
        <v>181</v>
      </c>
      <c r="B1115" t="s">
        <v>7</v>
      </c>
      <c r="C1115" t="s">
        <v>10</v>
      </c>
      <c r="D1115">
        <v>24</v>
      </c>
      <c r="E1115">
        <v>14</v>
      </c>
      <c r="F1115">
        <v>0</v>
      </c>
      <c r="G1115">
        <v>25</v>
      </c>
      <c r="H1115" t="s">
        <v>68</v>
      </c>
      <c r="I1115">
        <v>63</v>
      </c>
    </row>
    <row r="1116" spans="1:9" x14ac:dyDescent="0.3">
      <c r="A1116">
        <v>181</v>
      </c>
      <c r="B1116" t="s">
        <v>7</v>
      </c>
      <c r="C1116" t="s">
        <v>11</v>
      </c>
      <c r="D1116">
        <v>26</v>
      </c>
      <c r="E1116">
        <v>10</v>
      </c>
      <c r="F1116">
        <v>0</v>
      </c>
      <c r="G1116">
        <v>22</v>
      </c>
      <c r="H1116" t="s">
        <v>63</v>
      </c>
      <c r="I1116">
        <v>58</v>
      </c>
    </row>
    <row r="1117" spans="1:9" x14ac:dyDescent="0.3">
      <c r="A1117">
        <v>181</v>
      </c>
      <c r="B1117" t="s">
        <v>7</v>
      </c>
      <c r="C1117" t="s">
        <v>14</v>
      </c>
      <c r="D1117">
        <v>14</v>
      </c>
      <c r="E1117">
        <v>4</v>
      </c>
      <c r="F1117">
        <v>0</v>
      </c>
      <c r="G1117">
        <v>25</v>
      </c>
      <c r="H1117" t="s">
        <v>62</v>
      </c>
      <c r="I1117">
        <v>43</v>
      </c>
    </row>
    <row r="1118" spans="1:9" x14ac:dyDescent="0.3">
      <c r="A1118">
        <v>181</v>
      </c>
      <c r="B1118" t="s">
        <v>7</v>
      </c>
      <c r="C1118" t="s">
        <v>15</v>
      </c>
      <c r="D1118">
        <v>7</v>
      </c>
      <c r="E1118">
        <v>2</v>
      </c>
      <c r="F1118">
        <v>0</v>
      </c>
      <c r="G1118">
        <v>18</v>
      </c>
      <c r="H1118" t="s">
        <v>65</v>
      </c>
      <c r="I1118">
        <v>27</v>
      </c>
    </row>
    <row r="1119" spans="1:9" x14ac:dyDescent="0.3">
      <c r="A1119">
        <v>181</v>
      </c>
      <c r="B1119" t="s">
        <v>7</v>
      </c>
      <c r="C1119" t="s">
        <v>16</v>
      </c>
      <c r="D1119">
        <v>4</v>
      </c>
      <c r="E1119">
        <v>1</v>
      </c>
      <c r="F1119">
        <v>0</v>
      </c>
      <c r="G1119">
        <v>14</v>
      </c>
      <c r="H1119" t="s">
        <v>61</v>
      </c>
      <c r="I1119">
        <v>19</v>
      </c>
    </row>
    <row r="1120" spans="1:9" x14ac:dyDescent="0.3">
      <c r="A1120">
        <v>181</v>
      </c>
      <c r="B1120" t="s">
        <v>7</v>
      </c>
      <c r="C1120" t="s">
        <v>22</v>
      </c>
      <c r="D1120">
        <v>3</v>
      </c>
      <c r="E1120">
        <v>0</v>
      </c>
      <c r="F1120">
        <v>0</v>
      </c>
      <c r="G1120">
        <v>8</v>
      </c>
      <c r="H1120" t="s">
        <v>76</v>
      </c>
      <c r="I1120">
        <v>11</v>
      </c>
    </row>
    <row r="1121" spans="1:9" x14ac:dyDescent="0.3">
      <c r="A1121">
        <v>181</v>
      </c>
      <c r="B1121" t="s">
        <v>33</v>
      </c>
      <c r="C1121" t="s">
        <v>8</v>
      </c>
      <c r="D1121">
        <v>0</v>
      </c>
      <c r="E1121">
        <v>0</v>
      </c>
      <c r="F1121">
        <v>3</v>
      </c>
      <c r="G1121">
        <v>0</v>
      </c>
      <c r="H1121" t="s">
        <v>8</v>
      </c>
      <c r="I1121">
        <v>3</v>
      </c>
    </row>
    <row r="1122" spans="1:9" x14ac:dyDescent="0.3">
      <c r="A1122">
        <v>181</v>
      </c>
      <c r="B1122" t="s">
        <v>33</v>
      </c>
      <c r="C1122" t="s">
        <v>9</v>
      </c>
      <c r="D1122">
        <v>0</v>
      </c>
      <c r="E1122">
        <v>0</v>
      </c>
      <c r="F1122">
        <v>41</v>
      </c>
      <c r="G1122">
        <v>0</v>
      </c>
      <c r="H1122" t="s">
        <v>9</v>
      </c>
      <c r="I1122">
        <v>41</v>
      </c>
    </row>
    <row r="1123" spans="1:9" x14ac:dyDescent="0.3">
      <c r="A1123">
        <v>181</v>
      </c>
      <c r="B1123" t="s">
        <v>33</v>
      </c>
      <c r="C1123" t="s">
        <v>12</v>
      </c>
      <c r="D1123">
        <v>9</v>
      </c>
      <c r="E1123">
        <v>0</v>
      </c>
      <c r="F1123">
        <v>0</v>
      </c>
      <c r="G1123">
        <v>5</v>
      </c>
      <c r="H1123" t="s">
        <v>64</v>
      </c>
      <c r="I1123">
        <v>14</v>
      </c>
    </row>
    <row r="1124" spans="1:9" x14ac:dyDescent="0.3">
      <c r="A1124">
        <v>182</v>
      </c>
      <c r="B1124" t="s">
        <v>7</v>
      </c>
      <c r="C1124" t="s">
        <v>22</v>
      </c>
      <c r="D1124">
        <v>101</v>
      </c>
      <c r="E1124">
        <v>50</v>
      </c>
      <c r="F1124">
        <v>6</v>
      </c>
      <c r="G1124">
        <v>75</v>
      </c>
      <c r="H1124" t="s">
        <v>76</v>
      </c>
      <c r="I1124">
        <v>232</v>
      </c>
    </row>
    <row r="1125" spans="1:9" x14ac:dyDescent="0.3">
      <c r="A1125">
        <v>182</v>
      </c>
      <c r="B1125" t="s">
        <v>7</v>
      </c>
      <c r="C1125" t="s">
        <v>24</v>
      </c>
      <c r="D1125">
        <v>0</v>
      </c>
      <c r="E1125">
        <v>0</v>
      </c>
      <c r="F1125">
        <v>0</v>
      </c>
      <c r="G1125">
        <v>2</v>
      </c>
      <c r="H1125" t="s">
        <v>75</v>
      </c>
      <c r="I1125">
        <v>2</v>
      </c>
    </row>
    <row r="1126" spans="1:9" x14ac:dyDescent="0.3">
      <c r="A1126">
        <v>182</v>
      </c>
      <c r="B1126" t="s">
        <v>33</v>
      </c>
      <c r="C1126" t="s">
        <v>8</v>
      </c>
      <c r="D1126">
        <v>0</v>
      </c>
      <c r="E1126">
        <v>0</v>
      </c>
      <c r="F1126">
        <v>6</v>
      </c>
      <c r="G1126">
        <v>0</v>
      </c>
      <c r="H1126" t="s">
        <v>8</v>
      </c>
      <c r="I1126">
        <v>6</v>
      </c>
    </row>
    <row r="1127" spans="1:9" x14ac:dyDescent="0.3">
      <c r="A1127">
        <v>182</v>
      </c>
      <c r="B1127" t="s">
        <v>33</v>
      </c>
      <c r="C1127" t="s">
        <v>9</v>
      </c>
      <c r="D1127">
        <v>0</v>
      </c>
      <c r="E1127">
        <v>0</v>
      </c>
      <c r="F1127">
        <v>19</v>
      </c>
      <c r="G1127">
        <v>0</v>
      </c>
      <c r="H1127" t="s">
        <v>9</v>
      </c>
      <c r="I1127">
        <v>19</v>
      </c>
    </row>
    <row r="1128" spans="1:9" x14ac:dyDescent="0.3">
      <c r="A1128">
        <v>182</v>
      </c>
      <c r="B1128" t="s">
        <v>33</v>
      </c>
      <c r="C1128" t="s">
        <v>24</v>
      </c>
      <c r="D1128">
        <v>0</v>
      </c>
      <c r="E1128">
        <v>0</v>
      </c>
      <c r="F1128">
        <v>0</v>
      </c>
      <c r="G1128">
        <v>3</v>
      </c>
      <c r="H1128" t="s">
        <v>75</v>
      </c>
      <c r="I1128">
        <v>3</v>
      </c>
    </row>
    <row r="1129" spans="1:9" x14ac:dyDescent="0.3">
      <c r="A1129">
        <v>183</v>
      </c>
      <c r="B1129" t="s">
        <v>7</v>
      </c>
      <c r="C1129" t="s">
        <v>16</v>
      </c>
      <c r="D1129">
        <v>8</v>
      </c>
      <c r="E1129">
        <v>0</v>
      </c>
      <c r="F1129">
        <v>0</v>
      </c>
      <c r="G1129">
        <v>3</v>
      </c>
      <c r="H1129" t="s">
        <v>61</v>
      </c>
      <c r="I1129">
        <v>11</v>
      </c>
    </row>
    <row r="1130" spans="1:9" x14ac:dyDescent="0.3">
      <c r="A1130">
        <v>183</v>
      </c>
      <c r="B1130" t="s">
        <v>7</v>
      </c>
      <c r="C1130" t="s">
        <v>22</v>
      </c>
      <c r="D1130">
        <v>10</v>
      </c>
      <c r="E1130">
        <v>0</v>
      </c>
      <c r="F1130">
        <v>0</v>
      </c>
      <c r="G1130">
        <v>11</v>
      </c>
      <c r="H1130" t="s">
        <v>76</v>
      </c>
      <c r="I1130">
        <v>21</v>
      </c>
    </row>
    <row r="1131" spans="1:9" x14ac:dyDescent="0.3">
      <c r="A1131">
        <v>183</v>
      </c>
      <c r="B1131" t="s">
        <v>33</v>
      </c>
      <c r="C1131" t="s">
        <v>8</v>
      </c>
      <c r="D1131">
        <v>0</v>
      </c>
      <c r="E1131">
        <v>0</v>
      </c>
      <c r="F1131">
        <v>5</v>
      </c>
      <c r="G1131">
        <v>0</v>
      </c>
      <c r="H1131" t="s">
        <v>8</v>
      </c>
      <c r="I1131">
        <v>5</v>
      </c>
    </row>
    <row r="1132" spans="1:9" x14ac:dyDescent="0.3">
      <c r="A1132">
        <v>183</v>
      </c>
      <c r="B1132" t="s">
        <v>33</v>
      </c>
      <c r="C1132" t="s">
        <v>9</v>
      </c>
      <c r="D1132">
        <v>0</v>
      </c>
      <c r="E1132">
        <v>0</v>
      </c>
      <c r="F1132">
        <v>17</v>
      </c>
      <c r="G1132">
        <v>0</v>
      </c>
      <c r="H1132" t="s">
        <v>9</v>
      </c>
      <c r="I1132">
        <v>17</v>
      </c>
    </row>
    <row r="1133" spans="1:9" x14ac:dyDescent="0.3">
      <c r="A1133">
        <v>183</v>
      </c>
      <c r="B1133" t="s">
        <v>33</v>
      </c>
      <c r="C1133" t="s">
        <v>11</v>
      </c>
      <c r="D1133">
        <v>51</v>
      </c>
      <c r="E1133">
        <v>5</v>
      </c>
      <c r="F1133">
        <v>7</v>
      </c>
      <c r="G1133">
        <v>32</v>
      </c>
      <c r="H1133" t="s">
        <v>63</v>
      </c>
      <c r="I1133">
        <v>95</v>
      </c>
    </row>
    <row r="1134" spans="1:9" x14ac:dyDescent="0.3">
      <c r="A1134">
        <v>183</v>
      </c>
      <c r="B1134" t="s">
        <v>33</v>
      </c>
      <c r="C1134" t="s">
        <v>14</v>
      </c>
      <c r="D1134">
        <v>10</v>
      </c>
      <c r="E1134">
        <v>7</v>
      </c>
      <c r="F1134">
        <v>0</v>
      </c>
      <c r="G1134">
        <v>15</v>
      </c>
      <c r="H1134" t="s">
        <v>62</v>
      </c>
      <c r="I1134">
        <v>32</v>
      </c>
    </row>
    <row r="1135" spans="1:9" x14ac:dyDescent="0.3">
      <c r="A1135">
        <v>183</v>
      </c>
      <c r="B1135" t="s">
        <v>33</v>
      </c>
      <c r="C1135" t="s">
        <v>15</v>
      </c>
      <c r="D1135">
        <v>54</v>
      </c>
      <c r="E1135">
        <v>3</v>
      </c>
      <c r="F1135">
        <v>0</v>
      </c>
      <c r="G1135">
        <v>45</v>
      </c>
      <c r="H1135" t="s">
        <v>65</v>
      </c>
      <c r="I1135">
        <v>102</v>
      </c>
    </row>
    <row r="1136" spans="1:9" x14ac:dyDescent="0.3">
      <c r="A1136">
        <v>183</v>
      </c>
      <c r="B1136" t="s">
        <v>33</v>
      </c>
      <c r="C1136" t="s">
        <v>16</v>
      </c>
      <c r="D1136">
        <v>11</v>
      </c>
      <c r="E1136">
        <v>0</v>
      </c>
      <c r="F1136">
        <v>1</v>
      </c>
      <c r="G1136">
        <v>17</v>
      </c>
      <c r="H1136" t="s">
        <v>61</v>
      </c>
      <c r="I1136">
        <v>29</v>
      </c>
    </row>
    <row r="1137" spans="1:9" x14ac:dyDescent="0.3">
      <c r="A1137">
        <v>183</v>
      </c>
      <c r="B1137" t="s">
        <v>33</v>
      </c>
      <c r="C1137" t="s">
        <v>19</v>
      </c>
      <c r="D1137">
        <v>34</v>
      </c>
      <c r="E1137">
        <v>21</v>
      </c>
      <c r="F1137">
        <v>0</v>
      </c>
      <c r="G1137">
        <v>31</v>
      </c>
      <c r="H1137" t="s">
        <v>70</v>
      </c>
      <c r="I1137">
        <v>86</v>
      </c>
    </row>
    <row r="1138" spans="1:9" x14ac:dyDescent="0.3">
      <c r="A1138">
        <v>183</v>
      </c>
      <c r="B1138" t="s">
        <v>33</v>
      </c>
      <c r="C1138" t="s">
        <v>23</v>
      </c>
      <c r="D1138">
        <v>2</v>
      </c>
      <c r="E1138">
        <v>4</v>
      </c>
      <c r="F1138">
        <v>0</v>
      </c>
      <c r="G1138">
        <v>4</v>
      </c>
      <c r="H1138" t="s">
        <v>73</v>
      </c>
      <c r="I1138">
        <v>10</v>
      </c>
    </row>
    <row r="1139" spans="1:9" x14ac:dyDescent="0.3">
      <c r="A1139">
        <v>184</v>
      </c>
      <c r="B1139" t="s">
        <v>7</v>
      </c>
      <c r="C1139" t="s">
        <v>10</v>
      </c>
      <c r="D1139">
        <v>10</v>
      </c>
      <c r="E1139">
        <v>2</v>
      </c>
      <c r="F1139">
        <v>0</v>
      </c>
      <c r="G1139">
        <v>8</v>
      </c>
      <c r="H1139" t="s">
        <v>68</v>
      </c>
      <c r="I1139">
        <v>20</v>
      </c>
    </row>
    <row r="1140" spans="1:9" x14ac:dyDescent="0.3">
      <c r="A1140">
        <v>184</v>
      </c>
      <c r="B1140" t="s">
        <v>7</v>
      </c>
      <c r="C1140" t="s">
        <v>14</v>
      </c>
      <c r="D1140">
        <v>5</v>
      </c>
      <c r="E1140">
        <v>3</v>
      </c>
      <c r="F1140">
        <v>0</v>
      </c>
      <c r="G1140">
        <v>6</v>
      </c>
      <c r="H1140" t="s">
        <v>62</v>
      </c>
      <c r="I1140">
        <v>14</v>
      </c>
    </row>
    <row r="1141" spans="1:9" x14ac:dyDescent="0.3">
      <c r="A1141">
        <v>184</v>
      </c>
      <c r="B1141" t="s">
        <v>7</v>
      </c>
      <c r="C1141" t="s">
        <v>15</v>
      </c>
      <c r="D1141">
        <v>7</v>
      </c>
      <c r="E1141">
        <v>0</v>
      </c>
      <c r="F1141">
        <v>0</v>
      </c>
      <c r="G1141">
        <v>10</v>
      </c>
      <c r="H1141" t="s">
        <v>65</v>
      </c>
      <c r="I1141">
        <v>17</v>
      </c>
    </row>
    <row r="1142" spans="1:9" x14ac:dyDescent="0.3">
      <c r="A1142">
        <v>184</v>
      </c>
      <c r="B1142" t="s">
        <v>7</v>
      </c>
      <c r="C1142" t="s">
        <v>16</v>
      </c>
      <c r="D1142">
        <v>6</v>
      </c>
      <c r="E1142">
        <v>1</v>
      </c>
      <c r="F1142">
        <v>0</v>
      </c>
      <c r="G1142">
        <v>11</v>
      </c>
      <c r="H1142" t="s">
        <v>61</v>
      </c>
      <c r="I1142">
        <v>18</v>
      </c>
    </row>
    <row r="1143" spans="1:9" x14ac:dyDescent="0.3">
      <c r="A1143">
        <v>184</v>
      </c>
      <c r="B1143" t="s">
        <v>7</v>
      </c>
      <c r="C1143" t="s">
        <v>22</v>
      </c>
      <c r="D1143">
        <v>9</v>
      </c>
      <c r="E1143">
        <v>6</v>
      </c>
      <c r="F1143">
        <v>0</v>
      </c>
      <c r="G1143">
        <v>13</v>
      </c>
      <c r="H1143" t="s">
        <v>76</v>
      </c>
      <c r="I1143">
        <v>28</v>
      </c>
    </row>
    <row r="1144" spans="1:9" x14ac:dyDescent="0.3">
      <c r="A1144">
        <v>184</v>
      </c>
      <c r="B1144" t="s">
        <v>33</v>
      </c>
      <c r="C1144" t="s">
        <v>8</v>
      </c>
      <c r="D1144">
        <v>0</v>
      </c>
      <c r="E1144">
        <v>0</v>
      </c>
      <c r="F1144">
        <v>2</v>
      </c>
      <c r="G1144">
        <v>0</v>
      </c>
      <c r="H1144" t="s">
        <v>8</v>
      </c>
      <c r="I1144">
        <v>2</v>
      </c>
    </row>
    <row r="1145" spans="1:9" x14ac:dyDescent="0.3">
      <c r="A1145">
        <v>184</v>
      </c>
      <c r="B1145" t="s">
        <v>33</v>
      </c>
      <c r="C1145" t="s">
        <v>9</v>
      </c>
      <c r="D1145">
        <v>0</v>
      </c>
      <c r="E1145">
        <v>0</v>
      </c>
      <c r="F1145">
        <v>9</v>
      </c>
      <c r="G1145">
        <v>0</v>
      </c>
      <c r="H1145" t="s">
        <v>9</v>
      </c>
      <c r="I1145">
        <v>9</v>
      </c>
    </row>
    <row r="1146" spans="1:9" x14ac:dyDescent="0.3">
      <c r="A1146">
        <v>184</v>
      </c>
      <c r="B1146" t="s">
        <v>33</v>
      </c>
      <c r="C1146" t="s">
        <v>21</v>
      </c>
      <c r="D1146">
        <v>45</v>
      </c>
      <c r="E1146">
        <v>64</v>
      </c>
      <c r="F1146">
        <v>1</v>
      </c>
      <c r="G1146">
        <v>64</v>
      </c>
      <c r="H1146" t="s">
        <v>74</v>
      </c>
      <c r="I1146">
        <v>174</v>
      </c>
    </row>
    <row r="1147" spans="1:9" x14ac:dyDescent="0.3">
      <c r="A1147">
        <v>184</v>
      </c>
      <c r="B1147" t="s">
        <v>33</v>
      </c>
      <c r="C1147" t="s">
        <v>23</v>
      </c>
      <c r="D1147">
        <v>15</v>
      </c>
      <c r="E1147">
        <v>9</v>
      </c>
      <c r="F1147">
        <v>0</v>
      </c>
      <c r="G1147">
        <v>18</v>
      </c>
      <c r="H1147" t="s">
        <v>73</v>
      </c>
      <c r="I1147">
        <v>42</v>
      </c>
    </row>
    <row r="1148" spans="1:9" x14ac:dyDescent="0.3">
      <c r="A1148">
        <v>184</v>
      </c>
      <c r="B1148" t="s">
        <v>33</v>
      </c>
      <c r="C1148" t="s">
        <v>31</v>
      </c>
      <c r="D1148">
        <v>31</v>
      </c>
      <c r="E1148">
        <v>1</v>
      </c>
      <c r="F1148">
        <v>0</v>
      </c>
      <c r="G1148">
        <v>10</v>
      </c>
      <c r="H1148" t="s">
        <v>77</v>
      </c>
      <c r="I1148">
        <v>42</v>
      </c>
    </row>
    <row r="1149" spans="1:9" x14ac:dyDescent="0.3">
      <c r="A1149">
        <v>185</v>
      </c>
      <c r="B1149" t="s">
        <v>7</v>
      </c>
      <c r="C1149" t="s">
        <v>14</v>
      </c>
      <c r="D1149">
        <v>27</v>
      </c>
      <c r="E1149">
        <v>0</v>
      </c>
      <c r="F1149">
        <v>1</v>
      </c>
      <c r="G1149">
        <v>36</v>
      </c>
      <c r="H1149" t="s">
        <v>62</v>
      </c>
      <c r="I1149">
        <v>64</v>
      </c>
    </row>
    <row r="1150" spans="1:9" x14ac:dyDescent="0.3">
      <c r="A1150">
        <v>185</v>
      </c>
      <c r="B1150" t="s">
        <v>7</v>
      </c>
      <c r="C1150" t="s">
        <v>22</v>
      </c>
      <c r="D1150">
        <v>6</v>
      </c>
      <c r="E1150">
        <v>0</v>
      </c>
      <c r="F1150">
        <v>1</v>
      </c>
      <c r="G1150">
        <v>7</v>
      </c>
      <c r="H1150" t="s">
        <v>76</v>
      </c>
      <c r="I1150">
        <v>14</v>
      </c>
    </row>
    <row r="1151" spans="1:9" x14ac:dyDescent="0.3">
      <c r="A1151">
        <v>185</v>
      </c>
      <c r="B1151" t="s">
        <v>7</v>
      </c>
      <c r="C1151" t="s">
        <v>23</v>
      </c>
      <c r="D1151">
        <v>9</v>
      </c>
      <c r="E1151">
        <v>0</v>
      </c>
      <c r="F1151">
        <v>0</v>
      </c>
      <c r="G1151">
        <v>8</v>
      </c>
      <c r="H1151" t="s">
        <v>73</v>
      </c>
      <c r="I1151">
        <v>17</v>
      </c>
    </row>
    <row r="1152" spans="1:9" x14ac:dyDescent="0.3">
      <c r="A1152">
        <v>185</v>
      </c>
      <c r="B1152" t="s">
        <v>33</v>
      </c>
      <c r="C1152" t="s">
        <v>8</v>
      </c>
      <c r="D1152">
        <v>0</v>
      </c>
      <c r="E1152">
        <v>0</v>
      </c>
      <c r="F1152">
        <v>5</v>
      </c>
      <c r="G1152">
        <v>0</v>
      </c>
      <c r="H1152" t="s">
        <v>8</v>
      </c>
      <c r="I1152">
        <v>5</v>
      </c>
    </row>
    <row r="1153" spans="1:9" x14ac:dyDescent="0.3">
      <c r="A1153">
        <v>185</v>
      </c>
      <c r="B1153" t="s">
        <v>33</v>
      </c>
      <c r="C1153" t="s">
        <v>9</v>
      </c>
      <c r="D1153">
        <v>0</v>
      </c>
      <c r="E1153">
        <v>0</v>
      </c>
      <c r="F1153">
        <v>15</v>
      </c>
      <c r="G1153">
        <v>0</v>
      </c>
      <c r="H1153" t="s">
        <v>9</v>
      </c>
      <c r="I1153">
        <v>15</v>
      </c>
    </row>
    <row r="1154" spans="1:9" x14ac:dyDescent="0.3">
      <c r="A1154">
        <v>185</v>
      </c>
      <c r="B1154" t="s">
        <v>33</v>
      </c>
      <c r="C1154" t="s">
        <v>10</v>
      </c>
      <c r="D1154">
        <v>6</v>
      </c>
      <c r="E1154">
        <v>0</v>
      </c>
      <c r="F1154">
        <v>0</v>
      </c>
      <c r="G1154">
        <v>5</v>
      </c>
      <c r="H1154" t="s">
        <v>68</v>
      </c>
      <c r="I1154">
        <v>11</v>
      </c>
    </row>
    <row r="1155" spans="1:9" x14ac:dyDescent="0.3">
      <c r="A1155">
        <v>185</v>
      </c>
      <c r="B1155" t="s">
        <v>33</v>
      </c>
      <c r="C1155" t="s">
        <v>12</v>
      </c>
      <c r="D1155">
        <v>4</v>
      </c>
      <c r="E1155">
        <v>0</v>
      </c>
      <c r="F1155">
        <v>0</v>
      </c>
      <c r="G1155">
        <v>3</v>
      </c>
      <c r="H1155" t="s">
        <v>64</v>
      </c>
      <c r="I1155">
        <v>7</v>
      </c>
    </row>
    <row r="1156" spans="1:9" x14ac:dyDescent="0.3">
      <c r="A1156">
        <v>185</v>
      </c>
      <c r="B1156" t="s">
        <v>33</v>
      </c>
      <c r="C1156" t="s">
        <v>14</v>
      </c>
      <c r="D1156">
        <v>11</v>
      </c>
      <c r="E1156">
        <v>0</v>
      </c>
      <c r="F1156">
        <v>0</v>
      </c>
      <c r="G1156">
        <v>6</v>
      </c>
      <c r="H1156" t="s">
        <v>62</v>
      </c>
      <c r="I1156">
        <v>17</v>
      </c>
    </row>
    <row r="1157" spans="1:9" x14ac:dyDescent="0.3">
      <c r="A1157">
        <v>185</v>
      </c>
      <c r="B1157" t="s">
        <v>33</v>
      </c>
      <c r="C1157" t="s">
        <v>21</v>
      </c>
      <c r="D1157">
        <v>3</v>
      </c>
      <c r="E1157">
        <v>8</v>
      </c>
      <c r="F1157">
        <v>0</v>
      </c>
      <c r="G1157">
        <v>9</v>
      </c>
      <c r="H1157" t="s">
        <v>74</v>
      </c>
      <c r="I1157">
        <v>20</v>
      </c>
    </row>
    <row r="1158" spans="1:9" x14ac:dyDescent="0.3">
      <c r="A1158">
        <v>185</v>
      </c>
      <c r="B1158" t="s">
        <v>33</v>
      </c>
      <c r="C1158" t="s">
        <v>22</v>
      </c>
      <c r="D1158">
        <v>46</v>
      </c>
      <c r="E1158">
        <v>55</v>
      </c>
      <c r="F1158">
        <v>1</v>
      </c>
      <c r="G1158">
        <v>50</v>
      </c>
      <c r="H1158" t="s">
        <v>76</v>
      </c>
      <c r="I1158">
        <v>152</v>
      </c>
    </row>
    <row r="1159" spans="1:9" x14ac:dyDescent="0.3">
      <c r="A1159">
        <v>185</v>
      </c>
      <c r="B1159" t="s">
        <v>33</v>
      </c>
      <c r="C1159" t="s">
        <v>23</v>
      </c>
      <c r="D1159">
        <v>14</v>
      </c>
      <c r="E1159">
        <v>0</v>
      </c>
      <c r="F1159">
        <v>0</v>
      </c>
      <c r="G1159">
        <v>10</v>
      </c>
      <c r="H1159" t="s">
        <v>73</v>
      </c>
      <c r="I1159">
        <v>24</v>
      </c>
    </row>
    <row r="1160" spans="1:9" x14ac:dyDescent="0.3">
      <c r="A1160">
        <v>185</v>
      </c>
      <c r="B1160" t="s">
        <v>33</v>
      </c>
      <c r="C1160" t="s">
        <v>31</v>
      </c>
      <c r="D1160">
        <v>22</v>
      </c>
      <c r="E1160">
        <v>0</v>
      </c>
      <c r="F1160">
        <v>0</v>
      </c>
      <c r="G1160">
        <v>13</v>
      </c>
      <c r="H1160" t="s">
        <v>77</v>
      </c>
      <c r="I1160">
        <v>35</v>
      </c>
    </row>
    <row r="1161" spans="1:9" x14ac:dyDescent="0.3">
      <c r="A1161">
        <v>186</v>
      </c>
      <c r="B1161" t="s">
        <v>7</v>
      </c>
      <c r="C1161" t="s">
        <v>14</v>
      </c>
      <c r="D1161">
        <v>2</v>
      </c>
      <c r="E1161">
        <v>0</v>
      </c>
      <c r="F1161">
        <v>0</v>
      </c>
      <c r="G1161">
        <v>9</v>
      </c>
      <c r="H1161" t="s">
        <v>62</v>
      </c>
      <c r="I1161">
        <v>11</v>
      </c>
    </row>
    <row r="1162" spans="1:9" x14ac:dyDescent="0.3">
      <c r="A1162">
        <v>186</v>
      </c>
      <c r="B1162" t="s">
        <v>7</v>
      </c>
      <c r="C1162" t="s">
        <v>22</v>
      </c>
      <c r="D1162">
        <v>0</v>
      </c>
      <c r="E1162">
        <v>0</v>
      </c>
      <c r="F1162">
        <v>0</v>
      </c>
      <c r="G1162">
        <v>5</v>
      </c>
      <c r="H1162" t="s">
        <v>76</v>
      </c>
      <c r="I1162">
        <v>5</v>
      </c>
    </row>
    <row r="1163" spans="1:9" x14ac:dyDescent="0.3">
      <c r="A1163">
        <v>186</v>
      </c>
      <c r="B1163" t="s">
        <v>33</v>
      </c>
      <c r="C1163" t="s">
        <v>9</v>
      </c>
      <c r="D1163">
        <v>0</v>
      </c>
      <c r="E1163">
        <v>0</v>
      </c>
      <c r="F1163">
        <v>10</v>
      </c>
      <c r="G1163">
        <v>0</v>
      </c>
      <c r="H1163" t="s">
        <v>9</v>
      </c>
      <c r="I1163">
        <v>10</v>
      </c>
    </row>
    <row r="1164" spans="1:9" x14ac:dyDescent="0.3">
      <c r="A1164">
        <v>186</v>
      </c>
      <c r="B1164" t="s">
        <v>33</v>
      </c>
      <c r="C1164" t="s">
        <v>10</v>
      </c>
      <c r="D1164">
        <v>11</v>
      </c>
      <c r="E1164">
        <v>0</v>
      </c>
      <c r="F1164">
        <v>0</v>
      </c>
      <c r="G1164">
        <v>7</v>
      </c>
      <c r="H1164" t="s">
        <v>68</v>
      </c>
      <c r="I1164">
        <v>18</v>
      </c>
    </row>
    <row r="1165" spans="1:9" x14ac:dyDescent="0.3">
      <c r="A1165">
        <v>186</v>
      </c>
      <c r="B1165" t="s">
        <v>33</v>
      </c>
      <c r="C1165" t="s">
        <v>14</v>
      </c>
      <c r="D1165">
        <v>131</v>
      </c>
      <c r="E1165">
        <v>44</v>
      </c>
      <c r="F1165">
        <v>0</v>
      </c>
      <c r="G1165">
        <v>121</v>
      </c>
      <c r="H1165" t="s">
        <v>62</v>
      </c>
      <c r="I1165">
        <v>296</v>
      </c>
    </row>
    <row r="1166" spans="1:9" x14ac:dyDescent="0.3">
      <c r="A1166">
        <v>186</v>
      </c>
      <c r="B1166" t="s">
        <v>33</v>
      </c>
      <c r="C1166" t="s">
        <v>16</v>
      </c>
      <c r="D1166">
        <v>7</v>
      </c>
      <c r="E1166">
        <v>3</v>
      </c>
      <c r="F1166">
        <v>0</v>
      </c>
      <c r="G1166">
        <v>6</v>
      </c>
      <c r="H1166" t="s">
        <v>61</v>
      </c>
      <c r="I1166">
        <v>16</v>
      </c>
    </row>
    <row r="1167" spans="1:9" x14ac:dyDescent="0.3">
      <c r="A1167">
        <v>186</v>
      </c>
      <c r="B1167" t="s">
        <v>33</v>
      </c>
      <c r="C1167" t="s">
        <v>22</v>
      </c>
      <c r="D1167">
        <v>17</v>
      </c>
      <c r="E1167">
        <v>15</v>
      </c>
      <c r="F1167">
        <v>0</v>
      </c>
      <c r="G1167">
        <v>16</v>
      </c>
      <c r="H1167" t="s">
        <v>76</v>
      </c>
      <c r="I1167">
        <v>48</v>
      </c>
    </row>
    <row r="1168" spans="1:9" x14ac:dyDescent="0.3">
      <c r="A1168">
        <v>186</v>
      </c>
      <c r="B1168" t="s">
        <v>33</v>
      </c>
      <c r="C1168" t="s">
        <v>31</v>
      </c>
      <c r="D1168">
        <v>116</v>
      </c>
      <c r="E1168">
        <v>26</v>
      </c>
      <c r="F1168">
        <v>11</v>
      </c>
      <c r="G1168">
        <v>97</v>
      </c>
      <c r="H1168" t="s">
        <v>77</v>
      </c>
      <c r="I1168">
        <v>250</v>
      </c>
    </row>
    <row r="1169" spans="1:9" x14ac:dyDescent="0.3">
      <c r="A1169">
        <v>187</v>
      </c>
      <c r="B1169" t="s">
        <v>7</v>
      </c>
      <c r="C1169" t="s">
        <v>15</v>
      </c>
      <c r="D1169">
        <v>3</v>
      </c>
      <c r="E1169">
        <v>0</v>
      </c>
      <c r="F1169">
        <v>0</v>
      </c>
      <c r="G1169">
        <v>10</v>
      </c>
      <c r="H1169" t="s">
        <v>65</v>
      </c>
      <c r="I1169">
        <v>13</v>
      </c>
    </row>
    <row r="1170" spans="1:9" x14ac:dyDescent="0.3">
      <c r="A1170">
        <v>187</v>
      </c>
      <c r="B1170" t="s">
        <v>7</v>
      </c>
      <c r="C1170" t="s">
        <v>22</v>
      </c>
      <c r="D1170">
        <v>6</v>
      </c>
      <c r="E1170">
        <v>0</v>
      </c>
      <c r="F1170">
        <v>1</v>
      </c>
      <c r="G1170">
        <v>7</v>
      </c>
      <c r="H1170" t="s">
        <v>76</v>
      </c>
      <c r="I1170">
        <v>14</v>
      </c>
    </row>
    <row r="1171" spans="1:9" x14ac:dyDescent="0.3">
      <c r="A1171">
        <v>187</v>
      </c>
      <c r="B1171" t="s">
        <v>33</v>
      </c>
      <c r="C1171" t="s">
        <v>8</v>
      </c>
      <c r="D1171">
        <v>0</v>
      </c>
      <c r="E1171">
        <v>0</v>
      </c>
      <c r="F1171">
        <v>1</v>
      </c>
      <c r="G1171">
        <v>0</v>
      </c>
      <c r="H1171" t="s">
        <v>8</v>
      </c>
      <c r="I1171">
        <v>1</v>
      </c>
    </row>
    <row r="1172" spans="1:9" x14ac:dyDescent="0.3">
      <c r="A1172">
        <v>187</v>
      </c>
      <c r="B1172" t="s">
        <v>33</v>
      </c>
      <c r="C1172" t="s">
        <v>9</v>
      </c>
      <c r="D1172">
        <v>0</v>
      </c>
      <c r="E1172">
        <v>0</v>
      </c>
      <c r="F1172">
        <v>57</v>
      </c>
      <c r="G1172">
        <v>0</v>
      </c>
      <c r="H1172" t="s">
        <v>9</v>
      </c>
      <c r="I1172">
        <v>57</v>
      </c>
    </row>
    <row r="1173" spans="1:9" x14ac:dyDescent="0.3">
      <c r="A1173">
        <v>187</v>
      </c>
      <c r="B1173" t="s">
        <v>33</v>
      </c>
      <c r="C1173" t="s">
        <v>14</v>
      </c>
      <c r="D1173">
        <v>46</v>
      </c>
      <c r="E1173">
        <v>74</v>
      </c>
      <c r="F1173">
        <v>2</v>
      </c>
      <c r="G1173">
        <v>81</v>
      </c>
      <c r="H1173" t="s">
        <v>62</v>
      </c>
      <c r="I1173">
        <v>203</v>
      </c>
    </row>
    <row r="1174" spans="1:9" x14ac:dyDescent="0.3">
      <c r="A1174">
        <v>187</v>
      </c>
      <c r="B1174" t="s">
        <v>33</v>
      </c>
      <c r="C1174" t="s">
        <v>31</v>
      </c>
      <c r="D1174">
        <v>28</v>
      </c>
      <c r="E1174">
        <v>9</v>
      </c>
      <c r="F1174">
        <v>0</v>
      </c>
      <c r="G1174">
        <v>25</v>
      </c>
      <c r="H1174" t="s">
        <v>77</v>
      </c>
      <c r="I1174">
        <v>62</v>
      </c>
    </row>
    <row r="1175" spans="1:9" x14ac:dyDescent="0.3">
      <c r="A1175">
        <v>188</v>
      </c>
      <c r="B1175" t="s">
        <v>7</v>
      </c>
      <c r="C1175" t="s">
        <v>15</v>
      </c>
      <c r="D1175">
        <v>8</v>
      </c>
      <c r="E1175">
        <v>6</v>
      </c>
      <c r="F1175">
        <v>0</v>
      </c>
      <c r="G1175">
        <v>18</v>
      </c>
      <c r="H1175" t="s">
        <v>65</v>
      </c>
      <c r="I1175">
        <v>32</v>
      </c>
    </row>
    <row r="1176" spans="1:9" x14ac:dyDescent="0.3">
      <c r="A1176">
        <v>188</v>
      </c>
      <c r="B1176" t="s">
        <v>7</v>
      </c>
      <c r="C1176" t="s">
        <v>16</v>
      </c>
      <c r="D1176">
        <v>45</v>
      </c>
      <c r="E1176">
        <v>1</v>
      </c>
      <c r="F1176">
        <v>0</v>
      </c>
      <c r="G1176">
        <v>39</v>
      </c>
      <c r="H1176" t="s">
        <v>61</v>
      </c>
      <c r="I1176">
        <v>85</v>
      </c>
    </row>
    <row r="1177" spans="1:9" x14ac:dyDescent="0.3">
      <c r="A1177">
        <v>188</v>
      </c>
      <c r="B1177" t="s">
        <v>7</v>
      </c>
      <c r="C1177" t="s">
        <v>20</v>
      </c>
      <c r="D1177">
        <v>2</v>
      </c>
      <c r="E1177">
        <v>0</v>
      </c>
      <c r="F1177">
        <v>0</v>
      </c>
      <c r="G1177">
        <v>7</v>
      </c>
      <c r="H1177" t="s">
        <v>60</v>
      </c>
      <c r="I1177">
        <v>9</v>
      </c>
    </row>
    <row r="1178" spans="1:9" x14ac:dyDescent="0.3">
      <c r="A1178">
        <v>188</v>
      </c>
      <c r="B1178" t="s">
        <v>33</v>
      </c>
      <c r="C1178" t="s">
        <v>8</v>
      </c>
      <c r="D1178">
        <v>0</v>
      </c>
      <c r="E1178">
        <v>0</v>
      </c>
      <c r="F1178">
        <v>3</v>
      </c>
      <c r="G1178">
        <v>0</v>
      </c>
      <c r="H1178" t="s">
        <v>8</v>
      </c>
      <c r="I1178">
        <v>3</v>
      </c>
    </row>
    <row r="1179" spans="1:9" x14ac:dyDescent="0.3">
      <c r="A1179">
        <v>188</v>
      </c>
      <c r="B1179" t="s">
        <v>33</v>
      </c>
      <c r="C1179" t="s">
        <v>9</v>
      </c>
      <c r="D1179">
        <v>0</v>
      </c>
      <c r="E1179">
        <v>0</v>
      </c>
      <c r="F1179">
        <v>25</v>
      </c>
      <c r="G1179">
        <v>0</v>
      </c>
      <c r="H1179" t="s">
        <v>9</v>
      </c>
      <c r="I1179">
        <v>25</v>
      </c>
    </row>
    <row r="1180" spans="1:9" x14ac:dyDescent="0.3">
      <c r="A1180">
        <v>188</v>
      </c>
      <c r="B1180" t="s">
        <v>33</v>
      </c>
      <c r="C1180" t="s">
        <v>10</v>
      </c>
      <c r="D1180">
        <v>13</v>
      </c>
      <c r="E1180">
        <v>5</v>
      </c>
      <c r="F1180">
        <v>0</v>
      </c>
      <c r="G1180">
        <v>17</v>
      </c>
      <c r="H1180" t="s">
        <v>68</v>
      </c>
      <c r="I1180">
        <v>35</v>
      </c>
    </row>
    <row r="1181" spans="1:9" x14ac:dyDescent="0.3">
      <c r="A1181">
        <v>188</v>
      </c>
      <c r="B1181" t="s">
        <v>33</v>
      </c>
      <c r="C1181" t="s">
        <v>11</v>
      </c>
      <c r="D1181">
        <v>0</v>
      </c>
      <c r="E1181">
        <v>0</v>
      </c>
      <c r="F1181">
        <v>0</v>
      </c>
      <c r="G1181">
        <v>1</v>
      </c>
      <c r="H1181" t="s">
        <v>63</v>
      </c>
      <c r="I1181">
        <v>1</v>
      </c>
    </row>
    <row r="1182" spans="1:9" x14ac:dyDescent="0.3">
      <c r="A1182">
        <v>188</v>
      </c>
      <c r="B1182" t="s">
        <v>33</v>
      </c>
      <c r="C1182" t="s">
        <v>14</v>
      </c>
      <c r="D1182">
        <v>31</v>
      </c>
      <c r="E1182">
        <v>0</v>
      </c>
      <c r="F1182">
        <v>0</v>
      </c>
      <c r="G1182">
        <v>36</v>
      </c>
      <c r="H1182" t="s">
        <v>62</v>
      </c>
      <c r="I1182">
        <v>67</v>
      </c>
    </row>
    <row r="1183" spans="1:9" x14ac:dyDescent="0.3">
      <c r="A1183">
        <v>188</v>
      </c>
      <c r="B1183" t="s">
        <v>33</v>
      </c>
      <c r="C1183" t="s">
        <v>15</v>
      </c>
      <c r="D1183">
        <v>1</v>
      </c>
      <c r="E1183">
        <v>1</v>
      </c>
      <c r="F1183">
        <v>0</v>
      </c>
      <c r="G1183">
        <v>8</v>
      </c>
      <c r="H1183" t="s">
        <v>65</v>
      </c>
      <c r="I1183">
        <v>10</v>
      </c>
    </row>
    <row r="1184" spans="1:9" x14ac:dyDescent="0.3">
      <c r="A1184">
        <v>188</v>
      </c>
      <c r="B1184" t="s">
        <v>33</v>
      </c>
      <c r="C1184" t="s">
        <v>16</v>
      </c>
      <c r="D1184">
        <v>0</v>
      </c>
      <c r="E1184">
        <v>0</v>
      </c>
      <c r="F1184">
        <v>0</v>
      </c>
      <c r="G1184">
        <v>2</v>
      </c>
      <c r="H1184" t="s">
        <v>61</v>
      </c>
      <c r="I1184">
        <v>2</v>
      </c>
    </row>
    <row r="1185" spans="1:9" x14ac:dyDescent="0.3">
      <c r="A1185">
        <v>188</v>
      </c>
      <c r="B1185" t="s">
        <v>33</v>
      </c>
      <c r="C1185" t="s">
        <v>19</v>
      </c>
      <c r="D1185">
        <v>0</v>
      </c>
      <c r="E1185">
        <v>0</v>
      </c>
      <c r="F1185">
        <v>0</v>
      </c>
      <c r="G1185">
        <v>1</v>
      </c>
      <c r="H1185" t="s">
        <v>70</v>
      </c>
      <c r="I1185">
        <v>1</v>
      </c>
    </row>
    <row r="1186" spans="1:9" x14ac:dyDescent="0.3">
      <c r="A1186">
        <v>188</v>
      </c>
      <c r="B1186" t="s">
        <v>33</v>
      </c>
      <c r="C1186" t="s">
        <v>21</v>
      </c>
      <c r="D1186">
        <v>26</v>
      </c>
      <c r="E1186">
        <v>5</v>
      </c>
      <c r="F1186">
        <v>8</v>
      </c>
      <c r="G1186">
        <v>20</v>
      </c>
      <c r="H1186" t="s">
        <v>74</v>
      </c>
      <c r="I1186">
        <v>59</v>
      </c>
    </row>
    <row r="1187" spans="1:9" x14ac:dyDescent="0.3">
      <c r="A1187">
        <v>188</v>
      </c>
      <c r="B1187" t="s">
        <v>33</v>
      </c>
      <c r="C1187" t="s">
        <v>22</v>
      </c>
      <c r="D1187">
        <v>4</v>
      </c>
      <c r="E1187">
        <v>2</v>
      </c>
      <c r="F1187">
        <v>0</v>
      </c>
      <c r="G1187">
        <v>21</v>
      </c>
      <c r="H1187" t="s">
        <v>76</v>
      </c>
      <c r="I1187">
        <v>27</v>
      </c>
    </row>
    <row r="1188" spans="1:9" x14ac:dyDescent="0.3">
      <c r="A1188">
        <v>188</v>
      </c>
      <c r="B1188" t="s">
        <v>33</v>
      </c>
      <c r="C1188" t="s">
        <v>31</v>
      </c>
      <c r="D1188">
        <v>22</v>
      </c>
      <c r="E1188">
        <v>8</v>
      </c>
      <c r="F1188">
        <v>0</v>
      </c>
      <c r="G1188">
        <v>15</v>
      </c>
      <c r="H1188" t="s">
        <v>77</v>
      </c>
      <c r="I1188">
        <v>45</v>
      </c>
    </row>
    <row r="1189" spans="1:9" x14ac:dyDescent="0.3">
      <c r="A1189">
        <v>189</v>
      </c>
      <c r="B1189" t="s">
        <v>7</v>
      </c>
      <c r="C1189" t="s">
        <v>10</v>
      </c>
      <c r="D1189">
        <v>11</v>
      </c>
      <c r="E1189">
        <v>0</v>
      </c>
      <c r="F1189">
        <v>0</v>
      </c>
      <c r="G1189">
        <v>8</v>
      </c>
      <c r="H1189" t="s">
        <v>68</v>
      </c>
      <c r="I1189">
        <v>19</v>
      </c>
    </row>
    <row r="1190" spans="1:9" x14ac:dyDescent="0.3">
      <c r="A1190">
        <v>189</v>
      </c>
      <c r="B1190" t="s">
        <v>7</v>
      </c>
      <c r="C1190" t="s">
        <v>15</v>
      </c>
      <c r="D1190">
        <v>0</v>
      </c>
      <c r="E1190">
        <v>0</v>
      </c>
      <c r="F1190">
        <v>0</v>
      </c>
      <c r="G1190">
        <v>3</v>
      </c>
      <c r="H1190" t="s">
        <v>65</v>
      </c>
      <c r="I1190">
        <v>3</v>
      </c>
    </row>
    <row r="1191" spans="1:9" x14ac:dyDescent="0.3">
      <c r="A1191">
        <v>189</v>
      </c>
      <c r="B1191" t="s">
        <v>7</v>
      </c>
      <c r="C1191" t="s">
        <v>16</v>
      </c>
      <c r="D1191">
        <v>2</v>
      </c>
      <c r="E1191">
        <v>0</v>
      </c>
      <c r="F1191">
        <v>0</v>
      </c>
      <c r="G1191">
        <v>2</v>
      </c>
      <c r="H1191" t="s">
        <v>61</v>
      </c>
      <c r="I1191">
        <v>4</v>
      </c>
    </row>
    <row r="1192" spans="1:9" x14ac:dyDescent="0.3">
      <c r="A1192">
        <v>189</v>
      </c>
      <c r="B1192" t="s">
        <v>7</v>
      </c>
      <c r="C1192" t="s">
        <v>21</v>
      </c>
      <c r="D1192">
        <v>10</v>
      </c>
      <c r="E1192">
        <v>14</v>
      </c>
      <c r="F1192">
        <v>4</v>
      </c>
      <c r="G1192">
        <v>16</v>
      </c>
      <c r="H1192" t="s">
        <v>74</v>
      </c>
      <c r="I1192">
        <v>44</v>
      </c>
    </row>
    <row r="1193" spans="1:9" x14ac:dyDescent="0.3">
      <c r="A1193">
        <v>189</v>
      </c>
      <c r="B1193" t="s">
        <v>7</v>
      </c>
      <c r="C1193" t="s">
        <v>22</v>
      </c>
      <c r="D1193">
        <v>4</v>
      </c>
      <c r="E1193">
        <v>0</v>
      </c>
      <c r="F1193">
        <v>0</v>
      </c>
      <c r="G1193">
        <v>2</v>
      </c>
      <c r="H1193" t="s">
        <v>76</v>
      </c>
      <c r="I1193">
        <v>6</v>
      </c>
    </row>
    <row r="1194" spans="1:9" x14ac:dyDescent="0.3">
      <c r="A1194">
        <v>189</v>
      </c>
      <c r="B1194" t="s">
        <v>33</v>
      </c>
      <c r="C1194" t="s">
        <v>8</v>
      </c>
      <c r="D1194">
        <v>0</v>
      </c>
      <c r="E1194">
        <v>0</v>
      </c>
      <c r="F1194">
        <v>31</v>
      </c>
      <c r="G1194">
        <v>0</v>
      </c>
      <c r="H1194" t="s">
        <v>8</v>
      </c>
      <c r="I1194">
        <v>31</v>
      </c>
    </row>
    <row r="1195" spans="1:9" x14ac:dyDescent="0.3">
      <c r="A1195">
        <v>189</v>
      </c>
      <c r="B1195" t="s">
        <v>33</v>
      </c>
      <c r="C1195" t="s">
        <v>9</v>
      </c>
      <c r="D1195">
        <v>0</v>
      </c>
      <c r="E1195">
        <v>0</v>
      </c>
      <c r="F1195">
        <v>5</v>
      </c>
      <c r="G1195">
        <v>0</v>
      </c>
      <c r="H1195" t="s">
        <v>9</v>
      </c>
      <c r="I1195">
        <v>5</v>
      </c>
    </row>
    <row r="1196" spans="1:9" x14ac:dyDescent="0.3">
      <c r="A1196">
        <v>189</v>
      </c>
      <c r="B1196" t="s">
        <v>33</v>
      </c>
      <c r="C1196" t="s">
        <v>10</v>
      </c>
      <c r="D1196">
        <v>1</v>
      </c>
      <c r="E1196">
        <v>0</v>
      </c>
      <c r="F1196">
        <v>0</v>
      </c>
      <c r="G1196">
        <v>3</v>
      </c>
      <c r="H1196" t="s">
        <v>68</v>
      </c>
      <c r="I1196">
        <v>4</v>
      </c>
    </row>
    <row r="1197" spans="1:9" x14ac:dyDescent="0.3">
      <c r="A1197">
        <v>189</v>
      </c>
      <c r="B1197" t="s">
        <v>33</v>
      </c>
      <c r="C1197" t="s">
        <v>14</v>
      </c>
      <c r="D1197">
        <v>11</v>
      </c>
      <c r="E1197">
        <v>1</v>
      </c>
      <c r="F1197">
        <v>0</v>
      </c>
      <c r="G1197">
        <v>5</v>
      </c>
      <c r="H1197" t="s">
        <v>62</v>
      </c>
      <c r="I1197">
        <v>17</v>
      </c>
    </row>
    <row r="1198" spans="1:9" x14ac:dyDescent="0.3">
      <c r="A1198">
        <v>189</v>
      </c>
      <c r="B1198" t="s">
        <v>33</v>
      </c>
      <c r="C1198" t="s">
        <v>15</v>
      </c>
      <c r="D1198">
        <v>0</v>
      </c>
      <c r="E1198">
        <v>0</v>
      </c>
      <c r="F1198">
        <v>0</v>
      </c>
      <c r="G1198">
        <v>7</v>
      </c>
      <c r="H1198" t="s">
        <v>65</v>
      </c>
      <c r="I1198">
        <v>7</v>
      </c>
    </row>
    <row r="1199" spans="1:9" x14ac:dyDescent="0.3">
      <c r="A1199">
        <v>189</v>
      </c>
      <c r="B1199" t="s">
        <v>33</v>
      </c>
      <c r="C1199" t="s">
        <v>16</v>
      </c>
      <c r="D1199">
        <v>5</v>
      </c>
      <c r="E1199">
        <v>0</v>
      </c>
      <c r="F1199">
        <v>0</v>
      </c>
      <c r="G1199">
        <v>5</v>
      </c>
      <c r="H1199" t="s">
        <v>61</v>
      </c>
      <c r="I1199">
        <v>10</v>
      </c>
    </row>
    <row r="1200" spans="1:9" x14ac:dyDescent="0.3">
      <c r="A1200">
        <v>189</v>
      </c>
      <c r="B1200" t="s">
        <v>33</v>
      </c>
      <c r="C1200" t="s">
        <v>21</v>
      </c>
      <c r="D1200">
        <v>46</v>
      </c>
      <c r="E1200">
        <v>30</v>
      </c>
      <c r="F1200">
        <v>1</v>
      </c>
      <c r="G1200">
        <v>47</v>
      </c>
      <c r="H1200" t="s">
        <v>74</v>
      </c>
      <c r="I1200">
        <v>124</v>
      </c>
    </row>
    <row r="1201" spans="1:9" x14ac:dyDescent="0.3">
      <c r="A1201">
        <v>189</v>
      </c>
      <c r="B1201" t="s">
        <v>33</v>
      </c>
      <c r="C1201" t="s">
        <v>22</v>
      </c>
      <c r="D1201">
        <v>0</v>
      </c>
      <c r="E1201">
        <v>0</v>
      </c>
      <c r="F1201">
        <v>0</v>
      </c>
      <c r="G1201">
        <v>6</v>
      </c>
      <c r="H1201" t="s">
        <v>76</v>
      </c>
      <c r="I1201">
        <v>6</v>
      </c>
    </row>
    <row r="1202" spans="1:9" x14ac:dyDescent="0.3">
      <c r="A1202">
        <v>190</v>
      </c>
      <c r="B1202" t="s">
        <v>33</v>
      </c>
      <c r="C1202" t="s">
        <v>9</v>
      </c>
      <c r="D1202">
        <v>0</v>
      </c>
      <c r="E1202">
        <v>0</v>
      </c>
      <c r="F1202">
        <v>46</v>
      </c>
      <c r="G1202">
        <v>0</v>
      </c>
      <c r="H1202" t="s">
        <v>9</v>
      </c>
      <c r="I1202">
        <v>46</v>
      </c>
    </row>
    <row r="1203" spans="1:9" x14ac:dyDescent="0.3">
      <c r="A1203">
        <v>190</v>
      </c>
      <c r="B1203" t="s">
        <v>33</v>
      </c>
      <c r="C1203" t="s">
        <v>10</v>
      </c>
      <c r="D1203">
        <v>9</v>
      </c>
      <c r="E1203">
        <v>0</v>
      </c>
      <c r="F1203">
        <v>0</v>
      </c>
      <c r="G1203">
        <v>8</v>
      </c>
      <c r="H1203" t="s">
        <v>68</v>
      </c>
      <c r="I1203">
        <v>17</v>
      </c>
    </row>
    <row r="1204" spans="1:9" x14ac:dyDescent="0.3">
      <c r="A1204">
        <v>190</v>
      </c>
      <c r="B1204" t="s">
        <v>33</v>
      </c>
      <c r="C1204" t="s">
        <v>14</v>
      </c>
      <c r="D1204">
        <v>31</v>
      </c>
      <c r="E1204">
        <v>20</v>
      </c>
      <c r="F1204">
        <v>0</v>
      </c>
      <c r="G1204">
        <v>44</v>
      </c>
      <c r="H1204" t="s">
        <v>62</v>
      </c>
      <c r="I1204">
        <v>95</v>
      </c>
    </row>
    <row r="1205" spans="1:9" x14ac:dyDescent="0.3">
      <c r="A1205">
        <v>190</v>
      </c>
      <c r="B1205" t="s">
        <v>33</v>
      </c>
      <c r="C1205" t="s">
        <v>15</v>
      </c>
      <c r="D1205">
        <v>1</v>
      </c>
      <c r="E1205">
        <v>0</v>
      </c>
      <c r="F1205">
        <v>0</v>
      </c>
      <c r="G1205">
        <v>7</v>
      </c>
      <c r="H1205" t="s">
        <v>65</v>
      </c>
      <c r="I1205">
        <v>8</v>
      </c>
    </row>
    <row r="1206" spans="1:9" x14ac:dyDescent="0.3">
      <c r="A1206">
        <v>190</v>
      </c>
      <c r="B1206" t="s">
        <v>33</v>
      </c>
      <c r="C1206" t="s">
        <v>16</v>
      </c>
      <c r="D1206">
        <v>7</v>
      </c>
      <c r="E1206">
        <v>0</v>
      </c>
      <c r="F1206">
        <v>0</v>
      </c>
      <c r="G1206">
        <v>9</v>
      </c>
      <c r="H1206" t="s">
        <v>61</v>
      </c>
      <c r="I1206">
        <v>16</v>
      </c>
    </row>
    <row r="1207" spans="1:9" x14ac:dyDescent="0.3">
      <c r="A1207">
        <v>190</v>
      </c>
      <c r="B1207" t="s">
        <v>33</v>
      </c>
      <c r="C1207" t="s">
        <v>21</v>
      </c>
      <c r="D1207">
        <v>2</v>
      </c>
      <c r="E1207">
        <v>0</v>
      </c>
      <c r="F1207">
        <v>0</v>
      </c>
      <c r="G1207">
        <v>7</v>
      </c>
      <c r="H1207" t="s">
        <v>74</v>
      </c>
      <c r="I1207">
        <v>9</v>
      </c>
    </row>
    <row r="1208" spans="1:9" x14ac:dyDescent="0.3">
      <c r="A1208">
        <v>190</v>
      </c>
      <c r="B1208" t="s">
        <v>33</v>
      </c>
      <c r="C1208" t="s">
        <v>22</v>
      </c>
      <c r="D1208">
        <v>2</v>
      </c>
      <c r="E1208">
        <v>0</v>
      </c>
      <c r="F1208">
        <v>0</v>
      </c>
      <c r="G1208">
        <v>8</v>
      </c>
      <c r="H1208" t="s">
        <v>76</v>
      </c>
      <c r="I1208">
        <v>10</v>
      </c>
    </row>
    <row r="1209" spans="1:9" x14ac:dyDescent="0.3">
      <c r="A1209">
        <v>191</v>
      </c>
      <c r="B1209" t="s">
        <v>7</v>
      </c>
      <c r="C1209" t="s">
        <v>14</v>
      </c>
      <c r="D1209">
        <v>0</v>
      </c>
      <c r="E1209">
        <v>0</v>
      </c>
      <c r="F1209">
        <v>0</v>
      </c>
      <c r="G1209">
        <v>1</v>
      </c>
      <c r="H1209" t="s">
        <v>62</v>
      </c>
      <c r="I1209">
        <v>1</v>
      </c>
    </row>
    <row r="1210" spans="1:9" x14ac:dyDescent="0.3">
      <c r="A1210">
        <v>191</v>
      </c>
      <c r="B1210" t="s">
        <v>7</v>
      </c>
      <c r="C1210" t="s">
        <v>15</v>
      </c>
      <c r="D1210">
        <v>0</v>
      </c>
      <c r="E1210">
        <v>0</v>
      </c>
      <c r="F1210">
        <v>0</v>
      </c>
      <c r="G1210">
        <v>1</v>
      </c>
      <c r="H1210" t="s">
        <v>65</v>
      </c>
      <c r="I1210">
        <v>1</v>
      </c>
    </row>
    <row r="1211" spans="1:9" x14ac:dyDescent="0.3">
      <c r="A1211">
        <v>191</v>
      </c>
      <c r="B1211" t="s">
        <v>7</v>
      </c>
      <c r="C1211" t="s">
        <v>16</v>
      </c>
      <c r="D1211">
        <v>0</v>
      </c>
      <c r="E1211">
        <v>0</v>
      </c>
      <c r="F1211">
        <v>0</v>
      </c>
      <c r="G1211">
        <v>1</v>
      </c>
      <c r="H1211" t="s">
        <v>61</v>
      </c>
      <c r="I1211">
        <v>1</v>
      </c>
    </row>
    <row r="1212" spans="1:9" x14ac:dyDescent="0.3">
      <c r="A1212">
        <v>191</v>
      </c>
      <c r="B1212" t="s">
        <v>7</v>
      </c>
      <c r="C1212" t="s">
        <v>22</v>
      </c>
      <c r="D1212">
        <v>0</v>
      </c>
      <c r="E1212">
        <v>0</v>
      </c>
      <c r="F1212">
        <v>0</v>
      </c>
      <c r="G1212">
        <v>1</v>
      </c>
      <c r="H1212" t="s">
        <v>76</v>
      </c>
      <c r="I1212">
        <v>1</v>
      </c>
    </row>
    <row r="1213" spans="1:9" x14ac:dyDescent="0.3">
      <c r="A1213">
        <v>191</v>
      </c>
      <c r="B1213" t="s">
        <v>33</v>
      </c>
      <c r="C1213" t="s">
        <v>9</v>
      </c>
      <c r="D1213">
        <v>0</v>
      </c>
      <c r="E1213">
        <v>0</v>
      </c>
      <c r="F1213">
        <v>76</v>
      </c>
      <c r="G1213">
        <v>0</v>
      </c>
      <c r="H1213" t="s">
        <v>9</v>
      </c>
      <c r="I1213">
        <v>76</v>
      </c>
    </row>
    <row r="1214" spans="1:9" x14ac:dyDescent="0.3">
      <c r="A1214">
        <v>191</v>
      </c>
      <c r="B1214" t="s">
        <v>33</v>
      </c>
      <c r="C1214" t="s">
        <v>10</v>
      </c>
      <c r="D1214">
        <v>3</v>
      </c>
      <c r="E1214">
        <v>0</v>
      </c>
      <c r="F1214">
        <v>0</v>
      </c>
      <c r="G1214">
        <v>5</v>
      </c>
      <c r="H1214" t="s">
        <v>68</v>
      </c>
      <c r="I1214">
        <v>8</v>
      </c>
    </row>
    <row r="1215" spans="1:9" x14ac:dyDescent="0.3">
      <c r="A1215">
        <v>191</v>
      </c>
      <c r="B1215" t="s">
        <v>33</v>
      </c>
      <c r="C1215" t="s">
        <v>14</v>
      </c>
      <c r="D1215">
        <v>31</v>
      </c>
      <c r="E1215">
        <v>6</v>
      </c>
      <c r="F1215">
        <v>0</v>
      </c>
      <c r="G1215">
        <v>33</v>
      </c>
      <c r="H1215" t="s">
        <v>62</v>
      </c>
      <c r="I1215">
        <v>70</v>
      </c>
    </row>
    <row r="1216" spans="1:9" x14ac:dyDescent="0.3">
      <c r="A1216">
        <v>191</v>
      </c>
      <c r="B1216" t="s">
        <v>33</v>
      </c>
      <c r="C1216" t="s">
        <v>15</v>
      </c>
      <c r="D1216">
        <v>3</v>
      </c>
      <c r="E1216">
        <v>4</v>
      </c>
      <c r="F1216">
        <v>0</v>
      </c>
      <c r="G1216">
        <v>21</v>
      </c>
      <c r="H1216" t="s">
        <v>65</v>
      </c>
      <c r="I1216">
        <v>28</v>
      </c>
    </row>
    <row r="1217" spans="1:9" x14ac:dyDescent="0.3">
      <c r="A1217">
        <v>191</v>
      </c>
      <c r="B1217" t="s">
        <v>33</v>
      </c>
      <c r="C1217" t="s">
        <v>16</v>
      </c>
      <c r="D1217">
        <v>12</v>
      </c>
      <c r="E1217">
        <v>0</v>
      </c>
      <c r="F1217">
        <v>0</v>
      </c>
      <c r="G1217">
        <v>14</v>
      </c>
      <c r="H1217" t="s">
        <v>61</v>
      </c>
      <c r="I1217">
        <v>26</v>
      </c>
    </row>
    <row r="1218" spans="1:9" x14ac:dyDescent="0.3">
      <c r="A1218">
        <v>191</v>
      </c>
      <c r="B1218" t="s">
        <v>33</v>
      </c>
      <c r="C1218" t="s">
        <v>21</v>
      </c>
      <c r="D1218">
        <v>9</v>
      </c>
      <c r="E1218">
        <v>0</v>
      </c>
      <c r="F1218">
        <v>0</v>
      </c>
      <c r="G1218">
        <v>16</v>
      </c>
      <c r="H1218" t="s">
        <v>74</v>
      </c>
      <c r="I1218">
        <v>25</v>
      </c>
    </row>
    <row r="1219" spans="1:9" x14ac:dyDescent="0.3">
      <c r="A1219">
        <v>191</v>
      </c>
      <c r="B1219" t="s">
        <v>33</v>
      </c>
      <c r="C1219" t="s">
        <v>22</v>
      </c>
      <c r="D1219">
        <v>4</v>
      </c>
      <c r="E1219">
        <v>0</v>
      </c>
      <c r="F1219">
        <v>0</v>
      </c>
      <c r="G1219">
        <v>9</v>
      </c>
      <c r="H1219" t="s">
        <v>76</v>
      </c>
      <c r="I1219">
        <v>13</v>
      </c>
    </row>
    <row r="1220" spans="1:9" x14ac:dyDescent="0.3">
      <c r="A1220">
        <v>192</v>
      </c>
      <c r="B1220" t="s">
        <v>7</v>
      </c>
      <c r="C1220" t="s">
        <v>10</v>
      </c>
      <c r="D1220">
        <v>1</v>
      </c>
      <c r="E1220">
        <v>0</v>
      </c>
      <c r="F1220">
        <v>0</v>
      </c>
      <c r="G1220">
        <v>2</v>
      </c>
      <c r="H1220" t="s">
        <v>68</v>
      </c>
      <c r="I1220">
        <v>3</v>
      </c>
    </row>
    <row r="1221" spans="1:9" x14ac:dyDescent="0.3">
      <c r="A1221">
        <v>192</v>
      </c>
      <c r="B1221" t="s">
        <v>7</v>
      </c>
      <c r="C1221" t="s">
        <v>11</v>
      </c>
      <c r="D1221">
        <v>4</v>
      </c>
      <c r="E1221">
        <v>0</v>
      </c>
      <c r="F1221">
        <v>0</v>
      </c>
      <c r="G1221">
        <v>3</v>
      </c>
      <c r="H1221" t="s">
        <v>63</v>
      </c>
      <c r="I1221">
        <v>7</v>
      </c>
    </row>
    <row r="1222" spans="1:9" x14ac:dyDescent="0.3">
      <c r="A1222">
        <v>192</v>
      </c>
      <c r="B1222" t="s">
        <v>7</v>
      </c>
      <c r="C1222" t="s">
        <v>14</v>
      </c>
      <c r="D1222">
        <v>3</v>
      </c>
      <c r="E1222">
        <v>0</v>
      </c>
      <c r="F1222">
        <v>0</v>
      </c>
      <c r="G1222">
        <v>2</v>
      </c>
      <c r="H1222" t="s">
        <v>62</v>
      </c>
      <c r="I1222">
        <v>5</v>
      </c>
    </row>
    <row r="1223" spans="1:9" x14ac:dyDescent="0.3">
      <c r="A1223">
        <v>192</v>
      </c>
      <c r="B1223" t="s">
        <v>7</v>
      </c>
      <c r="C1223" t="s">
        <v>15</v>
      </c>
      <c r="D1223">
        <v>30</v>
      </c>
      <c r="E1223">
        <v>2</v>
      </c>
      <c r="F1223">
        <v>0</v>
      </c>
      <c r="G1223">
        <v>39</v>
      </c>
      <c r="H1223" t="s">
        <v>65</v>
      </c>
      <c r="I1223">
        <v>71</v>
      </c>
    </row>
    <row r="1224" spans="1:9" x14ac:dyDescent="0.3">
      <c r="A1224">
        <v>192</v>
      </c>
      <c r="B1224" t="s">
        <v>7</v>
      </c>
      <c r="C1224" t="s">
        <v>16</v>
      </c>
      <c r="D1224">
        <v>75</v>
      </c>
      <c r="E1224">
        <v>9</v>
      </c>
      <c r="F1224">
        <v>1</v>
      </c>
      <c r="G1224">
        <v>46</v>
      </c>
      <c r="H1224" t="s">
        <v>61</v>
      </c>
      <c r="I1224">
        <v>131</v>
      </c>
    </row>
    <row r="1225" spans="1:9" x14ac:dyDescent="0.3">
      <c r="A1225">
        <v>192</v>
      </c>
      <c r="B1225" t="s">
        <v>7</v>
      </c>
      <c r="C1225" t="s">
        <v>21</v>
      </c>
      <c r="D1225">
        <v>5</v>
      </c>
      <c r="E1225">
        <v>6</v>
      </c>
      <c r="F1225">
        <v>5</v>
      </c>
      <c r="G1225">
        <v>7</v>
      </c>
      <c r="H1225" t="s">
        <v>74</v>
      </c>
      <c r="I1225">
        <v>23</v>
      </c>
    </row>
    <row r="1226" spans="1:9" x14ac:dyDescent="0.3">
      <c r="A1226">
        <v>192</v>
      </c>
      <c r="B1226" t="s">
        <v>7</v>
      </c>
      <c r="C1226" t="s">
        <v>22</v>
      </c>
      <c r="D1226">
        <v>48</v>
      </c>
      <c r="E1226">
        <v>15</v>
      </c>
      <c r="F1226">
        <v>0</v>
      </c>
      <c r="G1226">
        <v>34</v>
      </c>
      <c r="H1226" t="s">
        <v>76</v>
      </c>
      <c r="I1226">
        <v>97</v>
      </c>
    </row>
    <row r="1227" spans="1:9" x14ac:dyDescent="0.3">
      <c r="A1227">
        <v>192</v>
      </c>
      <c r="B1227" t="s">
        <v>33</v>
      </c>
      <c r="C1227" t="s">
        <v>8</v>
      </c>
      <c r="D1227">
        <v>0</v>
      </c>
      <c r="E1227">
        <v>0</v>
      </c>
      <c r="F1227">
        <v>2</v>
      </c>
      <c r="G1227">
        <v>0</v>
      </c>
      <c r="H1227" t="s">
        <v>8</v>
      </c>
      <c r="I1227">
        <v>2</v>
      </c>
    </row>
    <row r="1228" spans="1:9" x14ac:dyDescent="0.3">
      <c r="A1228">
        <v>192</v>
      </c>
      <c r="B1228" t="s">
        <v>33</v>
      </c>
      <c r="C1228" t="s">
        <v>9</v>
      </c>
      <c r="D1228">
        <v>0</v>
      </c>
      <c r="E1228">
        <v>0</v>
      </c>
      <c r="F1228">
        <v>30</v>
      </c>
      <c r="G1228">
        <v>0</v>
      </c>
      <c r="H1228" t="s">
        <v>9</v>
      </c>
      <c r="I1228">
        <v>30</v>
      </c>
    </row>
    <row r="1229" spans="1:9" x14ac:dyDescent="0.3">
      <c r="A1229">
        <v>192</v>
      </c>
      <c r="B1229" t="s">
        <v>33</v>
      </c>
      <c r="C1229" t="s">
        <v>10</v>
      </c>
      <c r="D1229">
        <v>22</v>
      </c>
      <c r="E1229">
        <v>13</v>
      </c>
      <c r="F1229">
        <v>2</v>
      </c>
      <c r="G1229">
        <v>20</v>
      </c>
      <c r="H1229" t="s">
        <v>68</v>
      </c>
      <c r="I1229">
        <v>57</v>
      </c>
    </row>
    <row r="1230" spans="1:9" x14ac:dyDescent="0.3">
      <c r="A1230">
        <v>192</v>
      </c>
      <c r="B1230" t="s">
        <v>33</v>
      </c>
      <c r="C1230" t="s">
        <v>11</v>
      </c>
      <c r="D1230">
        <v>1</v>
      </c>
      <c r="E1230">
        <v>0</v>
      </c>
      <c r="F1230">
        <v>0</v>
      </c>
      <c r="G1230">
        <v>3</v>
      </c>
      <c r="H1230" t="s">
        <v>63</v>
      </c>
      <c r="I1230">
        <v>4</v>
      </c>
    </row>
    <row r="1231" spans="1:9" x14ac:dyDescent="0.3">
      <c r="A1231">
        <v>192</v>
      </c>
      <c r="B1231" t="s">
        <v>33</v>
      </c>
      <c r="C1231" t="s">
        <v>14</v>
      </c>
      <c r="D1231">
        <v>6</v>
      </c>
      <c r="E1231">
        <v>0</v>
      </c>
      <c r="F1231">
        <v>0</v>
      </c>
      <c r="G1231">
        <v>8</v>
      </c>
      <c r="H1231" t="s">
        <v>62</v>
      </c>
      <c r="I1231">
        <v>14</v>
      </c>
    </row>
    <row r="1232" spans="1:9" x14ac:dyDescent="0.3">
      <c r="A1232">
        <v>192</v>
      </c>
      <c r="B1232" t="s">
        <v>33</v>
      </c>
      <c r="C1232" t="s">
        <v>15</v>
      </c>
      <c r="D1232">
        <v>0</v>
      </c>
      <c r="E1232">
        <v>0</v>
      </c>
      <c r="F1232">
        <v>0</v>
      </c>
      <c r="G1232">
        <v>1</v>
      </c>
      <c r="H1232" t="s">
        <v>65</v>
      </c>
      <c r="I1232">
        <v>1</v>
      </c>
    </row>
    <row r="1233" spans="1:9" x14ac:dyDescent="0.3">
      <c r="A1233">
        <v>192</v>
      </c>
      <c r="B1233" t="s">
        <v>33</v>
      </c>
      <c r="C1233" t="s">
        <v>16</v>
      </c>
      <c r="D1233">
        <v>0</v>
      </c>
      <c r="E1233">
        <v>0</v>
      </c>
      <c r="F1233">
        <v>0</v>
      </c>
      <c r="G1233">
        <v>2</v>
      </c>
      <c r="H1233" t="s">
        <v>61</v>
      </c>
      <c r="I1233">
        <v>2</v>
      </c>
    </row>
    <row r="1234" spans="1:9" x14ac:dyDescent="0.3">
      <c r="A1234">
        <v>192</v>
      </c>
      <c r="B1234" t="s">
        <v>33</v>
      </c>
      <c r="C1234" t="s">
        <v>19</v>
      </c>
      <c r="D1234">
        <v>21</v>
      </c>
      <c r="E1234">
        <v>0</v>
      </c>
      <c r="F1234">
        <v>1</v>
      </c>
      <c r="G1234">
        <v>11</v>
      </c>
      <c r="H1234" t="s">
        <v>70</v>
      </c>
      <c r="I1234">
        <v>33</v>
      </c>
    </row>
    <row r="1235" spans="1:9" x14ac:dyDescent="0.3">
      <c r="A1235">
        <v>192</v>
      </c>
      <c r="B1235" t="s">
        <v>33</v>
      </c>
      <c r="C1235" t="s">
        <v>21</v>
      </c>
      <c r="D1235">
        <v>3</v>
      </c>
      <c r="E1235">
        <v>11</v>
      </c>
      <c r="F1235">
        <v>3</v>
      </c>
      <c r="G1235">
        <v>8</v>
      </c>
      <c r="H1235" t="s">
        <v>74</v>
      </c>
      <c r="I1235">
        <v>25</v>
      </c>
    </row>
    <row r="1236" spans="1:9" x14ac:dyDescent="0.3">
      <c r="A1236">
        <v>192</v>
      </c>
      <c r="B1236" t="s">
        <v>33</v>
      </c>
      <c r="C1236" t="s">
        <v>22</v>
      </c>
      <c r="D1236">
        <v>4</v>
      </c>
      <c r="E1236">
        <v>0</v>
      </c>
      <c r="F1236">
        <v>0</v>
      </c>
      <c r="G1236">
        <v>4</v>
      </c>
      <c r="H1236" t="s">
        <v>76</v>
      </c>
      <c r="I1236">
        <v>8</v>
      </c>
    </row>
    <row r="1237" spans="1:9" x14ac:dyDescent="0.3">
      <c r="A1237">
        <v>193</v>
      </c>
      <c r="B1237" t="s">
        <v>7</v>
      </c>
      <c r="C1237" t="s">
        <v>10</v>
      </c>
      <c r="D1237">
        <v>19</v>
      </c>
      <c r="E1237">
        <v>12</v>
      </c>
      <c r="F1237">
        <v>6</v>
      </c>
      <c r="G1237">
        <v>11</v>
      </c>
      <c r="H1237" t="s">
        <v>68</v>
      </c>
      <c r="I1237">
        <v>48</v>
      </c>
    </row>
    <row r="1238" spans="1:9" x14ac:dyDescent="0.3">
      <c r="A1238">
        <v>193</v>
      </c>
      <c r="B1238" t="s">
        <v>7</v>
      </c>
      <c r="C1238" t="s">
        <v>11</v>
      </c>
      <c r="D1238">
        <v>55</v>
      </c>
      <c r="E1238">
        <v>0</v>
      </c>
      <c r="F1238">
        <v>0</v>
      </c>
      <c r="G1238">
        <v>46</v>
      </c>
      <c r="H1238" t="s">
        <v>63</v>
      </c>
      <c r="I1238">
        <v>101</v>
      </c>
    </row>
    <row r="1239" spans="1:9" x14ac:dyDescent="0.3">
      <c r="A1239">
        <v>193</v>
      </c>
      <c r="B1239" t="s">
        <v>7</v>
      </c>
      <c r="C1239" t="s">
        <v>15</v>
      </c>
      <c r="D1239">
        <v>27</v>
      </c>
      <c r="E1239">
        <v>4</v>
      </c>
      <c r="F1239">
        <v>0</v>
      </c>
      <c r="G1239">
        <v>36</v>
      </c>
      <c r="H1239" t="s">
        <v>65</v>
      </c>
      <c r="I1239">
        <v>67</v>
      </c>
    </row>
    <row r="1240" spans="1:9" x14ac:dyDescent="0.3">
      <c r="A1240">
        <v>193</v>
      </c>
      <c r="B1240" t="s">
        <v>7</v>
      </c>
      <c r="C1240" t="s">
        <v>16</v>
      </c>
      <c r="D1240">
        <v>55</v>
      </c>
      <c r="E1240">
        <v>12</v>
      </c>
      <c r="F1240">
        <v>1</v>
      </c>
      <c r="G1240">
        <v>41</v>
      </c>
      <c r="H1240" t="s">
        <v>61</v>
      </c>
      <c r="I1240">
        <v>109</v>
      </c>
    </row>
    <row r="1241" spans="1:9" x14ac:dyDescent="0.3">
      <c r="A1241">
        <v>193</v>
      </c>
      <c r="B1241" t="s">
        <v>7</v>
      </c>
      <c r="C1241" t="s">
        <v>19</v>
      </c>
      <c r="D1241">
        <v>39</v>
      </c>
      <c r="E1241">
        <v>2</v>
      </c>
      <c r="F1241">
        <v>0</v>
      </c>
      <c r="G1241">
        <v>43</v>
      </c>
      <c r="H1241" t="s">
        <v>70</v>
      </c>
      <c r="I1241">
        <v>84</v>
      </c>
    </row>
    <row r="1242" spans="1:9" x14ac:dyDescent="0.3">
      <c r="A1242">
        <v>193</v>
      </c>
      <c r="B1242" t="s">
        <v>7</v>
      </c>
      <c r="C1242" t="s">
        <v>21</v>
      </c>
      <c r="D1242">
        <v>19</v>
      </c>
      <c r="E1242">
        <v>7</v>
      </c>
      <c r="F1242">
        <v>0</v>
      </c>
      <c r="G1242">
        <v>19</v>
      </c>
      <c r="H1242" t="s">
        <v>74</v>
      </c>
      <c r="I1242">
        <v>45</v>
      </c>
    </row>
    <row r="1243" spans="1:9" x14ac:dyDescent="0.3">
      <c r="A1243">
        <v>193</v>
      </c>
      <c r="B1243" t="s">
        <v>7</v>
      </c>
      <c r="C1243" t="s">
        <v>22</v>
      </c>
      <c r="D1243">
        <v>17</v>
      </c>
      <c r="E1243">
        <v>9</v>
      </c>
      <c r="F1243">
        <v>0</v>
      </c>
      <c r="G1243">
        <v>29</v>
      </c>
      <c r="H1243" t="s">
        <v>76</v>
      </c>
      <c r="I1243">
        <v>55</v>
      </c>
    </row>
    <row r="1244" spans="1:9" x14ac:dyDescent="0.3">
      <c r="A1244">
        <v>193</v>
      </c>
      <c r="B1244" t="s">
        <v>33</v>
      </c>
      <c r="C1244" t="s">
        <v>8</v>
      </c>
      <c r="D1244">
        <v>0</v>
      </c>
      <c r="E1244">
        <v>0</v>
      </c>
      <c r="F1244">
        <v>3</v>
      </c>
      <c r="G1244">
        <v>0</v>
      </c>
      <c r="H1244" t="s">
        <v>8</v>
      </c>
      <c r="I1244">
        <v>3</v>
      </c>
    </row>
    <row r="1245" spans="1:9" x14ac:dyDescent="0.3">
      <c r="A1245">
        <v>193</v>
      </c>
      <c r="B1245" t="s">
        <v>33</v>
      </c>
      <c r="C1245" t="s">
        <v>9</v>
      </c>
      <c r="D1245">
        <v>0</v>
      </c>
      <c r="E1245">
        <v>0</v>
      </c>
      <c r="F1245">
        <v>80</v>
      </c>
      <c r="G1245">
        <v>0</v>
      </c>
      <c r="H1245" t="s">
        <v>9</v>
      </c>
      <c r="I1245">
        <v>80</v>
      </c>
    </row>
    <row r="1246" spans="1:9" x14ac:dyDescent="0.3">
      <c r="A1246">
        <v>193</v>
      </c>
      <c r="B1246" t="s">
        <v>33</v>
      </c>
      <c r="C1246" t="s">
        <v>10</v>
      </c>
      <c r="D1246">
        <v>53</v>
      </c>
      <c r="E1246">
        <v>14</v>
      </c>
      <c r="F1246">
        <v>0</v>
      </c>
      <c r="G1246">
        <v>23</v>
      </c>
      <c r="H1246" t="s">
        <v>68</v>
      </c>
      <c r="I1246">
        <v>90</v>
      </c>
    </row>
    <row r="1247" spans="1:9" x14ac:dyDescent="0.3">
      <c r="A1247">
        <v>193</v>
      </c>
      <c r="B1247" t="s">
        <v>33</v>
      </c>
      <c r="C1247" t="s">
        <v>11</v>
      </c>
      <c r="D1247">
        <v>0</v>
      </c>
      <c r="E1247">
        <v>9</v>
      </c>
      <c r="F1247">
        <v>0</v>
      </c>
      <c r="G1247">
        <v>6</v>
      </c>
      <c r="H1247" t="s">
        <v>63</v>
      </c>
      <c r="I1247">
        <v>15</v>
      </c>
    </row>
    <row r="1248" spans="1:9" x14ac:dyDescent="0.3">
      <c r="A1248">
        <v>193</v>
      </c>
      <c r="B1248" t="s">
        <v>33</v>
      </c>
      <c r="C1248" t="s">
        <v>14</v>
      </c>
      <c r="D1248">
        <v>4</v>
      </c>
      <c r="E1248">
        <v>9</v>
      </c>
      <c r="F1248">
        <v>0</v>
      </c>
      <c r="G1248">
        <v>6</v>
      </c>
      <c r="H1248" t="s">
        <v>62</v>
      </c>
      <c r="I1248">
        <v>19</v>
      </c>
    </row>
    <row r="1249" spans="1:9" x14ac:dyDescent="0.3">
      <c r="A1249">
        <v>193</v>
      </c>
      <c r="B1249" t="s">
        <v>33</v>
      </c>
      <c r="C1249" t="s">
        <v>15</v>
      </c>
      <c r="D1249">
        <v>0</v>
      </c>
      <c r="E1249">
        <v>0</v>
      </c>
      <c r="F1249">
        <v>0</v>
      </c>
      <c r="G1249">
        <v>4</v>
      </c>
      <c r="H1249" t="s">
        <v>65</v>
      </c>
      <c r="I1249">
        <v>4</v>
      </c>
    </row>
    <row r="1250" spans="1:9" x14ac:dyDescent="0.3">
      <c r="A1250">
        <v>193</v>
      </c>
      <c r="B1250" t="s">
        <v>33</v>
      </c>
      <c r="C1250" t="s">
        <v>16</v>
      </c>
      <c r="D1250">
        <v>1</v>
      </c>
      <c r="E1250">
        <v>0</v>
      </c>
      <c r="F1250">
        <v>0</v>
      </c>
      <c r="G1250">
        <v>5</v>
      </c>
      <c r="H1250" t="s">
        <v>61</v>
      </c>
      <c r="I1250">
        <v>6</v>
      </c>
    </row>
    <row r="1251" spans="1:9" x14ac:dyDescent="0.3">
      <c r="A1251">
        <v>193</v>
      </c>
      <c r="B1251" t="s">
        <v>33</v>
      </c>
      <c r="C1251" t="s">
        <v>17</v>
      </c>
      <c r="D1251">
        <v>3</v>
      </c>
      <c r="E1251">
        <v>0</v>
      </c>
      <c r="F1251">
        <v>0</v>
      </c>
      <c r="G1251">
        <v>9</v>
      </c>
      <c r="H1251" t="s">
        <v>66</v>
      </c>
      <c r="I1251">
        <v>12</v>
      </c>
    </row>
    <row r="1252" spans="1:9" x14ac:dyDescent="0.3">
      <c r="A1252">
        <v>193</v>
      </c>
      <c r="B1252" t="s">
        <v>33</v>
      </c>
      <c r="C1252" t="s">
        <v>19</v>
      </c>
      <c r="D1252">
        <v>1</v>
      </c>
      <c r="E1252">
        <v>0</v>
      </c>
      <c r="F1252">
        <v>0</v>
      </c>
      <c r="G1252">
        <v>7</v>
      </c>
      <c r="H1252" t="s">
        <v>70</v>
      </c>
      <c r="I1252">
        <v>8</v>
      </c>
    </row>
    <row r="1253" spans="1:9" x14ac:dyDescent="0.3">
      <c r="A1253">
        <v>193</v>
      </c>
      <c r="B1253" t="s">
        <v>33</v>
      </c>
      <c r="C1253" t="s">
        <v>21</v>
      </c>
      <c r="D1253">
        <v>1</v>
      </c>
      <c r="E1253">
        <v>0</v>
      </c>
      <c r="F1253">
        <v>0</v>
      </c>
      <c r="G1253">
        <v>6</v>
      </c>
      <c r="H1253" t="s">
        <v>74</v>
      </c>
      <c r="I1253">
        <v>7</v>
      </c>
    </row>
    <row r="1254" spans="1:9" x14ac:dyDescent="0.3">
      <c r="A1254">
        <v>193</v>
      </c>
      <c r="B1254" t="s">
        <v>33</v>
      </c>
      <c r="C1254" t="s">
        <v>22</v>
      </c>
      <c r="D1254">
        <v>4</v>
      </c>
      <c r="E1254">
        <v>0</v>
      </c>
      <c r="F1254">
        <v>0</v>
      </c>
      <c r="G1254">
        <v>9</v>
      </c>
      <c r="H1254" t="s">
        <v>76</v>
      </c>
      <c r="I1254">
        <v>13</v>
      </c>
    </row>
    <row r="1255" spans="1:9" x14ac:dyDescent="0.3">
      <c r="A1255">
        <v>194</v>
      </c>
      <c r="B1255" t="s">
        <v>7</v>
      </c>
      <c r="C1255" t="s">
        <v>16</v>
      </c>
      <c r="D1255">
        <v>7</v>
      </c>
      <c r="E1255">
        <v>0</v>
      </c>
      <c r="F1255">
        <v>0</v>
      </c>
      <c r="G1255">
        <v>10</v>
      </c>
      <c r="H1255" t="s">
        <v>61</v>
      </c>
      <c r="I1255">
        <v>17</v>
      </c>
    </row>
    <row r="1256" spans="1:9" x14ac:dyDescent="0.3">
      <c r="A1256">
        <v>194</v>
      </c>
      <c r="B1256" t="s">
        <v>7</v>
      </c>
      <c r="C1256" t="s">
        <v>22</v>
      </c>
      <c r="D1256">
        <v>22</v>
      </c>
      <c r="E1256">
        <v>31</v>
      </c>
      <c r="F1256">
        <v>1</v>
      </c>
      <c r="G1256">
        <v>22</v>
      </c>
      <c r="H1256" t="s">
        <v>76</v>
      </c>
      <c r="I1256">
        <v>76</v>
      </c>
    </row>
    <row r="1257" spans="1:9" x14ac:dyDescent="0.3">
      <c r="A1257">
        <v>194</v>
      </c>
      <c r="B1257" t="s">
        <v>33</v>
      </c>
      <c r="C1257" t="s">
        <v>8</v>
      </c>
      <c r="D1257">
        <v>0</v>
      </c>
      <c r="E1257">
        <v>0</v>
      </c>
      <c r="F1257">
        <v>6</v>
      </c>
      <c r="G1257">
        <v>0</v>
      </c>
      <c r="H1257" t="s">
        <v>8</v>
      </c>
      <c r="I1257">
        <v>6</v>
      </c>
    </row>
    <row r="1258" spans="1:9" x14ac:dyDescent="0.3">
      <c r="A1258">
        <v>194</v>
      </c>
      <c r="B1258" t="s">
        <v>33</v>
      </c>
      <c r="C1258" t="s">
        <v>9</v>
      </c>
      <c r="D1258">
        <v>0</v>
      </c>
      <c r="E1258">
        <v>0</v>
      </c>
      <c r="F1258">
        <v>26</v>
      </c>
      <c r="G1258">
        <v>0</v>
      </c>
      <c r="H1258" t="s">
        <v>9</v>
      </c>
      <c r="I1258">
        <v>26</v>
      </c>
    </row>
    <row r="1259" spans="1:9" x14ac:dyDescent="0.3">
      <c r="A1259">
        <v>194</v>
      </c>
      <c r="B1259" t="s">
        <v>33</v>
      </c>
      <c r="C1259" t="s">
        <v>11</v>
      </c>
      <c r="D1259">
        <v>17</v>
      </c>
      <c r="E1259">
        <v>12</v>
      </c>
      <c r="F1259">
        <v>0</v>
      </c>
      <c r="G1259">
        <v>17</v>
      </c>
      <c r="H1259" t="s">
        <v>63</v>
      </c>
      <c r="I1259">
        <v>46</v>
      </c>
    </row>
    <row r="1260" spans="1:9" x14ac:dyDescent="0.3">
      <c r="A1260">
        <v>194</v>
      </c>
      <c r="B1260" t="s">
        <v>33</v>
      </c>
      <c r="C1260" t="s">
        <v>14</v>
      </c>
      <c r="D1260">
        <v>10</v>
      </c>
      <c r="E1260">
        <v>3</v>
      </c>
      <c r="F1260">
        <v>0</v>
      </c>
      <c r="G1260">
        <v>12</v>
      </c>
      <c r="H1260" t="s">
        <v>62</v>
      </c>
      <c r="I1260">
        <v>25</v>
      </c>
    </row>
    <row r="1261" spans="1:9" x14ac:dyDescent="0.3">
      <c r="A1261">
        <v>194</v>
      </c>
      <c r="B1261" t="s">
        <v>33</v>
      </c>
      <c r="C1261" t="s">
        <v>15</v>
      </c>
      <c r="D1261">
        <v>5</v>
      </c>
      <c r="E1261">
        <v>8</v>
      </c>
      <c r="F1261">
        <v>0</v>
      </c>
      <c r="G1261">
        <v>14</v>
      </c>
      <c r="H1261" t="s">
        <v>65</v>
      </c>
      <c r="I1261">
        <v>27</v>
      </c>
    </row>
    <row r="1262" spans="1:9" x14ac:dyDescent="0.3">
      <c r="A1262">
        <v>194</v>
      </c>
      <c r="B1262" t="s">
        <v>33</v>
      </c>
      <c r="C1262" t="s">
        <v>16</v>
      </c>
      <c r="D1262">
        <v>9</v>
      </c>
      <c r="E1262">
        <v>8</v>
      </c>
      <c r="F1262">
        <v>0</v>
      </c>
      <c r="G1262">
        <v>5</v>
      </c>
      <c r="H1262" t="s">
        <v>61</v>
      </c>
      <c r="I1262">
        <v>22</v>
      </c>
    </row>
    <row r="1263" spans="1:9" x14ac:dyDescent="0.3">
      <c r="A1263">
        <v>194</v>
      </c>
      <c r="B1263" t="s">
        <v>33</v>
      </c>
      <c r="C1263" t="s">
        <v>19</v>
      </c>
      <c r="D1263">
        <v>19</v>
      </c>
      <c r="E1263">
        <v>19</v>
      </c>
      <c r="F1263">
        <v>1</v>
      </c>
      <c r="G1263">
        <v>24</v>
      </c>
      <c r="H1263" t="s">
        <v>70</v>
      </c>
      <c r="I1263">
        <v>63</v>
      </c>
    </row>
    <row r="1264" spans="1:9" x14ac:dyDescent="0.3">
      <c r="A1264">
        <v>194</v>
      </c>
      <c r="B1264" t="s">
        <v>33</v>
      </c>
      <c r="C1264" t="s">
        <v>21</v>
      </c>
      <c r="D1264">
        <v>9</v>
      </c>
      <c r="E1264">
        <v>14</v>
      </c>
      <c r="F1264">
        <v>0</v>
      </c>
      <c r="G1264">
        <v>18</v>
      </c>
      <c r="H1264" t="s">
        <v>74</v>
      </c>
      <c r="I1264">
        <v>41</v>
      </c>
    </row>
    <row r="1265" spans="1:9" x14ac:dyDescent="0.3">
      <c r="A1265">
        <v>194</v>
      </c>
      <c r="B1265" t="s">
        <v>33</v>
      </c>
      <c r="C1265" t="s">
        <v>22</v>
      </c>
      <c r="D1265">
        <v>2</v>
      </c>
      <c r="E1265">
        <v>0</v>
      </c>
      <c r="F1265">
        <v>0</v>
      </c>
      <c r="G1265">
        <v>2</v>
      </c>
      <c r="H1265" t="s">
        <v>76</v>
      </c>
      <c r="I1265">
        <v>4</v>
      </c>
    </row>
    <row r="1266" spans="1:9" x14ac:dyDescent="0.3">
      <c r="A1266">
        <v>195</v>
      </c>
      <c r="B1266" t="s">
        <v>7</v>
      </c>
      <c r="C1266" t="s">
        <v>11</v>
      </c>
      <c r="D1266">
        <v>21</v>
      </c>
      <c r="E1266">
        <v>4</v>
      </c>
      <c r="F1266">
        <v>0</v>
      </c>
      <c r="G1266">
        <v>25</v>
      </c>
      <c r="H1266" t="s">
        <v>63</v>
      </c>
      <c r="I1266">
        <v>50</v>
      </c>
    </row>
    <row r="1267" spans="1:9" x14ac:dyDescent="0.3">
      <c r="A1267">
        <v>195</v>
      </c>
      <c r="B1267" t="s">
        <v>7</v>
      </c>
      <c r="C1267" t="s">
        <v>19</v>
      </c>
      <c r="D1267">
        <v>36</v>
      </c>
      <c r="E1267">
        <v>1</v>
      </c>
      <c r="F1267">
        <v>0</v>
      </c>
      <c r="G1267">
        <v>23</v>
      </c>
      <c r="H1267" t="s">
        <v>70</v>
      </c>
      <c r="I1267">
        <v>60</v>
      </c>
    </row>
    <row r="1268" spans="1:9" x14ac:dyDescent="0.3">
      <c r="A1268">
        <v>195</v>
      </c>
      <c r="B1268" t="s">
        <v>7</v>
      </c>
      <c r="C1268" t="s">
        <v>22</v>
      </c>
      <c r="D1268">
        <v>6</v>
      </c>
      <c r="E1268">
        <v>11</v>
      </c>
      <c r="F1268">
        <v>0</v>
      </c>
      <c r="G1268">
        <v>19</v>
      </c>
      <c r="H1268" t="s">
        <v>76</v>
      </c>
      <c r="I1268">
        <v>36</v>
      </c>
    </row>
    <row r="1269" spans="1:9" x14ac:dyDescent="0.3">
      <c r="A1269">
        <v>195</v>
      </c>
      <c r="B1269" t="s">
        <v>33</v>
      </c>
      <c r="C1269" t="s">
        <v>8</v>
      </c>
      <c r="D1269">
        <v>0</v>
      </c>
      <c r="E1269">
        <v>0</v>
      </c>
      <c r="F1269">
        <v>2</v>
      </c>
      <c r="G1269">
        <v>0</v>
      </c>
      <c r="H1269" t="s">
        <v>8</v>
      </c>
      <c r="I1269">
        <v>2</v>
      </c>
    </row>
    <row r="1270" spans="1:9" x14ac:dyDescent="0.3">
      <c r="A1270">
        <v>195</v>
      </c>
      <c r="B1270" t="s">
        <v>33</v>
      </c>
      <c r="C1270" t="s">
        <v>9</v>
      </c>
      <c r="D1270">
        <v>0</v>
      </c>
      <c r="E1270">
        <v>0</v>
      </c>
      <c r="F1270">
        <v>28</v>
      </c>
      <c r="G1270">
        <v>0</v>
      </c>
      <c r="H1270" t="s">
        <v>9</v>
      </c>
      <c r="I1270">
        <v>28</v>
      </c>
    </row>
    <row r="1271" spans="1:9" x14ac:dyDescent="0.3">
      <c r="A1271">
        <v>195</v>
      </c>
      <c r="B1271" t="s">
        <v>33</v>
      </c>
      <c r="C1271" t="s">
        <v>19</v>
      </c>
      <c r="D1271">
        <v>7</v>
      </c>
      <c r="E1271">
        <v>5</v>
      </c>
      <c r="F1271">
        <v>0</v>
      </c>
      <c r="G1271">
        <v>4</v>
      </c>
      <c r="H1271" t="s">
        <v>70</v>
      </c>
      <c r="I1271">
        <v>16</v>
      </c>
    </row>
    <row r="1272" spans="1:9" x14ac:dyDescent="0.3">
      <c r="A1272">
        <v>195</v>
      </c>
      <c r="B1272" t="s">
        <v>33</v>
      </c>
      <c r="C1272" t="s">
        <v>21</v>
      </c>
      <c r="D1272">
        <v>13</v>
      </c>
      <c r="E1272">
        <v>0</v>
      </c>
      <c r="F1272">
        <v>0</v>
      </c>
      <c r="G1272">
        <v>16</v>
      </c>
      <c r="H1272" t="s">
        <v>74</v>
      </c>
      <c r="I1272">
        <v>29</v>
      </c>
    </row>
    <row r="1273" spans="1:9" x14ac:dyDescent="0.3">
      <c r="A1273">
        <v>196</v>
      </c>
      <c r="B1273" t="s">
        <v>7</v>
      </c>
      <c r="C1273" t="s">
        <v>15</v>
      </c>
      <c r="D1273">
        <v>1</v>
      </c>
      <c r="E1273">
        <v>0</v>
      </c>
      <c r="F1273">
        <v>0</v>
      </c>
      <c r="G1273">
        <v>2</v>
      </c>
      <c r="H1273" t="s">
        <v>65</v>
      </c>
      <c r="I1273">
        <v>3</v>
      </c>
    </row>
    <row r="1274" spans="1:9" x14ac:dyDescent="0.3">
      <c r="A1274">
        <v>196</v>
      </c>
      <c r="B1274" t="s">
        <v>7</v>
      </c>
      <c r="C1274" t="s">
        <v>16</v>
      </c>
      <c r="D1274">
        <v>23</v>
      </c>
      <c r="E1274">
        <v>0</v>
      </c>
      <c r="F1274">
        <v>0</v>
      </c>
      <c r="G1274">
        <v>7</v>
      </c>
      <c r="H1274" t="s">
        <v>61</v>
      </c>
      <c r="I1274">
        <v>30</v>
      </c>
    </row>
    <row r="1275" spans="1:9" x14ac:dyDescent="0.3">
      <c r="A1275">
        <v>196</v>
      </c>
      <c r="B1275" t="s">
        <v>7</v>
      </c>
      <c r="C1275" t="s">
        <v>21</v>
      </c>
      <c r="D1275">
        <v>48</v>
      </c>
      <c r="E1275">
        <v>1</v>
      </c>
      <c r="F1275">
        <v>0</v>
      </c>
      <c r="G1275">
        <v>34</v>
      </c>
      <c r="H1275" t="s">
        <v>74</v>
      </c>
      <c r="I1275">
        <v>83</v>
      </c>
    </row>
    <row r="1276" spans="1:9" x14ac:dyDescent="0.3">
      <c r="A1276">
        <v>196</v>
      </c>
      <c r="B1276" t="s">
        <v>7</v>
      </c>
      <c r="C1276" t="s">
        <v>22</v>
      </c>
      <c r="D1276">
        <v>23</v>
      </c>
      <c r="E1276">
        <v>0</v>
      </c>
      <c r="F1276">
        <v>0</v>
      </c>
      <c r="G1276">
        <v>18</v>
      </c>
      <c r="H1276" t="s">
        <v>76</v>
      </c>
      <c r="I1276">
        <v>41</v>
      </c>
    </row>
    <row r="1277" spans="1:9" x14ac:dyDescent="0.3">
      <c r="A1277">
        <v>196</v>
      </c>
      <c r="B1277" t="s">
        <v>33</v>
      </c>
      <c r="C1277" t="s">
        <v>8</v>
      </c>
      <c r="D1277">
        <v>0</v>
      </c>
      <c r="E1277">
        <v>0</v>
      </c>
      <c r="F1277">
        <v>1</v>
      </c>
      <c r="G1277">
        <v>0</v>
      </c>
      <c r="H1277" t="s">
        <v>8</v>
      </c>
      <c r="I1277">
        <v>1</v>
      </c>
    </row>
    <row r="1278" spans="1:9" x14ac:dyDescent="0.3">
      <c r="A1278">
        <v>196</v>
      </c>
      <c r="B1278" t="s">
        <v>33</v>
      </c>
      <c r="C1278" t="s">
        <v>9</v>
      </c>
      <c r="D1278">
        <v>0</v>
      </c>
      <c r="E1278">
        <v>0</v>
      </c>
      <c r="F1278">
        <v>22</v>
      </c>
      <c r="G1278">
        <v>0</v>
      </c>
      <c r="H1278" t="s">
        <v>9</v>
      </c>
      <c r="I1278">
        <v>22</v>
      </c>
    </row>
    <row r="1279" spans="1:9" x14ac:dyDescent="0.3">
      <c r="A1279">
        <v>196</v>
      </c>
      <c r="B1279" t="s">
        <v>33</v>
      </c>
      <c r="C1279" t="s">
        <v>10</v>
      </c>
      <c r="D1279">
        <v>8</v>
      </c>
      <c r="E1279">
        <v>13</v>
      </c>
      <c r="F1279">
        <v>1</v>
      </c>
      <c r="G1279">
        <v>16</v>
      </c>
      <c r="H1279" t="s">
        <v>68</v>
      </c>
      <c r="I1279">
        <v>38</v>
      </c>
    </row>
    <row r="1280" spans="1:9" x14ac:dyDescent="0.3">
      <c r="A1280">
        <v>196</v>
      </c>
      <c r="B1280" t="s">
        <v>33</v>
      </c>
      <c r="C1280" t="s">
        <v>11</v>
      </c>
      <c r="D1280">
        <v>22</v>
      </c>
      <c r="E1280">
        <v>5</v>
      </c>
      <c r="F1280">
        <v>0</v>
      </c>
      <c r="G1280">
        <v>19</v>
      </c>
      <c r="H1280" t="s">
        <v>63</v>
      </c>
      <c r="I1280">
        <v>46</v>
      </c>
    </row>
    <row r="1281" spans="1:9" x14ac:dyDescent="0.3">
      <c r="A1281">
        <v>196</v>
      </c>
      <c r="B1281" t="s">
        <v>33</v>
      </c>
      <c r="C1281" t="s">
        <v>14</v>
      </c>
      <c r="D1281">
        <v>4</v>
      </c>
      <c r="E1281">
        <v>9</v>
      </c>
      <c r="F1281">
        <v>0</v>
      </c>
      <c r="G1281">
        <v>7</v>
      </c>
      <c r="H1281" t="s">
        <v>62</v>
      </c>
      <c r="I1281">
        <v>20</v>
      </c>
    </row>
    <row r="1282" spans="1:9" x14ac:dyDescent="0.3">
      <c r="A1282">
        <v>196</v>
      </c>
      <c r="B1282" t="s">
        <v>33</v>
      </c>
      <c r="C1282" t="s">
        <v>15</v>
      </c>
      <c r="D1282">
        <v>1</v>
      </c>
      <c r="E1282">
        <v>0</v>
      </c>
      <c r="F1282">
        <v>0</v>
      </c>
      <c r="G1282">
        <v>5</v>
      </c>
      <c r="H1282" t="s">
        <v>65</v>
      </c>
      <c r="I1282">
        <v>6</v>
      </c>
    </row>
    <row r="1283" spans="1:9" x14ac:dyDescent="0.3">
      <c r="A1283">
        <v>196</v>
      </c>
      <c r="B1283" t="s">
        <v>33</v>
      </c>
      <c r="C1283" t="s">
        <v>19</v>
      </c>
      <c r="D1283">
        <v>47</v>
      </c>
      <c r="E1283">
        <v>22</v>
      </c>
      <c r="F1283">
        <v>2</v>
      </c>
      <c r="G1283">
        <v>42</v>
      </c>
      <c r="H1283" t="s">
        <v>70</v>
      </c>
      <c r="I1283">
        <v>113</v>
      </c>
    </row>
    <row r="1284" spans="1:9" x14ac:dyDescent="0.3">
      <c r="A1284">
        <v>196</v>
      </c>
      <c r="B1284" t="s">
        <v>33</v>
      </c>
      <c r="C1284" t="s">
        <v>20</v>
      </c>
      <c r="D1284">
        <v>27</v>
      </c>
      <c r="E1284">
        <v>0</v>
      </c>
      <c r="F1284">
        <v>0</v>
      </c>
      <c r="G1284">
        <v>17</v>
      </c>
      <c r="H1284" t="s">
        <v>60</v>
      </c>
      <c r="I1284">
        <v>44</v>
      </c>
    </row>
    <row r="1285" spans="1:9" x14ac:dyDescent="0.3">
      <c r="A1285">
        <v>196</v>
      </c>
      <c r="B1285" t="s">
        <v>33</v>
      </c>
      <c r="C1285" t="s">
        <v>21</v>
      </c>
      <c r="D1285">
        <v>10</v>
      </c>
      <c r="E1285">
        <v>6</v>
      </c>
      <c r="F1285">
        <v>0</v>
      </c>
      <c r="G1285">
        <v>7</v>
      </c>
      <c r="H1285" t="s">
        <v>74</v>
      </c>
      <c r="I1285">
        <v>23</v>
      </c>
    </row>
    <row r="1286" spans="1:9" x14ac:dyDescent="0.3">
      <c r="A1286">
        <v>197</v>
      </c>
      <c r="B1286" t="s">
        <v>7</v>
      </c>
      <c r="C1286" t="s">
        <v>15</v>
      </c>
      <c r="D1286">
        <v>81</v>
      </c>
      <c r="E1286">
        <v>13</v>
      </c>
      <c r="F1286">
        <v>2</v>
      </c>
      <c r="G1286">
        <v>64</v>
      </c>
      <c r="H1286" t="s">
        <v>65</v>
      </c>
      <c r="I1286">
        <v>160</v>
      </c>
    </row>
    <row r="1287" spans="1:9" x14ac:dyDescent="0.3">
      <c r="A1287">
        <v>197</v>
      </c>
      <c r="B1287" t="s">
        <v>7</v>
      </c>
      <c r="C1287" t="s">
        <v>19</v>
      </c>
      <c r="D1287">
        <v>54</v>
      </c>
      <c r="E1287">
        <v>7</v>
      </c>
      <c r="F1287">
        <v>0</v>
      </c>
      <c r="G1287">
        <v>29</v>
      </c>
      <c r="H1287" t="s">
        <v>70</v>
      </c>
      <c r="I1287">
        <v>90</v>
      </c>
    </row>
    <row r="1288" spans="1:9" x14ac:dyDescent="0.3">
      <c r="A1288">
        <v>197</v>
      </c>
      <c r="B1288" t="s">
        <v>33</v>
      </c>
      <c r="C1288" t="s">
        <v>8</v>
      </c>
      <c r="D1288">
        <v>0</v>
      </c>
      <c r="E1288">
        <v>0</v>
      </c>
      <c r="F1288">
        <v>2</v>
      </c>
      <c r="G1288">
        <v>0</v>
      </c>
      <c r="H1288" t="s">
        <v>8</v>
      </c>
      <c r="I1288">
        <v>2</v>
      </c>
    </row>
    <row r="1289" spans="1:9" x14ac:dyDescent="0.3">
      <c r="A1289">
        <v>197</v>
      </c>
      <c r="B1289" t="s">
        <v>33</v>
      </c>
      <c r="C1289" t="s">
        <v>9</v>
      </c>
      <c r="D1289">
        <v>0</v>
      </c>
      <c r="E1289">
        <v>0</v>
      </c>
      <c r="F1289">
        <v>10</v>
      </c>
      <c r="G1289">
        <v>0</v>
      </c>
      <c r="H1289" t="s">
        <v>9</v>
      </c>
      <c r="I1289">
        <v>10</v>
      </c>
    </row>
    <row r="1290" spans="1:9" x14ac:dyDescent="0.3">
      <c r="A1290">
        <v>197</v>
      </c>
      <c r="B1290" t="s">
        <v>33</v>
      </c>
      <c r="C1290" t="s">
        <v>12</v>
      </c>
      <c r="D1290">
        <v>8</v>
      </c>
      <c r="E1290">
        <v>3</v>
      </c>
      <c r="F1290">
        <v>0</v>
      </c>
      <c r="G1290">
        <v>6</v>
      </c>
      <c r="H1290" t="s">
        <v>64</v>
      </c>
      <c r="I1290">
        <v>17</v>
      </c>
    </row>
    <row r="1291" spans="1:9" x14ac:dyDescent="0.3">
      <c r="A1291">
        <v>197</v>
      </c>
      <c r="B1291" t="s">
        <v>33</v>
      </c>
      <c r="C1291" t="s">
        <v>14</v>
      </c>
      <c r="D1291">
        <v>6</v>
      </c>
      <c r="E1291">
        <v>0</v>
      </c>
      <c r="F1291">
        <v>0</v>
      </c>
      <c r="G1291">
        <v>7</v>
      </c>
      <c r="H1291" t="s">
        <v>62</v>
      </c>
      <c r="I1291">
        <v>13</v>
      </c>
    </row>
    <row r="1292" spans="1:9" x14ac:dyDescent="0.3">
      <c r="A1292">
        <v>197</v>
      </c>
      <c r="B1292" t="s">
        <v>33</v>
      </c>
      <c r="C1292" t="s">
        <v>15</v>
      </c>
      <c r="D1292">
        <v>8</v>
      </c>
      <c r="E1292">
        <v>0</v>
      </c>
      <c r="F1292">
        <v>0</v>
      </c>
      <c r="G1292">
        <v>4</v>
      </c>
      <c r="H1292" t="s">
        <v>65</v>
      </c>
      <c r="I1292">
        <v>12</v>
      </c>
    </row>
    <row r="1293" spans="1:9" x14ac:dyDescent="0.3">
      <c r="A1293">
        <v>197</v>
      </c>
      <c r="B1293" t="s">
        <v>33</v>
      </c>
      <c r="C1293" t="s">
        <v>19</v>
      </c>
      <c r="D1293">
        <v>1</v>
      </c>
      <c r="E1293">
        <v>0</v>
      </c>
      <c r="F1293">
        <v>0</v>
      </c>
      <c r="G1293">
        <v>2</v>
      </c>
      <c r="H1293" t="s">
        <v>70</v>
      </c>
      <c r="I1293">
        <v>3</v>
      </c>
    </row>
    <row r="1294" spans="1:9" x14ac:dyDescent="0.3">
      <c r="A1294">
        <v>198</v>
      </c>
      <c r="B1294" t="s">
        <v>33</v>
      </c>
      <c r="C1294" t="s">
        <v>9</v>
      </c>
      <c r="D1294">
        <v>0</v>
      </c>
      <c r="E1294">
        <v>0</v>
      </c>
      <c r="F1294">
        <v>1</v>
      </c>
      <c r="G1294">
        <v>0</v>
      </c>
      <c r="H1294" t="s">
        <v>9</v>
      </c>
      <c r="I1294">
        <v>1</v>
      </c>
    </row>
    <row r="1295" spans="1:9" x14ac:dyDescent="0.3">
      <c r="A1295">
        <v>198</v>
      </c>
      <c r="B1295" t="s">
        <v>33</v>
      </c>
      <c r="C1295" t="s">
        <v>14</v>
      </c>
      <c r="D1295">
        <v>121</v>
      </c>
      <c r="E1295">
        <v>33</v>
      </c>
      <c r="F1295">
        <v>48</v>
      </c>
      <c r="G1295">
        <v>143</v>
      </c>
      <c r="H1295" t="s">
        <v>62</v>
      </c>
      <c r="I1295">
        <v>345</v>
      </c>
    </row>
    <row r="1296" spans="1:9" x14ac:dyDescent="0.3">
      <c r="A1296">
        <v>199</v>
      </c>
      <c r="B1296" t="s">
        <v>7</v>
      </c>
      <c r="C1296" t="s">
        <v>11</v>
      </c>
      <c r="D1296">
        <v>8</v>
      </c>
      <c r="E1296">
        <v>0</v>
      </c>
      <c r="F1296">
        <v>0</v>
      </c>
      <c r="G1296">
        <v>13</v>
      </c>
      <c r="H1296" t="s">
        <v>63</v>
      </c>
      <c r="I1296">
        <v>21</v>
      </c>
    </row>
    <row r="1297" spans="1:9" x14ac:dyDescent="0.3">
      <c r="A1297">
        <v>199</v>
      </c>
      <c r="B1297" t="s">
        <v>7</v>
      </c>
      <c r="C1297" t="s">
        <v>12</v>
      </c>
      <c r="D1297">
        <v>26</v>
      </c>
      <c r="E1297">
        <v>0</v>
      </c>
      <c r="F1297">
        <v>1</v>
      </c>
      <c r="G1297">
        <v>21</v>
      </c>
      <c r="H1297" t="s">
        <v>64</v>
      </c>
      <c r="I1297">
        <v>48</v>
      </c>
    </row>
    <row r="1298" spans="1:9" x14ac:dyDescent="0.3">
      <c r="A1298">
        <v>199</v>
      </c>
      <c r="B1298" t="s">
        <v>7</v>
      </c>
      <c r="C1298" t="s">
        <v>13</v>
      </c>
      <c r="D1298">
        <v>4</v>
      </c>
      <c r="E1298">
        <v>0</v>
      </c>
      <c r="F1298">
        <v>0</v>
      </c>
      <c r="G1298">
        <v>4</v>
      </c>
      <c r="H1298" t="s">
        <v>69</v>
      </c>
      <c r="I1298">
        <v>8</v>
      </c>
    </row>
    <row r="1299" spans="1:9" x14ac:dyDescent="0.3">
      <c r="A1299">
        <v>199</v>
      </c>
      <c r="B1299" t="s">
        <v>7</v>
      </c>
      <c r="C1299" t="s">
        <v>15</v>
      </c>
      <c r="D1299">
        <v>6</v>
      </c>
      <c r="E1299">
        <v>0</v>
      </c>
      <c r="F1299">
        <v>0</v>
      </c>
      <c r="G1299">
        <v>9</v>
      </c>
      <c r="H1299" t="s">
        <v>65</v>
      </c>
      <c r="I1299">
        <v>15</v>
      </c>
    </row>
    <row r="1300" spans="1:9" x14ac:dyDescent="0.3">
      <c r="A1300">
        <v>199</v>
      </c>
      <c r="B1300" t="s">
        <v>7</v>
      </c>
      <c r="C1300" t="s">
        <v>16</v>
      </c>
      <c r="D1300">
        <v>4</v>
      </c>
      <c r="E1300">
        <v>7</v>
      </c>
      <c r="F1300">
        <v>0</v>
      </c>
      <c r="G1300">
        <v>6</v>
      </c>
      <c r="H1300" t="s">
        <v>61</v>
      </c>
      <c r="I1300">
        <v>17</v>
      </c>
    </row>
    <row r="1301" spans="1:9" x14ac:dyDescent="0.3">
      <c r="A1301">
        <v>199</v>
      </c>
      <c r="B1301" t="s">
        <v>7</v>
      </c>
      <c r="C1301" t="s">
        <v>19</v>
      </c>
      <c r="D1301">
        <v>7</v>
      </c>
      <c r="E1301">
        <v>2</v>
      </c>
      <c r="F1301">
        <v>0</v>
      </c>
      <c r="G1301">
        <v>8</v>
      </c>
      <c r="H1301" t="s">
        <v>70</v>
      </c>
      <c r="I1301">
        <v>17</v>
      </c>
    </row>
    <row r="1302" spans="1:9" x14ac:dyDescent="0.3">
      <c r="A1302">
        <v>199</v>
      </c>
      <c r="B1302" t="s">
        <v>7</v>
      </c>
      <c r="C1302" t="s">
        <v>21</v>
      </c>
      <c r="D1302">
        <v>19</v>
      </c>
      <c r="E1302">
        <v>2</v>
      </c>
      <c r="F1302">
        <v>0</v>
      </c>
      <c r="G1302">
        <v>14</v>
      </c>
      <c r="H1302" t="s">
        <v>74</v>
      </c>
      <c r="I1302">
        <v>35</v>
      </c>
    </row>
    <row r="1303" spans="1:9" x14ac:dyDescent="0.3">
      <c r="A1303">
        <v>199</v>
      </c>
      <c r="B1303" t="s">
        <v>7</v>
      </c>
      <c r="C1303" t="s">
        <v>22</v>
      </c>
      <c r="D1303">
        <v>2</v>
      </c>
      <c r="E1303">
        <v>0</v>
      </c>
      <c r="F1303">
        <v>0</v>
      </c>
      <c r="G1303">
        <v>3</v>
      </c>
      <c r="H1303" t="s">
        <v>76</v>
      </c>
      <c r="I1303">
        <v>5</v>
      </c>
    </row>
    <row r="1304" spans="1:9" x14ac:dyDescent="0.3">
      <c r="A1304">
        <v>199</v>
      </c>
      <c r="B1304" t="s">
        <v>7</v>
      </c>
      <c r="C1304" t="s">
        <v>23</v>
      </c>
      <c r="D1304">
        <v>22</v>
      </c>
      <c r="E1304">
        <v>0</v>
      </c>
      <c r="F1304">
        <v>0</v>
      </c>
      <c r="G1304">
        <v>20</v>
      </c>
      <c r="H1304" t="s">
        <v>73</v>
      </c>
      <c r="I1304">
        <v>42</v>
      </c>
    </row>
    <row r="1305" spans="1:9" x14ac:dyDescent="0.3">
      <c r="A1305">
        <v>199</v>
      </c>
      <c r="B1305" t="s">
        <v>33</v>
      </c>
      <c r="C1305" t="s">
        <v>8</v>
      </c>
      <c r="D1305">
        <v>0</v>
      </c>
      <c r="E1305">
        <v>0</v>
      </c>
      <c r="F1305">
        <v>2</v>
      </c>
      <c r="G1305">
        <v>0</v>
      </c>
      <c r="H1305" t="s">
        <v>8</v>
      </c>
      <c r="I1305">
        <v>2</v>
      </c>
    </row>
    <row r="1306" spans="1:9" x14ac:dyDescent="0.3">
      <c r="A1306">
        <v>199</v>
      </c>
      <c r="B1306" t="s">
        <v>33</v>
      </c>
      <c r="C1306" t="s">
        <v>9</v>
      </c>
      <c r="D1306">
        <v>0</v>
      </c>
      <c r="E1306">
        <v>0</v>
      </c>
      <c r="F1306">
        <v>15</v>
      </c>
      <c r="G1306">
        <v>0</v>
      </c>
      <c r="H1306" t="s">
        <v>9</v>
      </c>
      <c r="I1306">
        <v>15</v>
      </c>
    </row>
    <row r="1307" spans="1:9" x14ac:dyDescent="0.3">
      <c r="A1307">
        <v>199</v>
      </c>
      <c r="B1307" t="s">
        <v>33</v>
      </c>
      <c r="C1307" t="s">
        <v>10</v>
      </c>
      <c r="D1307">
        <v>3</v>
      </c>
      <c r="E1307">
        <v>0</v>
      </c>
      <c r="F1307">
        <v>0</v>
      </c>
      <c r="G1307">
        <v>1</v>
      </c>
      <c r="H1307" t="s">
        <v>68</v>
      </c>
      <c r="I1307">
        <v>4</v>
      </c>
    </row>
    <row r="1308" spans="1:9" x14ac:dyDescent="0.3">
      <c r="A1308">
        <v>199</v>
      </c>
      <c r="B1308" t="s">
        <v>33</v>
      </c>
      <c r="C1308" t="s">
        <v>11</v>
      </c>
      <c r="D1308">
        <v>0</v>
      </c>
      <c r="E1308">
        <v>0</v>
      </c>
      <c r="F1308">
        <v>0</v>
      </c>
      <c r="G1308">
        <v>1</v>
      </c>
      <c r="H1308" t="s">
        <v>63</v>
      </c>
      <c r="I1308">
        <v>1</v>
      </c>
    </row>
    <row r="1309" spans="1:9" x14ac:dyDescent="0.3">
      <c r="A1309">
        <v>199</v>
      </c>
      <c r="B1309" t="s">
        <v>33</v>
      </c>
      <c r="C1309" t="s">
        <v>12</v>
      </c>
      <c r="D1309">
        <v>3</v>
      </c>
      <c r="E1309">
        <v>0</v>
      </c>
      <c r="F1309">
        <v>0</v>
      </c>
      <c r="G1309">
        <v>5</v>
      </c>
      <c r="H1309" t="s">
        <v>64</v>
      </c>
      <c r="I1309">
        <v>8</v>
      </c>
    </row>
    <row r="1310" spans="1:9" x14ac:dyDescent="0.3">
      <c r="A1310">
        <v>199</v>
      </c>
      <c r="B1310" t="s">
        <v>33</v>
      </c>
      <c r="C1310" t="s">
        <v>13</v>
      </c>
      <c r="D1310">
        <v>7</v>
      </c>
      <c r="E1310">
        <v>0</v>
      </c>
      <c r="F1310">
        <v>0</v>
      </c>
      <c r="G1310">
        <v>3</v>
      </c>
      <c r="H1310" t="s">
        <v>69</v>
      </c>
      <c r="I1310">
        <v>10</v>
      </c>
    </row>
    <row r="1311" spans="1:9" x14ac:dyDescent="0.3">
      <c r="A1311">
        <v>199</v>
      </c>
      <c r="B1311" t="s">
        <v>33</v>
      </c>
      <c r="C1311" t="s">
        <v>14</v>
      </c>
      <c r="D1311">
        <v>0</v>
      </c>
      <c r="E1311">
        <v>0</v>
      </c>
      <c r="F1311">
        <v>0</v>
      </c>
      <c r="G1311">
        <v>1</v>
      </c>
      <c r="H1311" t="s">
        <v>62</v>
      </c>
      <c r="I1311">
        <v>1</v>
      </c>
    </row>
    <row r="1312" spans="1:9" x14ac:dyDescent="0.3">
      <c r="A1312">
        <v>199</v>
      </c>
      <c r="B1312" t="s">
        <v>33</v>
      </c>
      <c r="C1312" t="s">
        <v>15</v>
      </c>
      <c r="D1312">
        <v>0</v>
      </c>
      <c r="E1312">
        <v>0</v>
      </c>
      <c r="F1312">
        <v>0</v>
      </c>
      <c r="G1312">
        <v>1</v>
      </c>
      <c r="H1312" t="s">
        <v>65</v>
      </c>
      <c r="I1312">
        <v>1</v>
      </c>
    </row>
    <row r="1313" spans="1:9" x14ac:dyDescent="0.3">
      <c r="A1313">
        <v>199</v>
      </c>
      <c r="B1313" t="s">
        <v>33</v>
      </c>
      <c r="C1313" t="s">
        <v>16</v>
      </c>
      <c r="D1313">
        <v>0</v>
      </c>
      <c r="E1313">
        <v>0</v>
      </c>
      <c r="F1313">
        <v>0</v>
      </c>
      <c r="G1313">
        <v>1</v>
      </c>
      <c r="H1313" t="s">
        <v>61</v>
      </c>
      <c r="I1313">
        <v>1</v>
      </c>
    </row>
    <row r="1314" spans="1:9" x14ac:dyDescent="0.3">
      <c r="A1314">
        <v>199</v>
      </c>
      <c r="B1314" t="s">
        <v>33</v>
      </c>
      <c r="C1314" t="s">
        <v>19</v>
      </c>
      <c r="D1314">
        <v>12</v>
      </c>
      <c r="E1314">
        <v>3</v>
      </c>
      <c r="F1314">
        <v>0</v>
      </c>
      <c r="G1314">
        <v>13</v>
      </c>
      <c r="H1314" t="s">
        <v>70</v>
      </c>
      <c r="I1314">
        <v>28</v>
      </c>
    </row>
    <row r="1315" spans="1:9" x14ac:dyDescent="0.3">
      <c r="A1315">
        <v>199</v>
      </c>
      <c r="B1315" t="s">
        <v>33</v>
      </c>
      <c r="C1315" t="s">
        <v>20</v>
      </c>
      <c r="D1315">
        <v>39</v>
      </c>
      <c r="E1315">
        <v>0</v>
      </c>
      <c r="F1315">
        <v>0</v>
      </c>
      <c r="G1315">
        <v>25</v>
      </c>
      <c r="H1315" t="s">
        <v>60</v>
      </c>
      <c r="I1315">
        <v>64</v>
      </c>
    </row>
    <row r="1316" spans="1:9" x14ac:dyDescent="0.3">
      <c r="A1316">
        <v>199</v>
      </c>
      <c r="B1316" t="s">
        <v>33</v>
      </c>
      <c r="C1316" t="s">
        <v>21</v>
      </c>
      <c r="D1316">
        <v>27</v>
      </c>
      <c r="E1316">
        <v>21</v>
      </c>
      <c r="F1316">
        <v>0</v>
      </c>
      <c r="G1316">
        <v>24</v>
      </c>
      <c r="H1316" t="s">
        <v>74</v>
      </c>
      <c r="I1316">
        <v>72</v>
      </c>
    </row>
    <row r="1317" spans="1:9" x14ac:dyDescent="0.3">
      <c r="A1317">
        <v>199</v>
      </c>
      <c r="B1317" t="s">
        <v>33</v>
      </c>
      <c r="C1317" t="s">
        <v>23</v>
      </c>
      <c r="D1317">
        <v>18</v>
      </c>
      <c r="E1317">
        <v>0</v>
      </c>
      <c r="F1317">
        <v>0</v>
      </c>
      <c r="G1317">
        <v>15</v>
      </c>
      <c r="H1317" t="s">
        <v>73</v>
      </c>
      <c r="I1317">
        <v>33</v>
      </c>
    </row>
    <row r="1318" spans="1:9" x14ac:dyDescent="0.3">
      <c r="A1318">
        <v>199</v>
      </c>
      <c r="B1318" t="s">
        <v>33</v>
      </c>
      <c r="C1318" t="s">
        <v>28</v>
      </c>
      <c r="D1318">
        <v>18</v>
      </c>
      <c r="E1318">
        <v>0</v>
      </c>
      <c r="F1318">
        <v>0</v>
      </c>
      <c r="G1318">
        <v>9</v>
      </c>
      <c r="H1318" t="s">
        <v>28</v>
      </c>
      <c r="I1318">
        <v>27</v>
      </c>
    </row>
    <row r="1319" spans="1:9" x14ac:dyDescent="0.3">
      <c r="A1319">
        <v>200</v>
      </c>
      <c r="B1319" t="s">
        <v>7</v>
      </c>
      <c r="C1319" t="s">
        <v>11</v>
      </c>
      <c r="D1319">
        <v>7</v>
      </c>
      <c r="E1319">
        <v>5</v>
      </c>
      <c r="F1319">
        <v>1</v>
      </c>
      <c r="G1319">
        <v>16</v>
      </c>
      <c r="H1319" t="s">
        <v>63</v>
      </c>
      <c r="I1319">
        <v>29</v>
      </c>
    </row>
    <row r="1320" spans="1:9" x14ac:dyDescent="0.3">
      <c r="A1320">
        <v>200</v>
      </c>
      <c r="B1320" t="s">
        <v>7</v>
      </c>
      <c r="C1320" t="s">
        <v>12</v>
      </c>
      <c r="D1320">
        <v>23</v>
      </c>
      <c r="E1320">
        <v>5</v>
      </c>
      <c r="F1320">
        <v>0</v>
      </c>
      <c r="G1320">
        <v>28</v>
      </c>
      <c r="H1320" t="s">
        <v>64</v>
      </c>
      <c r="I1320">
        <v>56</v>
      </c>
    </row>
    <row r="1321" spans="1:9" x14ac:dyDescent="0.3">
      <c r="A1321">
        <v>200</v>
      </c>
      <c r="B1321" t="s">
        <v>7</v>
      </c>
      <c r="C1321" t="s">
        <v>13</v>
      </c>
      <c r="D1321">
        <v>0</v>
      </c>
      <c r="E1321">
        <v>0</v>
      </c>
      <c r="F1321">
        <v>0</v>
      </c>
      <c r="G1321">
        <v>1</v>
      </c>
      <c r="H1321" t="s">
        <v>69</v>
      </c>
      <c r="I1321">
        <v>1</v>
      </c>
    </row>
    <row r="1322" spans="1:9" x14ac:dyDescent="0.3">
      <c r="A1322">
        <v>200</v>
      </c>
      <c r="B1322" t="s">
        <v>7</v>
      </c>
      <c r="C1322" t="s">
        <v>14</v>
      </c>
      <c r="D1322">
        <v>9</v>
      </c>
      <c r="E1322">
        <v>0</v>
      </c>
      <c r="F1322">
        <v>0</v>
      </c>
      <c r="G1322">
        <v>16</v>
      </c>
      <c r="H1322" t="s">
        <v>62</v>
      </c>
      <c r="I1322">
        <v>25</v>
      </c>
    </row>
    <row r="1323" spans="1:9" x14ac:dyDescent="0.3">
      <c r="A1323">
        <v>200</v>
      </c>
      <c r="B1323" t="s">
        <v>7</v>
      </c>
      <c r="C1323" t="s">
        <v>15</v>
      </c>
      <c r="D1323">
        <v>23</v>
      </c>
      <c r="E1323">
        <v>3</v>
      </c>
      <c r="F1323">
        <v>0</v>
      </c>
      <c r="G1323">
        <v>36</v>
      </c>
      <c r="H1323" t="s">
        <v>65</v>
      </c>
      <c r="I1323">
        <v>62</v>
      </c>
    </row>
    <row r="1324" spans="1:9" x14ac:dyDescent="0.3">
      <c r="A1324">
        <v>200</v>
      </c>
      <c r="B1324" t="s">
        <v>7</v>
      </c>
      <c r="C1324" t="s">
        <v>16</v>
      </c>
      <c r="D1324">
        <v>17</v>
      </c>
      <c r="E1324">
        <v>0</v>
      </c>
      <c r="F1324">
        <v>0</v>
      </c>
      <c r="G1324">
        <v>20</v>
      </c>
      <c r="H1324" t="s">
        <v>61</v>
      </c>
      <c r="I1324">
        <v>37</v>
      </c>
    </row>
    <row r="1325" spans="1:9" x14ac:dyDescent="0.3">
      <c r="A1325">
        <v>200</v>
      </c>
      <c r="B1325" t="s">
        <v>7</v>
      </c>
      <c r="C1325" t="s">
        <v>18</v>
      </c>
      <c r="D1325">
        <v>0</v>
      </c>
      <c r="E1325">
        <v>0</v>
      </c>
      <c r="F1325">
        <v>0</v>
      </c>
      <c r="G1325">
        <v>1</v>
      </c>
      <c r="H1325" t="s">
        <v>72</v>
      </c>
      <c r="I1325">
        <v>1</v>
      </c>
    </row>
    <row r="1326" spans="1:9" x14ac:dyDescent="0.3">
      <c r="A1326">
        <v>200</v>
      </c>
      <c r="B1326" t="s">
        <v>7</v>
      </c>
      <c r="C1326" t="s">
        <v>19</v>
      </c>
      <c r="D1326">
        <v>14</v>
      </c>
      <c r="E1326">
        <v>7</v>
      </c>
      <c r="F1326">
        <v>0</v>
      </c>
      <c r="G1326">
        <v>16</v>
      </c>
      <c r="H1326" t="s">
        <v>70</v>
      </c>
      <c r="I1326">
        <v>37</v>
      </c>
    </row>
    <row r="1327" spans="1:9" x14ac:dyDescent="0.3">
      <c r="A1327">
        <v>200</v>
      </c>
      <c r="B1327" t="s">
        <v>7</v>
      </c>
      <c r="C1327" t="s">
        <v>20</v>
      </c>
      <c r="D1327">
        <v>58</v>
      </c>
      <c r="E1327">
        <v>18</v>
      </c>
      <c r="F1327">
        <v>0</v>
      </c>
      <c r="G1327">
        <v>55</v>
      </c>
      <c r="H1327" t="s">
        <v>60</v>
      </c>
      <c r="I1327">
        <v>131</v>
      </c>
    </row>
    <row r="1328" spans="1:9" x14ac:dyDescent="0.3">
      <c r="A1328">
        <v>200</v>
      </c>
      <c r="B1328" t="s">
        <v>7</v>
      </c>
      <c r="C1328" t="s">
        <v>21</v>
      </c>
      <c r="D1328">
        <v>19</v>
      </c>
      <c r="E1328">
        <v>12</v>
      </c>
      <c r="F1328">
        <v>1</v>
      </c>
      <c r="G1328">
        <v>29</v>
      </c>
      <c r="H1328" t="s">
        <v>74</v>
      </c>
      <c r="I1328">
        <v>61</v>
      </c>
    </row>
    <row r="1329" spans="1:9" x14ac:dyDescent="0.3">
      <c r="A1329">
        <v>200</v>
      </c>
      <c r="B1329" t="s">
        <v>7</v>
      </c>
      <c r="C1329" t="s">
        <v>22</v>
      </c>
      <c r="D1329">
        <v>12</v>
      </c>
      <c r="E1329">
        <v>3</v>
      </c>
      <c r="F1329">
        <v>0</v>
      </c>
      <c r="G1329">
        <v>21</v>
      </c>
      <c r="H1329" t="s">
        <v>76</v>
      </c>
      <c r="I1329">
        <v>36</v>
      </c>
    </row>
    <row r="1330" spans="1:9" x14ac:dyDescent="0.3">
      <c r="A1330">
        <v>200</v>
      </c>
      <c r="B1330" t="s">
        <v>7</v>
      </c>
      <c r="C1330" t="s">
        <v>23</v>
      </c>
      <c r="D1330">
        <v>0</v>
      </c>
      <c r="E1330">
        <v>0</v>
      </c>
      <c r="F1330">
        <v>0</v>
      </c>
      <c r="G1330">
        <v>1</v>
      </c>
      <c r="H1330" t="s">
        <v>73</v>
      </c>
      <c r="I1330">
        <v>1</v>
      </c>
    </row>
    <row r="1331" spans="1:9" x14ac:dyDescent="0.3">
      <c r="A1331">
        <v>200</v>
      </c>
      <c r="B1331" t="s">
        <v>7</v>
      </c>
      <c r="C1331" t="s">
        <v>24</v>
      </c>
      <c r="D1331">
        <v>5</v>
      </c>
      <c r="E1331">
        <v>0</v>
      </c>
      <c r="F1331">
        <v>0</v>
      </c>
      <c r="G1331">
        <v>4</v>
      </c>
      <c r="H1331" t="s">
        <v>75</v>
      </c>
      <c r="I1331">
        <v>9</v>
      </c>
    </row>
    <row r="1332" spans="1:9" x14ac:dyDescent="0.3">
      <c r="A1332">
        <v>200</v>
      </c>
      <c r="B1332" t="s">
        <v>33</v>
      </c>
      <c r="C1332" t="s">
        <v>8</v>
      </c>
      <c r="D1332">
        <v>0</v>
      </c>
      <c r="E1332">
        <v>0</v>
      </c>
      <c r="F1332">
        <v>4</v>
      </c>
      <c r="G1332">
        <v>0</v>
      </c>
      <c r="H1332" t="s">
        <v>8</v>
      </c>
      <c r="I1332">
        <v>4</v>
      </c>
    </row>
    <row r="1333" spans="1:9" x14ac:dyDescent="0.3">
      <c r="A1333">
        <v>200</v>
      </c>
      <c r="B1333" t="s">
        <v>33</v>
      </c>
      <c r="C1333" t="s">
        <v>9</v>
      </c>
      <c r="D1333">
        <v>0</v>
      </c>
      <c r="E1333">
        <v>0</v>
      </c>
      <c r="F1333">
        <v>35</v>
      </c>
      <c r="G1333">
        <v>0</v>
      </c>
      <c r="H1333" t="s">
        <v>9</v>
      </c>
      <c r="I1333">
        <v>35</v>
      </c>
    </row>
    <row r="1334" spans="1:9" x14ac:dyDescent="0.3">
      <c r="A1334">
        <v>200</v>
      </c>
      <c r="B1334" t="s">
        <v>33</v>
      </c>
      <c r="C1334" t="s">
        <v>10</v>
      </c>
      <c r="D1334">
        <v>56</v>
      </c>
      <c r="E1334">
        <v>9</v>
      </c>
      <c r="F1334">
        <v>0</v>
      </c>
      <c r="G1334">
        <v>49</v>
      </c>
      <c r="H1334" t="s">
        <v>68</v>
      </c>
      <c r="I1334">
        <v>114</v>
      </c>
    </row>
    <row r="1335" spans="1:9" x14ac:dyDescent="0.3">
      <c r="A1335">
        <v>200</v>
      </c>
      <c r="B1335" t="s">
        <v>33</v>
      </c>
      <c r="C1335" t="s">
        <v>12</v>
      </c>
      <c r="D1335">
        <v>6</v>
      </c>
      <c r="E1335">
        <v>2</v>
      </c>
      <c r="F1335">
        <v>0</v>
      </c>
      <c r="G1335">
        <v>4</v>
      </c>
      <c r="H1335" t="s">
        <v>64</v>
      </c>
      <c r="I1335">
        <v>12</v>
      </c>
    </row>
    <row r="1336" spans="1:9" x14ac:dyDescent="0.3">
      <c r="A1336">
        <v>200</v>
      </c>
      <c r="B1336" t="s">
        <v>33</v>
      </c>
      <c r="C1336" t="s">
        <v>19</v>
      </c>
      <c r="D1336">
        <v>7</v>
      </c>
      <c r="E1336">
        <v>1</v>
      </c>
      <c r="F1336">
        <v>0</v>
      </c>
      <c r="G1336">
        <v>5</v>
      </c>
      <c r="H1336" t="s">
        <v>70</v>
      </c>
      <c r="I1336">
        <v>13</v>
      </c>
    </row>
    <row r="1337" spans="1:9" x14ac:dyDescent="0.3">
      <c r="A1337">
        <v>200</v>
      </c>
      <c r="B1337" t="s">
        <v>33</v>
      </c>
      <c r="C1337" t="s">
        <v>20</v>
      </c>
      <c r="D1337">
        <v>0</v>
      </c>
      <c r="E1337">
        <v>0</v>
      </c>
      <c r="F1337">
        <v>0</v>
      </c>
      <c r="G1337">
        <v>1</v>
      </c>
      <c r="H1337" t="s">
        <v>60</v>
      </c>
      <c r="I1337">
        <v>1</v>
      </c>
    </row>
    <row r="1338" spans="1:9" x14ac:dyDescent="0.3">
      <c r="A1338">
        <v>201</v>
      </c>
      <c r="B1338" t="s">
        <v>7</v>
      </c>
      <c r="C1338" t="s">
        <v>11</v>
      </c>
      <c r="D1338">
        <v>3</v>
      </c>
      <c r="E1338">
        <v>0</v>
      </c>
      <c r="F1338">
        <v>0</v>
      </c>
      <c r="G1338">
        <v>5</v>
      </c>
      <c r="H1338" t="s">
        <v>63</v>
      </c>
      <c r="I1338">
        <v>8</v>
      </c>
    </row>
    <row r="1339" spans="1:9" x14ac:dyDescent="0.3">
      <c r="A1339">
        <v>201</v>
      </c>
      <c r="B1339" t="s">
        <v>7</v>
      </c>
      <c r="C1339" t="s">
        <v>12</v>
      </c>
      <c r="D1339">
        <v>18</v>
      </c>
      <c r="E1339">
        <v>34</v>
      </c>
      <c r="F1339">
        <v>0</v>
      </c>
      <c r="G1339">
        <v>39</v>
      </c>
      <c r="H1339" t="s">
        <v>64</v>
      </c>
      <c r="I1339">
        <v>91</v>
      </c>
    </row>
    <row r="1340" spans="1:9" x14ac:dyDescent="0.3">
      <c r="A1340">
        <v>201</v>
      </c>
      <c r="B1340" t="s">
        <v>7</v>
      </c>
      <c r="C1340" t="s">
        <v>14</v>
      </c>
      <c r="D1340">
        <v>24</v>
      </c>
      <c r="E1340">
        <v>2</v>
      </c>
      <c r="F1340">
        <v>0</v>
      </c>
      <c r="G1340">
        <v>39</v>
      </c>
      <c r="H1340" t="s">
        <v>62</v>
      </c>
      <c r="I1340">
        <v>65</v>
      </c>
    </row>
    <row r="1341" spans="1:9" x14ac:dyDescent="0.3">
      <c r="A1341">
        <v>201</v>
      </c>
      <c r="B1341" t="s">
        <v>7</v>
      </c>
      <c r="C1341" t="s">
        <v>15</v>
      </c>
      <c r="D1341">
        <v>3</v>
      </c>
      <c r="E1341">
        <v>0</v>
      </c>
      <c r="F1341">
        <v>0</v>
      </c>
      <c r="G1341">
        <v>4</v>
      </c>
      <c r="H1341" t="s">
        <v>65</v>
      </c>
      <c r="I1341">
        <v>7</v>
      </c>
    </row>
    <row r="1342" spans="1:9" x14ac:dyDescent="0.3">
      <c r="A1342">
        <v>201</v>
      </c>
      <c r="B1342" t="s">
        <v>7</v>
      </c>
      <c r="C1342" t="s">
        <v>16</v>
      </c>
      <c r="D1342">
        <v>17</v>
      </c>
      <c r="E1342">
        <v>0</v>
      </c>
      <c r="F1342">
        <v>0</v>
      </c>
      <c r="G1342">
        <v>15</v>
      </c>
      <c r="H1342" t="s">
        <v>61</v>
      </c>
      <c r="I1342">
        <v>32</v>
      </c>
    </row>
    <row r="1343" spans="1:9" x14ac:dyDescent="0.3">
      <c r="A1343">
        <v>201</v>
      </c>
      <c r="B1343" t="s">
        <v>7</v>
      </c>
      <c r="C1343" t="s">
        <v>19</v>
      </c>
      <c r="D1343">
        <v>17</v>
      </c>
      <c r="E1343">
        <v>2</v>
      </c>
      <c r="F1343">
        <v>0</v>
      </c>
      <c r="G1343">
        <v>11</v>
      </c>
      <c r="H1343" t="s">
        <v>70</v>
      </c>
      <c r="I1343">
        <v>30</v>
      </c>
    </row>
    <row r="1344" spans="1:9" x14ac:dyDescent="0.3">
      <c r="A1344">
        <v>201</v>
      </c>
      <c r="B1344" t="s">
        <v>7</v>
      </c>
      <c r="C1344" t="s">
        <v>21</v>
      </c>
      <c r="D1344">
        <v>1</v>
      </c>
      <c r="E1344">
        <v>12</v>
      </c>
      <c r="F1344">
        <v>0</v>
      </c>
      <c r="G1344">
        <v>8</v>
      </c>
      <c r="H1344" t="s">
        <v>74</v>
      </c>
      <c r="I1344">
        <v>21</v>
      </c>
    </row>
    <row r="1345" spans="1:9" x14ac:dyDescent="0.3">
      <c r="A1345">
        <v>201</v>
      </c>
      <c r="B1345" t="s">
        <v>7</v>
      </c>
      <c r="C1345" t="s">
        <v>22</v>
      </c>
      <c r="D1345">
        <v>3</v>
      </c>
      <c r="E1345">
        <v>0</v>
      </c>
      <c r="F1345">
        <v>0</v>
      </c>
      <c r="G1345">
        <v>3</v>
      </c>
      <c r="H1345" t="s">
        <v>76</v>
      </c>
      <c r="I1345">
        <v>6</v>
      </c>
    </row>
    <row r="1346" spans="1:9" x14ac:dyDescent="0.3">
      <c r="A1346">
        <v>201</v>
      </c>
      <c r="B1346" t="s">
        <v>7</v>
      </c>
      <c r="C1346" t="s">
        <v>24</v>
      </c>
      <c r="D1346">
        <v>4</v>
      </c>
      <c r="E1346">
        <v>0</v>
      </c>
      <c r="F1346">
        <v>0</v>
      </c>
      <c r="G1346">
        <v>4</v>
      </c>
      <c r="H1346" t="s">
        <v>75</v>
      </c>
      <c r="I1346">
        <v>8</v>
      </c>
    </row>
    <row r="1347" spans="1:9" x14ac:dyDescent="0.3">
      <c r="A1347">
        <v>201</v>
      </c>
      <c r="B1347" t="s">
        <v>33</v>
      </c>
      <c r="C1347" t="s">
        <v>8</v>
      </c>
      <c r="D1347">
        <v>0</v>
      </c>
      <c r="E1347">
        <v>0</v>
      </c>
      <c r="F1347">
        <v>1</v>
      </c>
      <c r="G1347">
        <v>0</v>
      </c>
      <c r="H1347" t="s">
        <v>8</v>
      </c>
      <c r="I1347">
        <v>1</v>
      </c>
    </row>
    <row r="1348" spans="1:9" x14ac:dyDescent="0.3">
      <c r="A1348">
        <v>201</v>
      </c>
      <c r="B1348" t="s">
        <v>33</v>
      </c>
      <c r="C1348" t="s">
        <v>9</v>
      </c>
      <c r="D1348">
        <v>0</v>
      </c>
      <c r="E1348">
        <v>0</v>
      </c>
      <c r="F1348">
        <v>24</v>
      </c>
      <c r="G1348">
        <v>0</v>
      </c>
      <c r="H1348" t="s">
        <v>9</v>
      </c>
      <c r="I1348">
        <v>24</v>
      </c>
    </row>
    <row r="1349" spans="1:9" x14ac:dyDescent="0.3">
      <c r="A1349">
        <v>201</v>
      </c>
      <c r="B1349" t="s">
        <v>33</v>
      </c>
      <c r="C1349" t="s">
        <v>10</v>
      </c>
      <c r="D1349">
        <v>9</v>
      </c>
      <c r="E1349">
        <v>0</v>
      </c>
      <c r="F1349">
        <v>0</v>
      </c>
      <c r="G1349">
        <v>11</v>
      </c>
      <c r="H1349" t="s">
        <v>68</v>
      </c>
      <c r="I1349">
        <v>20</v>
      </c>
    </row>
    <row r="1350" spans="1:9" x14ac:dyDescent="0.3">
      <c r="A1350">
        <v>201</v>
      </c>
      <c r="B1350" t="s">
        <v>33</v>
      </c>
      <c r="C1350" t="s">
        <v>11</v>
      </c>
      <c r="D1350">
        <v>10</v>
      </c>
      <c r="E1350">
        <v>0</v>
      </c>
      <c r="F1350">
        <v>0</v>
      </c>
      <c r="G1350">
        <v>6</v>
      </c>
      <c r="H1350" t="s">
        <v>63</v>
      </c>
      <c r="I1350">
        <v>16</v>
      </c>
    </row>
    <row r="1351" spans="1:9" x14ac:dyDescent="0.3">
      <c r="A1351">
        <v>201</v>
      </c>
      <c r="B1351" t="s">
        <v>33</v>
      </c>
      <c r="C1351" t="s">
        <v>15</v>
      </c>
      <c r="D1351">
        <v>1</v>
      </c>
      <c r="E1351">
        <v>0</v>
      </c>
      <c r="F1351">
        <v>0</v>
      </c>
      <c r="G1351">
        <v>7</v>
      </c>
      <c r="H1351" t="s">
        <v>65</v>
      </c>
      <c r="I1351">
        <v>8</v>
      </c>
    </row>
    <row r="1352" spans="1:9" x14ac:dyDescent="0.3">
      <c r="A1352">
        <v>201</v>
      </c>
      <c r="B1352" t="s">
        <v>33</v>
      </c>
      <c r="C1352" t="s">
        <v>19</v>
      </c>
      <c r="D1352">
        <v>20</v>
      </c>
      <c r="E1352">
        <v>5</v>
      </c>
      <c r="F1352">
        <v>0</v>
      </c>
      <c r="G1352">
        <v>16</v>
      </c>
      <c r="H1352" t="s">
        <v>70</v>
      </c>
      <c r="I1352">
        <v>41</v>
      </c>
    </row>
    <row r="1353" spans="1:9" x14ac:dyDescent="0.3">
      <c r="A1353">
        <v>201</v>
      </c>
      <c r="B1353" t="s">
        <v>33</v>
      </c>
      <c r="C1353" t="s">
        <v>20</v>
      </c>
      <c r="D1353">
        <v>3</v>
      </c>
      <c r="E1353">
        <v>0</v>
      </c>
      <c r="F1353">
        <v>0</v>
      </c>
      <c r="G1353">
        <v>5</v>
      </c>
      <c r="H1353" t="s">
        <v>60</v>
      </c>
      <c r="I1353">
        <v>8</v>
      </c>
    </row>
    <row r="1354" spans="1:9" x14ac:dyDescent="0.3">
      <c r="A1354">
        <v>201</v>
      </c>
      <c r="B1354" t="s">
        <v>33</v>
      </c>
      <c r="C1354" t="s">
        <v>21</v>
      </c>
      <c r="D1354">
        <v>12</v>
      </c>
      <c r="E1354">
        <v>0</v>
      </c>
      <c r="F1354">
        <v>0</v>
      </c>
      <c r="G1354">
        <v>10</v>
      </c>
      <c r="H1354" t="s">
        <v>74</v>
      </c>
      <c r="I1354">
        <v>22</v>
      </c>
    </row>
    <row r="1355" spans="1:9" x14ac:dyDescent="0.3">
      <c r="A1355">
        <v>201</v>
      </c>
      <c r="B1355" t="s">
        <v>33</v>
      </c>
      <c r="C1355" t="s">
        <v>22</v>
      </c>
      <c r="D1355">
        <v>4</v>
      </c>
      <c r="E1355">
        <v>0</v>
      </c>
      <c r="F1355">
        <v>0</v>
      </c>
      <c r="G1355">
        <v>8</v>
      </c>
      <c r="H1355" t="s">
        <v>76</v>
      </c>
      <c r="I1355">
        <v>12</v>
      </c>
    </row>
    <row r="1356" spans="1:9" x14ac:dyDescent="0.3">
      <c r="A1356">
        <v>202</v>
      </c>
      <c r="B1356" t="s">
        <v>7</v>
      </c>
      <c r="C1356" t="s">
        <v>11</v>
      </c>
      <c r="D1356">
        <v>17</v>
      </c>
      <c r="E1356">
        <v>0</v>
      </c>
      <c r="F1356">
        <v>0</v>
      </c>
      <c r="G1356">
        <v>17</v>
      </c>
      <c r="H1356" t="s">
        <v>63</v>
      </c>
      <c r="I1356">
        <v>34</v>
      </c>
    </row>
    <row r="1357" spans="1:9" x14ac:dyDescent="0.3">
      <c r="A1357">
        <v>202</v>
      </c>
      <c r="B1357" t="s">
        <v>7</v>
      </c>
      <c r="C1357" t="s">
        <v>14</v>
      </c>
      <c r="D1357">
        <v>12</v>
      </c>
      <c r="E1357">
        <v>23</v>
      </c>
      <c r="F1357">
        <v>0</v>
      </c>
      <c r="G1357">
        <v>11</v>
      </c>
      <c r="H1357" t="s">
        <v>62</v>
      </c>
      <c r="I1357">
        <v>46</v>
      </c>
    </row>
    <row r="1358" spans="1:9" x14ac:dyDescent="0.3">
      <c r="A1358">
        <v>202</v>
      </c>
      <c r="B1358" t="s">
        <v>7</v>
      </c>
      <c r="C1358" t="s">
        <v>15</v>
      </c>
      <c r="D1358">
        <v>11</v>
      </c>
      <c r="E1358">
        <v>0</v>
      </c>
      <c r="F1358">
        <v>0</v>
      </c>
      <c r="G1358">
        <v>13</v>
      </c>
      <c r="H1358" t="s">
        <v>65</v>
      </c>
      <c r="I1358">
        <v>24</v>
      </c>
    </row>
    <row r="1359" spans="1:9" x14ac:dyDescent="0.3">
      <c r="A1359">
        <v>202</v>
      </c>
      <c r="B1359" t="s">
        <v>7</v>
      </c>
      <c r="C1359" t="s">
        <v>16</v>
      </c>
      <c r="D1359">
        <v>6</v>
      </c>
      <c r="E1359">
        <v>0</v>
      </c>
      <c r="F1359">
        <v>0</v>
      </c>
      <c r="G1359">
        <v>5</v>
      </c>
      <c r="H1359" t="s">
        <v>61</v>
      </c>
      <c r="I1359">
        <v>11</v>
      </c>
    </row>
    <row r="1360" spans="1:9" x14ac:dyDescent="0.3">
      <c r="A1360">
        <v>202</v>
      </c>
      <c r="B1360" t="s">
        <v>7</v>
      </c>
      <c r="C1360" t="s">
        <v>19</v>
      </c>
      <c r="D1360">
        <v>2</v>
      </c>
      <c r="E1360">
        <v>2</v>
      </c>
      <c r="F1360">
        <v>1</v>
      </c>
      <c r="G1360">
        <v>5</v>
      </c>
      <c r="H1360" t="s">
        <v>70</v>
      </c>
      <c r="I1360">
        <v>10</v>
      </c>
    </row>
    <row r="1361" spans="1:9" x14ac:dyDescent="0.3">
      <c r="A1361">
        <v>202</v>
      </c>
      <c r="B1361" t="s">
        <v>7</v>
      </c>
      <c r="C1361" t="s">
        <v>20</v>
      </c>
      <c r="D1361">
        <v>16</v>
      </c>
      <c r="E1361">
        <v>0</v>
      </c>
      <c r="F1361">
        <v>0</v>
      </c>
      <c r="G1361">
        <v>11</v>
      </c>
      <c r="H1361" t="s">
        <v>60</v>
      </c>
      <c r="I1361">
        <v>27</v>
      </c>
    </row>
    <row r="1362" spans="1:9" x14ac:dyDescent="0.3">
      <c r="A1362">
        <v>202</v>
      </c>
      <c r="B1362" t="s">
        <v>7</v>
      </c>
      <c r="C1362" t="s">
        <v>21</v>
      </c>
      <c r="D1362">
        <v>87</v>
      </c>
      <c r="E1362">
        <v>31</v>
      </c>
      <c r="F1362">
        <v>1</v>
      </c>
      <c r="G1362">
        <v>54</v>
      </c>
      <c r="H1362" t="s">
        <v>74</v>
      </c>
      <c r="I1362">
        <v>173</v>
      </c>
    </row>
    <row r="1363" spans="1:9" x14ac:dyDescent="0.3">
      <c r="A1363">
        <v>202</v>
      </c>
      <c r="B1363" t="s">
        <v>7</v>
      </c>
      <c r="C1363" t="s">
        <v>22</v>
      </c>
      <c r="D1363">
        <v>17</v>
      </c>
      <c r="E1363">
        <v>7</v>
      </c>
      <c r="F1363">
        <v>0</v>
      </c>
      <c r="G1363">
        <v>20</v>
      </c>
      <c r="H1363" t="s">
        <v>76</v>
      </c>
      <c r="I1363">
        <v>44</v>
      </c>
    </row>
    <row r="1364" spans="1:9" x14ac:dyDescent="0.3">
      <c r="A1364">
        <v>202</v>
      </c>
      <c r="B1364" t="s">
        <v>33</v>
      </c>
      <c r="C1364" t="s">
        <v>8</v>
      </c>
      <c r="D1364">
        <v>0</v>
      </c>
      <c r="E1364">
        <v>0</v>
      </c>
      <c r="F1364">
        <v>2</v>
      </c>
      <c r="G1364">
        <v>0</v>
      </c>
      <c r="H1364" t="s">
        <v>8</v>
      </c>
      <c r="I1364">
        <v>2</v>
      </c>
    </row>
    <row r="1365" spans="1:9" x14ac:dyDescent="0.3">
      <c r="A1365">
        <v>202</v>
      </c>
      <c r="B1365" t="s">
        <v>33</v>
      </c>
      <c r="C1365" t="s">
        <v>9</v>
      </c>
      <c r="D1365">
        <v>0</v>
      </c>
      <c r="E1365">
        <v>0</v>
      </c>
      <c r="F1365">
        <v>16</v>
      </c>
      <c r="G1365">
        <v>0</v>
      </c>
      <c r="H1365" t="s">
        <v>9</v>
      </c>
      <c r="I1365">
        <v>16</v>
      </c>
    </row>
    <row r="1366" spans="1:9" x14ac:dyDescent="0.3">
      <c r="A1366">
        <v>202</v>
      </c>
      <c r="B1366" t="s">
        <v>33</v>
      </c>
      <c r="C1366" t="s">
        <v>11</v>
      </c>
      <c r="D1366">
        <v>3</v>
      </c>
      <c r="E1366">
        <v>0</v>
      </c>
      <c r="F1366">
        <v>0</v>
      </c>
      <c r="G1366">
        <v>2</v>
      </c>
      <c r="H1366" t="s">
        <v>63</v>
      </c>
      <c r="I1366">
        <v>5</v>
      </c>
    </row>
    <row r="1367" spans="1:9" x14ac:dyDescent="0.3">
      <c r="A1367">
        <v>202</v>
      </c>
      <c r="B1367" t="s">
        <v>33</v>
      </c>
      <c r="C1367" t="s">
        <v>14</v>
      </c>
      <c r="D1367">
        <v>7</v>
      </c>
      <c r="E1367">
        <v>0</v>
      </c>
      <c r="F1367">
        <v>0</v>
      </c>
      <c r="G1367">
        <v>6</v>
      </c>
      <c r="H1367" t="s">
        <v>62</v>
      </c>
      <c r="I1367">
        <v>13</v>
      </c>
    </row>
    <row r="1368" spans="1:9" x14ac:dyDescent="0.3">
      <c r="A1368">
        <v>202</v>
      </c>
      <c r="B1368" t="s">
        <v>33</v>
      </c>
      <c r="C1368" t="s">
        <v>15</v>
      </c>
      <c r="D1368">
        <v>1</v>
      </c>
      <c r="E1368">
        <v>0</v>
      </c>
      <c r="F1368">
        <v>0</v>
      </c>
      <c r="G1368">
        <v>3</v>
      </c>
      <c r="H1368" t="s">
        <v>65</v>
      </c>
      <c r="I1368">
        <v>4</v>
      </c>
    </row>
    <row r="1369" spans="1:9" x14ac:dyDescent="0.3">
      <c r="A1369">
        <v>202</v>
      </c>
      <c r="B1369" t="s">
        <v>33</v>
      </c>
      <c r="C1369" t="s">
        <v>19</v>
      </c>
      <c r="D1369">
        <v>4</v>
      </c>
      <c r="E1369">
        <v>0</v>
      </c>
      <c r="F1369">
        <v>0</v>
      </c>
      <c r="G1369">
        <v>4</v>
      </c>
      <c r="H1369" t="s">
        <v>70</v>
      </c>
      <c r="I1369">
        <v>8</v>
      </c>
    </row>
    <row r="1370" spans="1:9" x14ac:dyDescent="0.3">
      <c r="A1370">
        <v>202</v>
      </c>
      <c r="B1370" t="s">
        <v>33</v>
      </c>
      <c r="C1370" t="s">
        <v>20</v>
      </c>
      <c r="D1370">
        <v>0</v>
      </c>
      <c r="E1370">
        <v>0</v>
      </c>
      <c r="F1370">
        <v>0</v>
      </c>
      <c r="G1370">
        <v>3</v>
      </c>
      <c r="H1370" t="s">
        <v>60</v>
      </c>
      <c r="I1370">
        <v>3</v>
      </c>
    </row>
    <row r="1371" spans="1:9" x14ac:dyDescent="0.3">
      <c r="A1371">
        <v>202</v>
      </c>
      <c r="B1371" t="s">
        <v>33</v>
      </c>
      <c r="C1371" t="s">
        <v>21</v>
      </c>
      <c r="D1371">
        <v>1</v>
      </c>
      <c r="E1371">
        <v>0</v>
      </c>
      <c r="F1371">
        <v>0</v>
      </c>
      <c r="G1371">
        <v>2</v>
      </c>
      <c r="H1371" t="s">
        <v>74</v>
      </c>
      <c r="I1371">
        <v>3</v>
      </c>
    </row>
    <row r="1372" spans="1:9" x14ac:dyDescent="0.3">
      <c r="A1372">
        <v>203</v>
      </c>
      <c r="B1372" t="s">
        <v>7</v>
      </c>
      <c r="C1372" t="s">
        <v>11</v>
      </c>
      <c r="D1372">
        <v>0</v>
      </c>
      <c r="E1372">
        <v>0</v>
      </c>
      <c r="F1372">
        <v>0</v>
      </c>
      <c r="G1372">
        <v>2</v>
      </c>
      <c r="H1372" t="s">
        <v>63</v>
      </c>
      <c r="I1372">
        <v>2</v>
      </c>
    </row>
    <row r="1373" spans="1:9" x14ac:dyDescent="0.3">
      <c r="A1373">
        <v>203</v>
      </c>
      <c r="B1373" t="s">
        <v>7</v>
      </c>
      <c r="C1373" t="s">
        <v>14</v>
      </c>
      <c r="D1373">
        <v>9</v>
      </c>
      <c r="E1373">
        <v>0</v>
      </c>
      <c r="F1373">
        <v>8</v>
      </c>
      <c r="G1373">
        <v>9</v>
      </c>
      <c r="H1373" t="s">
        <v>62</v>
      </c>
      <c r="I1373">
        <v>26</v>
      </c>
    </row>
    <row r="1374" spans="1:9" x14ac:dyDescent="0.3">
      <c r="A1374">
        <v>203</v>
      </c>
      <c r="B1374" t="s">
        <v>7</v>
      </c>
      <c r="C1374" t="s">
        <v>15</v>
      </c>
      <c r="D1374">
        <v>1</v>
      </c>
      <c r="E1374">
        <v>0</v>
      </c>
      <c r="F1374">
        <v>0</v>
      </c>
      <c r="G1374">
        <v>3</v>
      </c>
      <c r="H1374" t="s">
        <v>65</v>
      </c>
      <c r="I1374">
        <v>4</v>
      </c>
    </row>
    <row r="1375" spans="1:9" x14ac:dyDescent="0.3">
      <c r="A1375">
        <v>203</v>
      </c>
      <c r="B1375" t="s">
        <v>7</v>
      </c>
      <c r="C1375" t="s">
        <v>19</v>
      </c>
      <c r="D1375">
        <v>0</v>
      </c>
      <c r="E1375">
        <v>0</v>
      </c>
      <c r="F1375">
        <v>0</v>
      </c>
      <c r="G1375">
        <v>1</v>
      </c>
      <c r="H1375" t="s">
        <v>70</v>
      </c>
      <c r="I1375">
        <v>1</v>
      </c>
    </row>
    <row r="1376" spans="1:9" x14ac:dyDescent="0.3">
      <c r="A1376">
        <v>203</v>
      </c>
      <c r="B1376" t="s">
        <v>7</v>
      </c>
      <c r="C1376" t="s">
        <v>20</v>
      </c>
      <c r="D1376">
        <v>0</v>
      </c>
      <c r="E1376">
        <v>0</v>
      </c>
      <c r="F1376">
        <v>0</v>
      </c>
      <c r="G1376">
        <v>2</v>
      </c>
      <c r="H1376" t="s">
        <v>60</v>
      </c>
      <c r="I1376">
        <v>2</v>
      </c>
    </row>
    <row r="1377" spans="1:9" x14ac:dyDescent="0.3">
      <c r="A1377">
        <v>203</v>
      </c>
      <c r="B1377" t="s">
        <v>7</v>
      </c>
      <c r="C1377" t="s">
        <v>21</v>
      </c>
      <c r="D1377">
        <v>73</v>
      </c>
      <c r="E1377">
        <v>0</v>
      </c>
      <c r="F1377">
        <v>0</v>
      </c>
      <c r="G1377">
        <v>51</v>
      </c>
      <c r="H1377" t="s">
        <v>74</v>
      </c>
      <c r="I1377">
        <v>124</v>
      </c>
    </row>
    <row r="1378" spans="1:9" x14ac:dyDescent="0.3">
      <c r="A1378">
        <v>203</v>
      </c>
      <c r="B1378" t="s">
        <v>7</v>
      </c>
      <c r="C1378" t="s">
        <v>22</v>
      </c>
      <c r="D1378">
        <v>23</v>
      </c>
      <c r="E1378">
        <v>24</v>
      </c>
      <c r="F1378">
        <v>32</v>
      </c>
      <c r="G1378">
        <v>40</v>
      </c>
      <c r="H1378" t="s">
        <v>76</v>
      </c>
      <c r="I1378">
        <v>119</v>
      </c>
    </row>
    <row r="1379" spans="1:9" x14ac:dyDescent="0.3">
      <c r="A1379">
        <v>203</v>
      </c>
      <c r="B1379" t="s">
        <v>7</v>
      </c>
      <c r="C1379" t="s">
        <v>24</v>
      </c>
      <c r="D1379">
        <v>0</v>
      </c>
      <c r="E1379">
        <v>0</v>
      </c>
      <c r="F1379">
        <v>0</v>
      </c>
      <c r="G1379">
        <v>9</v>
      </c>
      <c r="H1379" t="s">
        <v>75</v>
      </c>
      <c r="I1379">
        <v>9</v>
      </c>
    </row>
    <row r="1380" spans="1:9" x14ac:dyDescent="0.3">
      <c r="A1380">
        <v>203</v>
      </c>
      <c r="B1380" t="s">
        <v>33</v>
      </c>
      <c r="C1380" t="s">
        <v>8</v>
      </c>
      <c r="D1380">
        <v>0</v>
      </c>
      <c r="E1380">
        <v>0</v>
      </c>
      <c r="F1380">
        <v>2</v>
      </c>
      <c r="G1380">
        <v>0</v>
      </c>
      <c r="H1380" t="s">
        <v>8</v>
      </c>
      <c r="I1380">
        <v>2</v>
      </c>
    </row>
    <row r="1381" spans="1:9" x14ac:dyDescent="0.3">
      <c r="A1381">
        <v>203</v>
      </c>
      <c r="B1381" t="s">
        <v>33</v>
      </c>
      <c r="C1381" t="s">
        <v>9</v>
      </c>
      <c r="D1381">
        <v>0</v>
      </c>
      <c r="E1381">
        <v>0</v>
      </c>
      <c r="F1381">
        <v>50</v>
      </c>
      <c r="G1381">
        <v>0</v>
      </c>
      <c r="H1381" t="s">
        <v>9</v>
      </c>
      <c r="I1381">
        <v>50</v>
      </c>
    </row>
    <row r="1382" spans="1:9" x14ac:dyDescent="0.3">
      <c r="A1382">
        <v>203</v>
      </c>
      <c r="B1382" t="s">
        <v>33</v>
      </c>
      <c r="C1382" t="s">
        <v>10</v>
      </c>
      <c r="D1382">
        <v>10</v>
      </c>
      <c r="E1382">
        <v>0</v>
      </c>
      <c r="F1382">
        <v>0</v>
      </c>
      <c r="G1382">
        <v>4</v>
      </c>
      <c r="H1382" t="s">
        <v>68</v>
      </c>
      <c r="I1382">
        <v>14</v>
      </c>
    </row>
    <row r="1383" spans="1:9" x14ac:dyDescent="0.3">
      <c r="A1383">
        <v>203</v>
      </c>
      <c r="B1383" t="s">
        <v>33</v>
      </c>
      <c r="C1383" t="s">
        <v>11</v>
      </c>
      <c r="D1383">
        <v>6</v>
      </c>
      <c r="E1383">
        <v>1</v>
      </c>
      <c r="F1383">
        <v>0</v>
      </c>
      <c r="G1383">
        <v>12</v>
      </c>
      <c r="H1383" t="s">
        <v>63</v>
      </c>
      <c r="I1383">
        <v>19</v>
      </c>
    </row>
    <row r="1384" spans="1:9" x14ac:dyDescent="0.3">
      <c r="A1384">
        <v>203</v>
      </c>
      <c r="B1384" t="s">
        <v>33</v>
      </c>
      <c r="C1384" t="s">
        <v>14</v>
      </c>
      <c r="D1384">
        <v>16</v>
      </c>
      <c r="E1384">
        <v>0</v>
      </c>
      <c r="F1384">
        <v>0</v>
      </c>
      <c r="G1384">
        <v>15</v>
      </c>
      <c r="H1384" t="s">
        <v>62</v>
      </c>
      <c r="I1384">
        <v>31</v>
      </c>
    </row>
    <row r="1385" spans="1:9" x14ac:dyDescent="0.3">
      <c r="A1385">
        <v>203</v>
      </c>
      <c r="B1385" t="s">
        <v>33</v>
      </c>
      <c r="C1385" t="s">
        <v>15</v>
      </c>
      <c r="D1385">
        <v>2</v>
      </c>
      <c r="E1385">
        <v>1</v>
      </c>
      <c r="F1385">
        <v>0</v>
      </c>
      <c r="G1385">
        <v>8</v>
      </c>
      <c r="H1385" t="s">
        <v>65</v>
      </c>
      <c r="I1385">
        <v>11</v>
      </c>
    </row>
    <row r="1386" spans="1:9" x14ac:dyDescent="0.3">
      <c r="A1386">
        <v>203</v>
      </c>
      <c r="B1386" t="s">
        <v>33</v>
      </c>
      <c r="C1386" t="s">
        <v>19</v>
      </c>
      <c r="D1386">
        <v>46</v>
      </c>
      <c r="E1386">
        <v>0</v>
      </c>
      <c r="F1386">
        <v>0</v>
      </c>
      <c r="G1386">
        <v>29</v>
      </c>
      <c r="H1386" t="s">
        <v>70</v>
      </c>
      <c r="I1386">
        <v>75</v>
      </c>
    </row>
    <row r="1387" spans="1:9" x14ac:dyDescent="0.3">
      <c r="A1387">
        <v>203</v>
      </c>
      <c r="B1387" t="s">
        <v>33</v>
      </c>
      <c r="C1387" t="s">
        <v>20</v>
      </c>
      <c r="D1387">
        <v>0</v>
      </c>
      <c r="E1387">
        <v>0</v>
      </c>
      <c r="F1387">
        <v>0</v>
      </c>
      <c r="G1387">
        <v>7</v>
      </c>
      <c r="H1387" t="s">
        <v>60</v>
      </c>
      <c r="I1387">
        <v>7</v>
      </c>
    </row>
    <row r="1388" spans="1:9" x14ac:dyDescent="0.3">
      <c r="A1388">
        <v>204</v>
      </c>
      <c r="B1388" t="s">
        <v>7</v>
      </c>
      <c r="C1388" t="s">
        <v>16</v>
      </c>
      <c r="D1388">
        <v>112</v>
      </c>
      <c r="E1388">
        <v>77</v>
      </c>
      <c r="F1388">
        <v>0</v>
      </c>
      <c r="G1388">
        <v>68</v>
      </c>
      <c r="H1388" t="s">
        <v>61</v>
      </c>
      <c r="I1388">
        <v>257</v>
      </c>
    </row>
    <row r="1389" spans="1:9" x14ac:dyDescent="0.3">
      <c r="A1389">
        <v>204</v>
      </c>
      <c r="B1389" t="s">
        <v>33</v>
      </c>
      <c r="C1389" t="s">
        <v>8</v>
      </c>
      <c r="D1389">
        <v>0</v>
      </c>
      <c r="E1389">
        <v>0</v>
      </c>
      <c r="F1389">
        <v>2</v>
      </c>
      <c r="G1389">
        <v>0</v>
      </c>
      <c r="H1389" t="s">
        <v>8</v>
      </c>
      <c r="I1389">
        <v>2</v>
      </c>
    </row>
    <row r="1390" spans="1:9" x14ac:dyDescent="0.3">
      <c r="A1390">
        <v>204</v>
      </c>
      <c r="B1390" t="s">
        <v>33</v>
      </c>
      <c r="C1390" t="s">
        <v>9</v>
      </c>
      <c r="D1390">
        <v>0</v>
      </c>
      <c r="E1390">
        <v>0</v>
      </c>
      <c r="F1390">
        <v>7</v>
      </c>
      <c r="G1390">
        <v>0</v>
      </c>
      <c r="H1390" t="s">
        <v>9</v>
      </c>
      <c r="I1390">
        <v>7</v>
      </c>
    </row>
    <row r="1391" spans="1:9" x14ac:dyDescent="0.3">
      <c r="A1391">
        <v>205</v>
      </c>
      <c r="B1391" t="s">
        <v>33</v>
      </c>
      <c r="C1391" t="s">
        <v>9</v>
      </c>
      <c r="D1391">
        <v>0</v>
      </c>
      <c r="E1391">
        <v>0</v>
      </c>
      <c r="F1391">
        <v>10</v>
      </c>
      <c r="G1391">
        <v>0</v>
      </c>
      <c r="H1391" t="s">
        <v>9</v>
      </c>
      <c r="I1391">
        <v>10</v>
      </c>
    </row>
    <row r="1392" spans="1:9" x14ac:dyDescent="0.3">
      <c r="A1392">
        <v>205</v>
      </c>
      <c r="B1392" t="s">
        <v>33</v>
      </c>
      <c r="C1392" t="s">
        <v>11</v>
      </c>
      <c r="D1392">
        <v>63</v>
      </c>
      <c r="E1392">
        <v>0</v>
      </c>
      <c r="F1392">
        <v>0</v>
      </c>
      <c r="G1392">
        <v>78</v>
      </c>
      <c r="H1392" t="s">
        <v>63</v>
      </c>
      <c r="I1392">
        <v>141</v>
      </c>
    </row>
    <row r="1393" spans="1:9" x14ac:dyDescent="0.3">
      <c r="A1393">
        <v>206</v>
      </c>
      <c r="B1393" t="s">
        <v>7</v>
      </c>
      <c r="C1393" t="s">
        <v>14</v>
      </c>
      <c r="D1393">
        <v>29</v>
      </c>
      <c r="E1393">
        <v>15</v>
      </c>
      <c r="F1393">
        <v>0</v>
      </c>
      <c r="G1393">
        <v>43</v>
      </c>
      <c r="H1393" t="s">
        <v>62</v>
      </c>
      <c r="I1393">
        <v>87</v>
      </c>
    </row>
    <row r="1394" spans="1:9" x14ac:dyDescent="0.3">
      <c r="A1394">
        <v>206</v>
      </c>
      <c r="B1394" t="s">
        <v>7</v>
      </c>
      <c r="C1394" t="s">
        <v>15</v>
      </c>
      <c r="D1394">
        <v>5</v>
      </c>
      <c r="E1394">
        <v>12</v>
      </c>
      <c r="F1394">
        <v>0</v>
      </c>
      <c r="G1394">
        <v>19</v>
      </c>
      <c r="H1394" t="s">
        <v>65</v>
      </c>
      <c r="I1394">
        <v>36</v>
      </c>
    </row>
    <row r="1395" spans="1:9" x14ac:dyDescent="0.3">
      <c r="A1395">
        <v>206</v>
      </c>
      <c r="B1395" t="s">
        <v>7</v>
      </c>
      <c r="C1395" t="s">
        <v>21</v>
      </c>
      <c r="D1395">
        <v>4</v>
      </c>
      <c r="E1395">
        <v>2</v>
      </c>
      <c r="F1395">
        <v>0</v>
      </c>
      <c r="G1395">
        <v>8</v>
      </c>
      <c r="H1395" t="s">
        <v>74</v>
      </c>
      <c r="I1395">
        <v>14</v>
      </c>
    </row>
    <row r="1396" spans="1:9" x14ac:dyDescent="0.3">
      <c r="A1396">
        <v>206</v>
      </c>
      <c r="B1396" t="s">
        <v>33</v>
      </c>
      <c r="C1396" t="s">
        <v>8</v>
      </c>
      <c r="D1396">
        <v>0</v>
      </c>
      <c r="E1396">
        <v>0</v>
      </c>
      <c r="F1396">
        <v>1</v>
      </c>
      <c r="G1396">
        <v>0</v>
      </c>
      <c r="H1396" t="s">
        <v>8</v>
      </c>
      <c r="I1396">
        <v>1</v>
      </c>
    </row>
    <row r="1397" spans="1:9" x14ac:dyDescent="0.3">
      <c r="A1397">
        <v>206</v>
      </c>
      <c r="B1397" t="s">
        <v>33</v>
      </c>
      <c r="C1397" t="s">
        <v>9</v>
      </c>
      <c r="D1397">
        <v>0</v>
      </c>
      <c r="E1397">
        <v>0</v>
      </c>
      <c r="F1397">
        <v>29</v>
      </c>
      <c r="G1397">
        <v>0</v>
      </c>
      <c r="H1397" t="s">
        <v>9</v>
      </c>
      <c r="I1397">
        <v>29</v>
      </c>
    </row>
    <row r="1398" spans="1:9" x14ac:dyDescent="0.3">
      <c r="A1398">
        <v>206</v>
      </c>
      <c r="B1398" t="s">
        <v>33</v>
      </c>
      <c r="C1398" t="s">
        <v>15</v>
      </c>
      <c r="D1398">
        <v>5</v>
      </c>
      <c r="E1398">
        <v>0</v>
      </c>
      <c r="F1398">
        <v>0</v>
      </c>
      <c r="G1398">
        <v>4</v>
      </c>
      <c r="H1398" t="s">
        <v>65</v>
      </c>
      <c r="I1398">
        <v>9</v>
      </c>
    </row>
    <row r="1399" spans="1:9" x14ac:dyDescent="0.3">
      <c r="A1399">
        <v>206</v>
      </c>
      <c r="B1399" t="s">
        <v>33</v>
      </c>
      <c r="C1399" t="s">
        <v>16</v>
      </c>
      <c r="D1399">
        <v>10</v>
      </c>
      <c r="E1399">
        <v>8</v>
      </c>
      <c r="F1399">
        <v>0</v>
      </c>
      <c r="G1399">
        <v>7</v>
      </c>
      <c r="H1399" t="s">
        <v>61</v>
      </c>
      <c r="I1399">
        <v>25</v>
      </c>
    </row>
    <row r="1400" spans="1:9" x14ac:dyDescent="0.3">
      <c r="A1400">
        <v>206</v>
      </c>
      <c r="B1400" t="s">
        <v>33</v>
      </c>
      <c r="C1400" t="s">
        <v>19</v>
      </c>
      <c r="D1400">
        <v>37</v>
      </c>
      <c r="E1400">
        <v>11</v>
      </c>
      <c r="F1400">
        <v>1</v>
      </c>
      <c r="G1400">
        <v>22</v>
      </c>
      <c r="H1400" t="s">
        <v>70</v>
      </c>
      <c r="I1400">
        <v>71</v>
      </c>
    </row>
    <row r="1401" spans="1:9" x14ac:dyDescent="0.3">
      <c r="A1401">
        <v>206</v>
      </c>
      <c r="B1401" t="s">
        <v>33</v>
      </c>
      <c r="C1401" t="s">
        <v>21</v>
      </c>
      <c r="D1401">
        <v>12</v>
      </c>
      <c r="E1401">
        <v>13</v>
      </c>
      <c r="F1401">
        <v>0</v>
      </c>
      <c r="G1401">
        <v>16</v>
      </c>
      <c r="H1401" t="s">
        <v>74</v>
      </c>
      <c r="I1401">
        <v>41</v>
      </c>
    </row>
    <row r="1402" spans="1:9" x14ac:dyDescent="0.3">
      <c r="A1402">
        <v>206</v>
      </c>
      <c r="B1402" t="s">
        <v>33</v>
      </c>
      <c r="C1402" t="s">
        <v>22</v>
      </c>
      <c r="D1402">
        <v>54</v>
      </c>
      <c r="E1402">
        <v>2</v>
      </c>
      <c r="F1402">
        <v>0</v>
      </c>
      <c r="G1402">
        <v>35</v>
      </c>
      <c r="H1402" t="s">
        <v>76</v>
      </c>
      <c r="I1402">
        <v>91</v>
      </c>
    </row>
    <row r="1403" spans="1:9" x14ac:dyDescent="0.3">
      <c r="A1403">
        <v>207</v>
      </c>
      <c r="B1403" t="s">
        <v>7</v>
      </c>
      <c r="C1403" t="s">
        <v>11</v>
      </c>
      <c r="D1403">
        <v>15</v>
      </c>
      <c r="E1403">
        <v>0</v>
      </c>
      <c r="F1403">
        <v>0</v>
      </c>
      <c r="G1403">
        <v>9</v>
      </c>
      <c r="H1403" t="s">
        <v>63</v>
      </c>
      <c r="I1403">
        <v>24</v>
      </c>
    </row>
    <row r="1404" spans="1:9" x14ac:dyDescent="0.3">
      <c r="A1404">
        <v>207</v>
      </c>
      <c r="B1404" t="s">
        <v>7</v>
      </c>
      <c r="C1404" t="s">
        <v>14</v>
      </c>
      <c r="D1404">
        <v>4</v>
      </c>
      <c r="E1404">
        <v>0</v>
      </c>
      <c r="F1404">
        <v>0</v>
      </c>
      <c r="G1404">
        <v>6</v>
      </c>
      <c r="H1404" t="s">
        <v>62</v>
      </c>
      <c r="I1404">
        <v>10</v>
      </c>
    </row>
    <row r="1405" spans="1:9" x14ac:dyDescent="0.3">
      <c r="A1405">
        <v>207</v>
      </c>
      <c r="B1405" t="s">
        <v>7</v>
      </c>
      <c r="C1405" t="s">
        <v>15</v>
      </c>
      <c r="D1405">
        <v>3</v>
      </c>
      <c r="E1405">
        <v>0</v>
      </c>
      <c r="F1405">
        <v>0</v>
      </c>
      <c r="G1405">
        <v>7</v>
      </c>
      <c r="H1405" t="s">
        <v>65</v>
      </c>
      <c r="I1405">
        <v>10</v>
      </c>
    </row>
    <row r="1406" spans="1:9" x14ac:dyDescent="0.3">
      <c r="A1406">
        <v>207</v>
      </c>
      <c r="B1406" t="s">
        <v>7</v>
      </c>
      <c r="C1406" t="s">
        <v>16</v>
      </c>
      <c r="D1406">
        <v>4</v>
      </c>
      <c r="E1406">
        <v>0</v>
      </c>
      <c r="F1406">
        <v>0</v>
      </c>
      <c r="G1406">
        <v>2</v>
      </c>
      <c r="H1406" t="s">
        <v>61</v>
      </c>
      <c r="I1406">
        <v>6</v>
      </c>
    </row>
    <row r="1407" spans="1:9" x14ac:dyDescent="0.3">
      <c r="A1407">
        <v>207</v>
      </c>
      <c r="B1407" t="s">
        <v>7</v>
      </c>
      <c r="C1407" t="s">
        <v>19</v>
      </c>
      <c r="D1407">
        <v>10</v>
      </c>
      <c r="E1407">
        <v>0</v>
      </c>
      <c r="F1407">
        <v>0</v>
      </c>
      <c r="G1407">
        <v>7</v>
      </c>
      <c r="H1407" t="s">
        <v>70</v>
      </c>
      <c r="I1407">
        <v>17</v>
      </c>
    </row>
    <row r="1408" spans="1:9" x14ac:dyDescent="0.3">
      <c r="A1408">
        <v>207</v>
      </c>
      <c r="B1408" t="s">
        <v>7</v>
      </c>
      <c r="C1408" t="s">
        <v>21</v>
      </c>
      <c r="D1408">
        <v>59</v>
      </c>
      <c r="E1408">
        <v>35</v>
      </c>
      <c r="F1408">
        <v>0</v>
      </c>
      <c r="G1408">
        <v>46</v>
      </c>
      <c r="H1408" t="s">
        <v>74</v>
      </c>
      <c r="I1408">
        <v>140</v>
      </c>
    </row>
    <row r="1409" spans="1:9" x14ac:dyDescent="0.3">
      <c r="A1409">
        <v>207</v>
      </c>
      <c r="B1409" t="s">
        <v>7</v>
      </c>
      <c r="C1409" t="s">
        <v>22</v>
      </c>
      <c r="D1409">
        <v>15</v>
      </c>
      <c r="E1409">
        <v>6</v>
      </c>
      <c r="F1409">
        <v>0</v>
      </c>
      <c r="G1409">
        <v>11</v>
      </c>
      <c r="H1409" t="s">
        <v>76</v>
      </c>
      <c r="I1409">
        <v>32</v>
      </c>
    </row>
    <row r="1410" spans="1:9" x14ac:dyDescent="0.3">
      <c r="A1410">
        <v>207</v>
      </c>
      <c r="B1410" t="s">
        <v>33</v>
      </c>
      <c r="C1410" t="s">
        <v>8</v>
      </c>
      <c r="D1410">
        <v>0</v>
      </c>
      <c r="E1410">
        <v>0</v>
      </c>
      <c r="F1410">
        <v>3</v>
      </c>
      <c r="G1410">
        <v>0</v>
      </c>
      <c r="H1410" t="s">
        <v>8</v>
      </c>
      <c r="I1410">
        <v>3</v>
      </c>
    </row>
    <row r="1411" spans="1:9" x14ac:dyDescent="0.3">
      <c r="A1411">
        <v>207</v>
      </c>
      <c r="B1411" t="s">
        <v>33</v>
      </c>
      <c r="C1411" t="s">
        <v>9</v>
      </c>
      <c r="D1411">
        <v>0</v>
      </c>
      <c r="E1411">
        <v>0</v>
      </c>
      <c r="F1411">
        <v>56</v>
      </c>
      <c r="G1411">
        <v>0</v>
      </c>
      <c r="H1411" t="s">
        <v>9</v>
      </c>
      <c r="I1411">
        <v>56</v>
      </c>
    </row>
    <row r="1412" spans="1:9" x14ac:dyDescent="0.3">
      <c r="A1412">
        <v>207</v>
      </c>
      <c r="B1412" t="s">
        <v>33</v>
      </c>
      <c r="C1412" t="s">
        <v>11</v>
      </c>
      <c r="D1412">
        <v>11</v>
      </c>
      <c r="E1412">
        <v>0</v>
      </c>
      <c r="F1412">
        <v>0</v>
      </c>
      <c r="G1412">
        <v>6</v>
      </c>
      <c r="H1412" t="s">
        <v>63</v>
      </c>
      <c r="I1412">
        <v>17</v>
      </c>
    </row>
    <row r="1413" spans="1:9" x14ac:dyDescent="0.3">
      <c r="A1413">
        <v>207</v>
      </c>
      <c r="B1413" t="s">
        <v>33</v>
      </c>
      <c r="C1413" t="s">
        <v>21</v>
      </c>
      <c r="D1413">
        <v>39</v>
      </c>
      <c r="E1413">
        <v>84</v>
      </c>
      <c r="F1413">
        <v>12</v>
      </c>
      <c r="G1413">
        <v>55</v>
      </c>
      <c r="H1413" t="s">
        <v>74</v>
      </c>
      <c r="I1413">
        <v>190</v>
      </c>
    </row>
    <row r="1414" spans="1:9" x14ac:dyDescent="0.3">
      <c r="A1414">
        <v>208</v>
      </c>
      <c r="B1414" t="s">
        <v>7</v>
      </c>
      <c r="C1414" t="s">
        <v>11</v>
      </c>
      <c r="D1414">
        <v>18</v>
      </c>
      <c r="E1414">
        <v>0</v>
      </c>
      <c r="F1414">
        <v>0</v>
      </c>
      <c r="G1414">
        <v>22</v>
      </c>
      <c r="H1414" t="s">
        <v>63</v>
      </c>
      <c r="I1414">
        <v>40</v>
      </c>
    </row>
    <row r="1415" spans="1:9" x14ac:dyDescent="0.3">
      <c r="A1415">
        <v>208</v>
      </c>
      <c r="B1415" t="s">
        <v>7</v>
      </c>
      <c r="C1415" t="s">
        <v>14</v>
      </c>
      <c r="D1415">
        <v>25</v>
      </c>
      <c r="E1415">
        <v>0</v>
      </c>
      <c r="F1415">
        <v>1</v>
      </c>
      <c r="G1415">
        <v>18</v>
      </c>
      <c r="H1415" t="s">
        <v>62</v>
      </c>
      <c r="I1415">
        <v>44</v>
      </c>
    </row>
    <row r="1416" spans="1:9" x14ac:dyDescent="0.3">
      <c r="A1416">
        <v>208</v>
      </c>
      <c r="B1416" t="s">
        <v>7</v>
      </c>
      <c r="C1416" t="s">
        <v>15</v>
      </c>
      <c r="D1416">
        <v>5</v>
      </c>
      <c r="E1416">
        <v>0</v>
      </c>
      <c r="F1416">
        <v>0</v>
      </c>
      <c r="G1416">
        <v>12</v>
      </c>
      <c r="H1416" t="s">
        <v>65</v>
      </c>
      <c r="I1416">
        <v>17</v>
      </c>
    </row>
    <row r="1417" spans="1:9" x14ac:dyDescent="0.3">
      <c r="A1417">
        <v>208</v>
      </c>
      <c r="B1417" t="s">
        <v>7</v>
      </c>
      <c r="C1417" t="s">
        <v>16</v>
      </c>
      <c r="D1417">
        <v>7</v>
      </c>
      <c r="E1417">
        <v>0</v>
      </c>
      <c r="F1417">
        <v>0</v>
      </c>
      <c r="G1417">
        <v>8</v>
      </c>
      <c r="H1417" t="s">
        <v>61</v>
      </c>
      <c r="I1417">
        <v>15</v>
      </c>
    </row>
    <row r="1418" spans="1:9" x14ac:dyDescent="0.3">
      <c r="A1418">
        <v>208</v>
      </c>
      <c r="B1418" t="s">
        <v>7</v>
      </c>
      <c r="C1418" t="s">
        <v>19</v>
      </c>
      <c r="D1418">
        <v>28</v>
      </c>
      <c r="E1418">
        <v>16</v>
      </c>
      <c r="F1418">
        <v>0</v>
      </c>
      <c r="G1418">
        <v>24</v>
      </c>
      <c r="H1418" t="s">
        <v>70</v>
      </c>
      <c r="I1418">
        <v>68</v>
      </c>
    </row>
    <row r="1419" spans="1:9" x14ac:dyDescent="0.3">
      <c r="A1419">
        <v>208</v>
      </c>
      <c r="B1419" t="s">
        <v>7</v>
      </c>
      <c r="C1419" t="s">
        <v>21</v>
      </c>
      <c r="D1419">
        <v>0</v>
      </c>
      <c r="E1419">
        <v>0</v>
      </c>
      <c r="F1419">
        <v>0</v>
      </c>
      <c r="G1419">
        <v>1</v>
      </c>
      <c r="H1419" t="s">
        <v>74</v>
      </c>
      <c r="I1419">
        <v>1</v>
      </c>
    </row>
    <row r="1420" spans="1:9" x14ac:dyDescent="0.3">
      <c r="A1420">
        <v>208</v>
      </c>
      <c r="B1420" t="s">
        <v>7</v>
      </c>
      <c r="C1420" t="s">
        <v>22</v>
      </c>
      <c r="D1420">
        <v>18</v>
      </c>
      <c r="E1420">
        <v>6</v>
      </c>
      <c r="F1420">
        <v>0</v>
      </c>
      <c r="G1420">
        <v>25</v>
      </c>
      <c r="H1420" t="s">
        <v>76</v>
      </c>
      <c r="I1420">
        <v>49</v>
      </c>
    </row>
    <row r="1421" spans="1:9" x14ac:dyDescent="0.3">
      <c r="A1421">
        <v>208</v>
      </c>
      <c r="B1421" t="s">
        <v>33</v>
      </c>
      <c r="C1421" t="s">
        <v>8</v>
      </c>
      <c r="D1421">
        <v>0</v>
      </c>
      <c r="E1421">
        <v>0</v>
      </c>
      <c r="F1421">
        <v>1</v>
      </c>
      <c r="G1421">
        <v>0</v>
      </c>
      <c r="H1421" t="s">
        <v>8</v>
      </c>
      <c r="I1421">
        <v>1</v>
      </c>
    </row>
    <row r="1422" spans="1:9" x14ac:dyDescent="0.3">
      <c r="A1422">
        <v>208</v>
      </c>
      <c r="B1422" t="s">
        <v>33</v>
      </c>
      <c r="C1422" t="s">
        <v>9</v>
      </c>
      <c r="D1422">
        <v>0</v>
      </c>
      <c r="E1422">
        <v>0</v>
      </c>
      <c r="F1422">
        <v>24</v>
      </c>
      <c r="G1422">
        <v>0</v>
      </c>
      <c r="H1422" t="s">
        <v>9</v>
      </c>
      <c r="I1422">
        <v>24</v>
      </c>
    </row>
    <row r="1423" spans="1:9" x14ac:dyDescent="0.3">
      <c r="A1423">
        <v>208</v>
      </c>
      <c r="B1423" t="s">
        <v>33</v>
      </c>
      <c r="C1423" t="s">
        <v>21</v>
      </c>
      <c r="D1423">
        <v>13</v>
      </c>
      <c r="E1423">
        <v>57</v>
      </c>
      <c r="F1423">
        <v>4</v>
      </c>
      <c r="G1423">
        <v>23</v>
      </c>
      <c r="H1423" t="s">
        <v>74</v>
      </c>
      <c r="I1423">
        <v>97</v>
      </c>
    </row>
    <row r="1424" spans="1:9" x14ac:dyDescent="0.3">
      <c r="A1424">
        <v>209</v>
      </c>
      <c r="B1424" t="s">
        <v>7</v>
      </c>
      <c r="C1424" t="s">
        <v>11</v>
      </c>
      <c r="D1424">
        <v>24</v>
      </c>
      <c r="E1424">
        <v>0</v>
      </c>
      <c r="F1424">
        <v>0</v>
      </c>
      <c r="G1424">
        <v>18</v>
      </c>
      <c r="H1424" t="s">
        <v>63</v>
      </c>
      <c r="I1424">
        <v>42</v>
      </c>
    </row>
    <row r="1425" spans="1:9" x14ac:dyDescent="0.3">
      <c r="A1425">
        <v>209</v>
      </c>
      <c r="B1425" t="s">
        <v>7</v>
      </c>
      <c r="C1425" t="s">
        <v>14</v>
      </c>
      <c r="D1425">
        <v>40</v>
      </c>
      <c r="E1425">
        <v>2</v>
      </c>
      <c r="F1425">
        <v>1</v>
      </c>
      <c r="G1425">
        <v>29</v>
      </c>
      <c r="H1425" t="s">
        <v>62</v>
      </c>
      <c r="I1425">
        <v>72</v>
      </c>
    </row>
    <row r="1426" spans="1:9" x14ac:dyDescent="0.3">
      <c r="A1426">
        <v>209</v>
      </c>
      <c r="B1426" t="s">
        <v>7</v>
      </c>
      <c r="C1426" t="s">
        <v>15</v>
      </c>
      <c r="D1426">
        <v>1</v>
      </c>
      <c r="E1426">
        <v>0</v>
      </c>
      <c r="F1426">
        <v>0</v>
      </c>
      <c r="G1426">
        <v>11</v>
      </c>
      <c r="H1426" t="s">
        <v>65</v>
      </c>
      <c r="I1426">
        <v>12</v>
      </c>
    </row>
    <row r="1427" spans="1:9" x14ac:dyDescent="0.3">
      <c r="A1427">
        <v>209</v>
      </c>
      <c r="B1427" t="s">
        <v>7</v>
      </c>
      <c r="C1427" t="s">
        <v>16</v>
      </c>
      <c r="D1427">
        <v>7</v>
      </c>
      <c r="E1427">
        <v>0</v>
      </c>
      <c r="F1427">
        <v>0</v>
      </c>
      <c r="G1427">
        <v>10</v>
      </c>
      <c r="H1427" t="s">
        <v>61</v>
      </c>
      <c r="I1427">
        <v>17</v>
      </c>
    </row>
    <row r="1428" spans="1:9" x14ac:dyDescent="0.3">
      <c r="A1428">
        <v>209</v>
      </c>
      <c r="B1428" t="s">
        <v>7</v>
      </c>
      <c r="C1428" t="s">
        <v>19</v>
      </c>
      <c r="D1428">
        <v>11</v>
      </c>
      <c r="E1428">
        <v>20</v>
      </c>
      <c r="F1428">
        <v>2</v>
      </c>
      <c r="G1428">
        <v>17</v>
      </c>
      <c r="H1428" t="s">
        <v>70</v>
      </c>
      <c r="I1428">
        <v>50</v>
      </c>
    </row>
    <row r="1429" spans="1:9" x14ac:dyDescent="0.3">
      <c r="A1429">
        <v>209</v>
      </c>
      <c r="B1429" t="s">
        <v>7</v>
      </c>
      <c r="C1429" t="s">
        <v>21</v>
      </c>
      <c r="D1429">
        <v>0</v>
      </c>
      <c r="E1429">
        <v>0</v>
      </c>
      <c r="F1429">
        <v>0</v>
      </c>
      <c r="G1429">
        <v>1</v>
      </c>
      <c r="H1429" t="s">
        <v>74</v>
      </c>
      <c r="I1429">
        <v>1</v>
      </c>
    </row>
    <row r="1430" spans="1:9" x14ac:dyDescent="0.3">
      <c r="A1430">
        <v>209</v>
      </c>
      <c r="B1430" t="s">
        <v>7</v>
      </c>
      <c r="C1430" t="s">
        <v>22</v>
      </c>
      <c r="D1430">
        <v>7</v>
      </c>
      <c r="E1430">
        <v>13</v>
      </c>
      <c r="F1430">
        <v>0</v>
      </c>
      <c r="G1430">
        <v>14</v>
      </c>
      <c r="H1430" t="s">
        <v>76</v>
      </c>
      <c r="I1430">
        <v>34</v>
      </c>
    </row>
    <row r="1431" spans="1:9" x14ac:dyDescent="0.3">
      <c r="A1431">
        <v>209</v>
      </c>
      <c r="B1431" t="s">
        <v>33</v>
      </c>
      <c r="C1431" t="s">
        <v>8</v>
      </c>
      <c r="D1431">
        <v>0</v>
      </c>
      <c r="E1431">
        <v>0</v>
      </c>
      <c r="F1431">
        <v>1</v>
      </c>
      <c r="G1431">
        <v>0</v>
      </c>
      <c r="H1431" t="s">
        <v>8</v>
      </c>
      <c r="I1431">
        <v>1</v>
      </c>
    </row>
    <row r="1432" spans="1:9" x14ac:dyDescent="0.3">
      <c r="A1432">
        <v>209</v>
      </c>
      <c r="B1432" t="s">
        <v>33</v>
      </c>
      <c r="C1432" t="s">
        <v>9</v>
      </c>
      <c r="D1432">
        <v>0</v>
      </c>
      <c r="E1432">
        <v>0</v>
      </c>
      <c r="F1432">
        <v>72</v>
      </c>
      <c r="G1432">
        <v>0</v>
      </c>
      <c r="H1432" t="s">
        <v>9</v>
      </c>
      <c r="I1432">
        <v>72</v>
      </c>
    </row>
    <row r="1433" spans="1:9" x14ac:dyDescent="0.3">
      <c r="A1433">
        <v>209</v>
      </c>
      <c r="B1433" t="s">
        <v>33</v>
      </c>
      <c r="C1433" t="s">
        <v>21</v>
      </c>
      <c r="D1433">
        <v>24</v>
      </c>
      <c r="E1433">
        <v>28</v>
      </c>
      <c r="F1433">
        <v>0</v>
      </c>
      <c r="G1433">
        <v>24</v>
      </c>
      <c r="H1433" t="s">
        <v>74</v>
      </c>
      <c r="I1433">
        <v>76</v>
      </c>
    </row>
    <row r="1434" spans="1:9" x14ac:dyDescent="0.3">
      <c r="A1434">
        <v>210</v>
      </c>
      <c r="B1434" t="s">
        <v>7</v>
      </c>
      <c r="C1434" t="s">
        <v>12</v>
      </c>
      <c r="D1434">
        <v>4</v>
      </c>
      <c r="E1434">
        <v>0</v>
      </c>
      <c r="F1434">
        <v>0</v>
      </c>
      <c r="G1434">
        <v>4</v>
      </c>
      <c r="H1434" t="s">
        <v>64</v>
      </c>
      <c r="I1434">
        <v>8</v>
      </c>
    </row>
    <row r="1435" spans="1:9" x14ac:dyDescent="0.3">
      <c r="A1435">
        <v>210</v>
      </c>
      <c r="B1435" t="s">
        <v>7</v>
      </c>
      <c r="C1435" t="s">
        <v>14</v>
      </c>
      <c r="D1435">
        <v>9</v>
      </c>
      <c r="E1435">
        <v>0</v>
      </c>
      <c r="F1435">
        <v>0</v>
      </c>
      <c r="G1435">
        <v>5</v>
      </c>
      <c r="H1435" t="s">
        <v>62</v>
      </c>
      <c r="I1435">
        <v>14</v>
      </c>
    </row>
    <row r="1436" spans="1:9" x14ac:dyDescent="0.3">
      <c r="A1436">
        <v>210</v>
      </c>
      <c r="B1436" t="s">
        <v>7</v>
      </c>
      <c r="C1436" t="s">
        <v>15</v>
      </c>
      <c r="D1436">
        <v>19</v>
      </c>
      <c r="E1436">
        <v>0</v>
      </c>
      <c r="F1436">
        <v>0</v>
      </c>
      <c r="G1436">
        <v>10</v>
      </c>
      <c r="H1436" t="s">
        <v>65</v>
      </c>
      <c r="I1436">
        <v>29</v>
      </c>
    </row>
    <row r="1437" spans="1:9" x14ac:dyDescent="0.3">
      <c r="A1437">
        <v>210</v>
      </c>
      <c r="B1437" t="s">
        <v>7</v>
      </c>
      <c r="C1437" t="s">
        <v>18</v>
      </c>
      <c r="D1437">
        <v>2</v>
      </c>
      <c r="E1437">
        <v>0</v>
      </c>
      <c r="F1437">
        <v>0</v>
      </c>
      <c r="G1437">
        <v>3</v>
      </c>
      <c r="H1437" t="s">
        <v>72</v>
      </c>
      <c r="I1437">
        <v>5</v>
      </c>
    </row>
    <row r="1438" spans="1:9" x14ac:dyDescent="0.3">
      <c r="A1438">
        <v>210</v>
      </c>
      <c r="B1438" t="s">
        <v>7</v>
      </c>
      <c r="C1438" t="s">
        <v>19</v>
      </c>
      <c r="D1438">
        <v>32</v>
      </c>
      <c r="E1438">
        <v>0</v>
      </c>
      <c r="F1438">
        <v>0</v>
      </c>
      <c r="G1438">
        <v>12</v>
      </c>
      <c r="H1438" t="s">
        <v>70</v>
      </c>
      <c r="I1438">
        <v>44</v>
      </c>
    </row>
    <row r="1439" spans="1:9" x14ac:dyDescent="0.3">
      <c r="A1439">
        <v>210</v>
      </c>
      <c r="B1439" t="s">
        <v>7</v>
      </c>
      <c r="C1439" t="s">
        <v>20</v>
      </c>
      <c r="D1439">
        <v>0</v>
      </c>
      <c r="E1439">
        <v>0</v>
      </c>
      <c r="F1439">
        <v>0</v>
      </c>
      <c r="G1439">
        <v>1</v>
      </c>
      <c r="H1439" t="s">
        <v>60</v>
      </c>
      <c r="I1439">
        <v>1</v>
      </c>
    </row>
    <row r="1440" spans="1:9" x14ac:dyDescent="0.3">
      <c r="A1440">
        <v>210</v>
      </c>
      <c r="B1440" t="s">
        <v>7</v>
      </c>
      <c r="C1440" t="s">
        <v>22</v>
      </c>
      <c r="D1440">
        <v>11</v>
      </c>
      <c r="E1440">
        <v>56</v>
      </c>
      <c r="F1440">
        <v>2</v>
      </c>
      <c r="G1440">
        <v>26</v>
      </c>
      <c r="H1440" t="s">
        <v>76</v>
      </c>
      <c r="I1440">
        <v>95</v>
      </c>
    </row>
    <row r="1441" spans="1:9" x14ac:dyDescent="0.3">
      <c r="A1441">
        <v>210</v>
      </c>
      <c r="B1441" t="s">
        <v>33</v>
      </c>
      <c r="C1441" t="s">
        <v>8</v>
      </c>
      <c r="D1441">
        <v>0</v>
      </c>
      <c r="E1441">
        <v>0</v>
      </c>
      <c r="F1441">
        <v>2</v>
      </c>
      <c r="G1441">
        <v>0</v>
      </c>
      <c r="H1441" t="s">
        <v>8</v>
      </c>
      <c r="I1441">
        <v>2</v>
      </c>
    </row>
    <row r="1442" spans="1:9" x14ac:dyDescent="0.3">
      <c r="A1442">
        <v>210</v>
      </c>
      <c r="B1442" t="s">
        <v>33</v>
      </c>
      <c r="C1442" t="s">
        <v>9</v>
      </c>
      <c r="D1442">
        <v>0</v>
      </c>
      <c r="E1442">
        <v>0</v>
      </c>
      <c r="F1442">
        <v>45</v>
      </c>
      <c r="G1442">
        <v>0</v>
      </c>
      <c r="H1442" t="s">
        <v>9</v>
      </c>
      <c r="I1442">
        <v>45</v>
      </c>
    </row>
    <row r="1443" spans="1:9" x14ac:dyDescent="0.3">
      <c r="A1443">
        <v>210</v>
      </c>
      <c r="B1443" t="s">
        <v>33</v>
      </c>
      <c r="C1443" t="s">
        <v>11</v>
      </c>
      <c r="D1443">
        <v>9</v>
      </c>
      <c r="E1443">
        <v>0</v>
      </c>
      <c r="F1443">
        <v>0</v>
      </c>
      <c r="G1443">
        <v>7</v>
      </c>
      <c r="H1443" t="s">
        <v>63</v>
      </c>
      <c r="I1443">
        <v>16</v>
      </c>
    </row>
    <row r="1444" spans="1:9" x14ac:dyDescent="0.3">
      <c r="A1444">
        <v>210</v>
      </c>
      <c r="B1444" t="s">
        <v>33</v>
      </c>
      <c r="C1444" t="s">
        <v>15</v>
      </c>
      <c r="D1444">
        <v>13</v>
      </c>
      <c r="E1444">
        <v>0</v>
      </c>
      <c r="F1444">
        <v>0</v>
      </c>
      <c r="G1444">
        <v>12</v>
      </c>
      <c r="H1444" t="s">
        <v>65</v>
      </c>
      <c r="I1444">
        <v>25</v>
      </c>
    </row>
    <row r="1445" spans="1:9" x14ac:dyDescent="0.3">
      <c r="A1445">
        <v>210</v>
      </c>
      <c r="B1445" t="s">
        <v>33</v>
      </c>
      <c r="C1445" t="s">
        <v>16</v>
      </c>
      <c r="D1445">
        <v>4</v>
      </c>
      <c r="E1445">
        <v>5</v>
      </c>
      <c r="F1445">
        <v>0</v>
      </c>
      <c r="G1445">
        <v>11</v>
      </c>
      <c r="H1445" t="s">
        <v>61</v>
      </c>
      <c r="I1445">
        <v>20</v>
      </c>
    </row>
    <row r="1446" spans="1:9" x14ac:dyDescent="0.3">
      <c r="A1446">
        <v>210</v>
      </c>
      <c r="B1446" t="s">
        <v>33</v>
      </c>
      <c r="C1446" t="s">
        <v>19</v>
      </c>
      <c r="D1446">
        <v>37</v>
      </c>
      <c r="E1446">
        <v>0</v>
      </c>
      <c r="F1446">
        <v>0</v>
      </c>
      <c r="G1446">
        <v>13</v>
      </c>
      <c r="H1446" t="s">
        <v>70</v>
      </c>
      <c r="I1446">
        <v>50</v>
      </c>
    </row>
    <row r="1447" spans="1:9" x14ac:dyDescent="0.3">
      <c r="A1447">
        <v>210</v>
      </c>
      <c r="B1447" t="s">
        <v>33</v>
      </c>
      <c r="C1447" t="s">
        <v>20</v>
      </c>
      <c r="D1447">
        <v>7</v>
      </c>
      <c r="E1447">
        <v>6</v>
      </c>
      <c r="F1447">
        <v>1</v>
      </c>
      <c r="G1447">
        <v>9</v>
      </c>
      <c r="H1447" t="s">
        <v>60</v>
      </c>
      <c r="I1447">
        <v>23</v>
      </c>
    </row>
    <row r="1448" spans="1:9" x14ac:dyDescent="0.3">
      <c r="A1448">
        <v>210</v>
      </c>
      <c r="B1448" t="s">
        <v>33</v>
      </c>
      <c r="C1448" t="s">
        <v>22</v>
      </c>
      <c r="D1448">
        <v>0</v>
      </c>
      <c r="E1448">
        <v>3</v>
      </c>
      <c r="F1448">
        <v>0</v>
      </c>
      <c r="G1448">
        <v>3</v>
      </c>
      <c r="H1448" t="s">
        <v>76</v>
      </c>
      <c r="I1448">
        <v>6</v>
      </c>
    </row>
    <row r="1449" spans="1:9" x14ac:dyDescent="0.3">
      <c r="A1449">
        <v>210</v>
      </c>
      <c r="B1449" t="s">
        <v>33</v>
      </c>
      <c r="C1449" t="s">
        <v>26</v>
      </c>
      <c r="D1449">
        <v>14</v>
      </c>
      <c r="E1449">
        <v>27</v>
      </c>
      <c r="F1449">
        <v>0</v>
      </c>
      <c r="G1449">
        <v>17</v>
      </c>
      <c r="H1449" t="s">
        <v>71</v>
      </c>
      <c r="I1449">
        <v>58</v>
      </c>
    </row>
    <row r="1450" spans="1:9" x14ac:dyDescent="0.3">
      <c r="A1450">
        <v>211</v>
      </c>
      <c r="B1450" t="s">
        <v>7</v>
      </c>
      <c r="C1450" t="s">
        <v>11</v>
      </c>
      <c r="D1450">
        <v>30</v>
      </c>
      <c r="E1450">
        <v>2</v>
      </c>
      <c r="F1450">
        <v>1</v>
      </c>
      <c r="G1450">
        <v>24</v>
      </c>
      <c r="H1450" t="s">
        <v>63</v>
      </c>
      <c r="I1450">
        <v>57</v>
      </c>
    </row>
    <row r="1451" spans="1:9" x14ac:dyDescent="0.3">
      <c r="A1451">
        <v>211</v>
      </c>
      <c r="B1451" t="s">
        <v>7</v>
      </c>
      <c r="C1451" t="s">
        <v>14</v>
      </c>
      <c r="D1451">
        <v>35</v>
      </c>
      <c r="E1451">
        <v>0</v>
      </c>
      <c r="F1451">
        <v>0</v>
      </c>
      <c r="G1451">
        <v>29</v>
      </c>
      <c r="H1451" t="s">
        <v>62</v>
      </c>
      <c r="I1451">
        <v>64</v>
      </c>
    </row>
    <row r="1452" spans="1:9" x14ac:dyDescent="0.3">
      <c r="A1452">
        <v>211</v>
      </c>
      <c r="B1452" t="s">
        <v>7</v>
      </c>
      <c r="C1452" t="s">
        <v>15</v>
      </c>
      <c r="D1452">
        <v>18</v>
      </c>
      <c r="E1452">
        <v>6</v>
      </c>
      <c r="F1452">
        <v>0</v>
      </c>
      <c r="G1452">
        <v>31</v>
      </c>
      <c r="H1452" t="s">
        <v>65</v>
      </c>
      <c r="I1452">
        <v>55</v>
      </c>
    </row>
    <row r="1453" spans="1:9" x14ac:dyDescent="0.3">
      <c r="A1453">
        <v>211</v>
      </c>
      <c r="B1453" t="s">
        <v>7</v>
      </c>
      <c r="C1453" t="s">
        <v>16</v>
      </c>
      <c r="D1453">
        <v>11</v>
      </c>
      <c r="E1453">
        <v>2</v>
      </c>
      <c r="F1453">
        <v>0</v>
      </c>
      <c r="G1453">
        <v>18</v>
      </c>
      <c r="H1453" t="s">
        <v>61</v>
      </c>
      <c r="I1453">
        <v>31</v>
      </c>
    </row>
    <row r="1454" spans="1:9" x14ac:dyDescent="0.3">
      <c r="A1454">
        <v>211</v>
      </c>
      <c r="B1454" t="s">
        <v>7</v>
      </c>
      <c r="C1454" t="s">
        <v>19</v>
      </c>
      <c r="D1454">
        <v>20</v>
      </c>
      <c r="E1454">
        <v>8</v>
      </c>
      <c r="F1454">
        <v>0</v>
      </c>
      <c r="G1454">
        <v>25</v>
      </c>
      <c r="H1454" t="s">
        <v>70</v>
      </c>
      <c r="I1454">
        <v>53</v>
      </c>
    </row>
    <row r="1455" spans="1:9" x14ac:dyDescent="0.3">
      <c r="A1455">
        <v>211</v>
      </c>
      <c r="B1455" t="s">
        <v>7</v>
      </c>
      <c r="C1455" t="s">
        <v>22</v>
      </c>
      <c r="D1455">
        <v>19</v>
      </c>
      <c r="E1455">
        <v>5</v>
      </c>
      <c r="F1455">
        <v>0</v>
      </c>
      <c r="G1455">
        <v>22</v>
      </c>
      <c r="H1455" t="s">
        <v>76</v>
      </c>
      <c r="I1455">
        <v>46</v>
      </c>
    </row>
    <row r="1456" spans="1:9" x14ac:dyDescent="0.3">
      <c r="A1456">
        <v>211</v>
      </c>
      <c r="B1456" t="s">
        <v>7</v>
      </c>
      <c r="C1456" t="s">
        <v>27</v>
      </c>
      <c r="D1456">
        <v>3</v>
      </c>
      <c r="E1456">
        <v>0</v>
      </c>
      <c r="F1456">
        <v>0</v>
      </c>
      <c r="G1456">
        <v>3</v>
      </c>
      <c r="H1456" t="s">
        <v>78</v>
      </c>
      <c r="I1456">
        <v>6</v>
      </c>
    </row>
    <row r="1457" spans="1:9" x14ac:dyDescent="0.3">
      <c r="A1457">
        <v>211</v>
      </c>
      <c r="B1457" t="s">
        <v>33</v>
      </c>
      <c r="C1457" t="s">
        <v>8</v>
      </c>
      <c r="D1457">
        <v>0</v>
      </c>
      <c r="E1457">
        <v>0</v>
      </c>
      <c r="F1457">
        <v>2</v>
      </c>
      <c r="G1457">
        <v>0</v>
      </c>
      <c r="H1457" t="s">
        <v>8</v>
      </c>
      <c r="I1457">
        <v>2</v>
      </c>
    </row>
    <row r="1458" spans="1:9" x14ac:dyDescent="0.3">
      <c r="A1458">
        <v>211</v>
      </c>
      <c r="B1458" t="s">
        <v>33</v>
      </c>
      <c r="C1458" t="s">
        <v>9</v>
      </c>
      <c r="D1458">
        <v>0</v>
      </c>
      <c r="E1458">
        <v>0</v>
      </c>
      <c r="F1458">
        <v>83</v>
      </c>
      <c r="G1458">
        <v>0</v>
      </c>
      <c r="H1458" t="s">
        <v>9</v>
      </c>
      <c r="I1458">
        <v>83</v>
      </c>
    </row>
    <row r="1459" spans="1:9" x14ac:dyDescent="0.3">
      <c r="A1459">
        <v>211</v>
      </c>
      <c r="B1459" t="s">
        <v>33</v>
      </c>
      <c r="C1459" t="s">
        <v>11</v>
      </c>
      <c r="D1459">
        <v>12</v>
      </c>
      <c r="E1459">
        <v>1</v>
      </c>
      <c r="F1459">
        <v>0</v>
      </c>
      <c r="G1459">
        <v>15</v>
      </c>
      <c r="H1459" t="s">
        <v>63</v>
      </c>
      <c r="I1459">
        <v>28</v>
      </c>
    </row>
    <row r="1460" spans="1:9" x14ac:dyDescent="0.3">
      <c r="A1460">
        <v>211</v>
      </c>
      <c r="B1460" t="s">
        <v>33</v>
      </c>
      <c r="C1460" t="s">
        <v>19</v>
      </c>
      <c r="D1460">
        <v>12</v>
      </c>
      <c r="E1460">
        <v>0</v>
      </c>
      <c r="F1460">
        <v>0</v>
      </c>
      <c r="G1460">
        <v>5</v>
      </c>
      <c r="H1460" t="s">
        <v>70</v>
      </c>
      <c r="I1460">
        <v>17</v>
      </c>
    </row>
    <row r="1461" spans="1:9" x14ac:dyDescent="0.3">
      <c r="A1461">
        <v>211</v>
      </c>
      <c r="B1461" t="s">
        <v>33</v>
      </c>
      <c r="C1461" t="s">
        <v>20</v>
      </c>
      <c r="D1461">
        <v>8</v>
      </c>
      <c r="E1461">
        <v>1</v>
      </c>
      <c r="F1461">
        <v>1</v>
      </c>
      <c r="G1461">
        <v>7</v>
      </c>
      <c r="H1461" t="s">
        <v>60</v>
      </c>
      <c r="I1461">
        <v>17</v>
      </c>
    </row>
    <row r="1462" spans="1:9" x14ac:dyDescent="0.3">
      <c r="A1462">
        <v>212</v>
      </c>
      <c r="B1462" t="s">
        <v>7</v>
      </c>
      <c r="C1462" t="s">
        <v>11</v>
      </c>
      <c r="D1462">
        <v>52</v>
      </c>
      <c r="E1462">
        <v>28</v>
      </c>
      <c r="F1462">
        <v>0</v>
      </c>
      <c r="G1462">
        <v>47</v>
      </c>
      <c r="H1462" t="s">
        <v>63</v>
      </c>
      <c r="I1462">
        <v>127</v>
      </c>
    </row>
    <row r="1463" spans="1:9" x14ac:dyDescent="0.3">
      <c r="A1463">
        <v>212</v>
      </c>
      <c r="B1463" t="s">
        <v>7</v>
      </c>
      <c r="C1463" t="s">
        <v>14</v>
      </c>
      <c r="D1463">
        <v>10</v>
      </c>
      <c r="E1463">
        <v>20</v>
      </c>
      <c r="F1463">
        <v>0</v>
      </c>
      <c r="G1463">
        <v>25</v>
      </c>
      <c r="H1463" t="s">
        <v>62</v>
      </c>
      <c r="I1463">
        <v>55</v>
      </c>
    </row>
    <row r="1464" spans="1:9" x14ac:dyDescent="0.3">
      <c r="A1464">
        <v>212</v>
      </c>
      <c r="B1464" t="s">
        <v>7</v>
      </c>
      <c r="C1464" t="s">
        <v>15</v>
      </c>
      <c r="D1464">
        <v>16</v>
      </c>
      <c r="E1464">
        <v>0</v>
      </c>
      <c r="F1464">
        <v>0</v>
      </c>
      <c r="G1464">
        <v>22</v>
      </c>
      <c r="H1464" t="s">
        <v>65</v>
      </c>
      <c r="I1464">
        <v>38</v>
      </c>
    </row>
    <row r="1465" spans="1:9" x14ac:dyDescent="0.3">
      <c r="A1465">
        <v>212</v>
      </c>
      <c r="B1465" t="s">
        <v>7</v>
      </c>
      <c r="C1465" t="s">
        <v>19</v>
      </c>
      <c r="D1465">
        <v>0</v>
      </c>
      <c r="E1465">
        <v>0</v>
      </c>
      <c r="F1465">
        <v>0</v>
      </c>
      <c r="G1465">
        <v>4</v>
      </c>
      <c r="H1465" t="s">
        <v>70</v>
      </c>
      <c r="I1465">
        <v>4</v>
      </c>
    </row>
    <row r="1466" spans="1:9" x14ac:dyDescent="0.3">
      <c r="A1466">
        <v>212</v>
      </c>
      <c r="B1466" t="s">
        <v>7</v>
      </c>
      <c r="C1466" t="s">
        <v>20</v>
      </c>
      <c r="D1466">
        <v>12</v>
      </c>
      <c r="E1466">
        <v>0</v>
      </c>
      <c r="F1466">
        <v>0</v>
      </c>
      <c r="G1466">
        <v>13</v>
      </c>
      <c r="H1466" t="s">
        <v>60</v>
      </c>
      <c r="I1466">
        <v>25</v>
      </c>
    </row>
    <row r="1467" spans="1:9" x14ac:dyDescent="0.3">
      <c r="A1467">
        <v>212</v>
      </c>
      <c r="B1467" t="s">
        <v>7</v>
      </c>
      <c r="C1467" t="s">
        <v>22</v>
      </c>
      <c r="D1467">
        <v>26</v>
      </c>
      <c r="E1467">
        <v>5</v>
      </c>
      <c r="F1467">
        <v>0</v>
      </c>
      <c r="G1467">
        <v>19</v>
      </c>
      <c r="H1467" t="s">
        <v>76</v>
      </c>
      <c r="I1467">
        <v>50</v>
      </c>
    </row>
    <row r="1468" spans="1:9" x14ac:dyDescent="0.3">
      <c r="A1468">
        <v>212</v>
      </c>
      <c r="B1468" t="s">
        <v>33</v>
      </c>
      <c r="C1468" t="s">
        <v>8</v>
      </c>
      <c r="D1468">
        <v>0</v>
      </c>
      <c r="E1468">
        <v>0</v>
      </c>
      <c r="F1468">
        <v>1</v>
      </c>
      <c r="G1468">
        <v>0</v>
      </c>
      <c r="H1468" t="s">
        <v>8</v>
      </c>
      <c r="I1468">
        <v>1</v>
      </c>
    </row>
    <row r="1469" spans="1:9" x14ac:dyDescent="0.3">
      <c r="A1469">
        <v>212</v>
      </c>
      <c r="B1469" t="s">
        <v>33</v>
      </c>
      <c r="C1469" t="s">
        <v>9</v>
      </c>
      <c r="D1469">
        <v>0</v>
      </c>
      <c r="E1469">
        <v>0</v>
      </c>
      <c r="F1469">
        <v>52</v>
      </c>
      <c r="G1469">
        <v>0</v>
      </c>
      <c r="H1469" t="s">
        <v>9</v>
      </c>
      <c r="I1469">
        <v>52</v>
      </c>
    </row>
    <row r="1470" spans="1:9" x14ac:dyDescent="0.3">
      <c r="A1470">
        <v>212</v>
      </c>
      <c r="B1470" t="s">
        <v>33</v>
      </c>
      <c r="C1470" t="s">
        <v>14</v>
      </c>
      <c r="D1470">
        <v>20</v>
      </c>
      <c r="E1470">
        <v>0</v>
      </c>
      <c r="F1470">
        <v>0</v>
      </c>
      <c r="G1470">
        <v>18</v>
      </c>
      <c r="H1470" t="s">
        <v>62</v>
      </c>
      <c r="I1470">
        <v>38</v>
      </c>
    </row>
    <row r="1471" spans="1:9" x14ac:dyDescent="0.3">
      <c r="A1471">
        <v>212</v>
      </c>
      <c r="B1471" t="s">
        <v>33</v>
      </c>
      <c r="C1471" t="s">
        <v>16</v>
      </c>
      <c r="D1471">
        <v>0</v>
      </c>
      <c r="E1471">
        <v>0</v>
      </c>
      <c r="F1471">
        <v>0</v>
      </c>
      <c r="G1471">
        <v>3</v>
      </c>
      <c r="H1471" t="s">
        <v>61</v>
      </c>
      <c r="I1471">
        <v>3</v>
      </c>
    </row>
    <row r="1472" spans="1:9" x14ac:dyDescent="0.3">
      <c r="A1472">
        <v>212</v>
      </c>
      <c r="B1472" t="s">
        <v>33</v>
      </c>
      <c r="C1472" t="s">
        <v>27</v>
      </c>
      <c r="D1472">
        <v>24</v>
      </c>
      <c r="E1472">
        <v>13</v>
      </c>
      <c r="F1472">
        <v>0</v>
      </c>
      <c r="G1472">
        <v>22</v>
      </c>
      <c r="H1472" t="s">
        <v>78</v>
      </c>
      <c r="I1472">
        <v>59</v>
      </c>
    </row>
    <row r="1473" spans="1:9" x14ac:dyDescent="0.3">
      <c r="A1473">
        <v>212</v>
      </c>
      <c r="B1473" t="s">
        <v>33</v>
      </c>
      <c r="C1473" t="s">
        <v>28</v>
      </c>
      <c r="D1473">
        <v>8</v>
      </c>
      <c r="E1473">
        <v>0</v>
      </c>
      <c r="F1473">
        <v>0</v>
      </c>
      <c r="G1473">
        <v>11</v>
      </c>
      <c r="H1473" t="s">
        <v>28</v>
      </c>
      <c r="I1473">
        <v>19</v>
      </c>
    </row>
    <row r="1474" spans="1:9" x14ac:dyDescent="0.3">
      <c r="A1474">
        <v>213</v>
      </c>
      <c r="B1474" t="s">
        <v>7</v>
      </c>
      <c r="C1474" t="s">
        <v>11</v>
      </c>
      <c r="D1474">
        <v>35</v>
      </c>
      <c r="E1474">
        <v>0</v>
      </c>
      <c r="F1474">
        <v>0</v>
      </c>
      <c r="G1474">
        <v>42</v>
      </c>
      <c r="H1474" t="s">
        <v>63</v>
      </c>
      <c r="I1474">
        <v>77</v>
      </c>
    </row>
    <row r="1475" spans="1:9" x14ac:dyDescent="0.3">
      <c r="A1475">
        <v>213</v>
      </c>
      <c r="B1475" t="s">
        <v>7</v>
      </c>
      <c r="C1475" t="s">
        <v>14</v>
      </c>
      <c r="D1475">
        <v>17</v>
      </c>
      <c r="E1475">
        <v>0</v>
      </c>
      <c r="F1475">
        <v>2</v>
      </c>
      <c r="G1475">
        <v>24</v>
      </c>
      <c r="H1475" t="s">
        <v>62</v>
      </c>
      <c r="I1475">
        <v>43</v>
      </c>
    </row>
    <row r="1476" spans="1:9" x14ac:dyDescent="0.3">
      <c r="A1476">
        <v>213</v>
      </c>
      <c r="B1476" t="s">
        <v>7</v>
      </c>
      <c r="C1476" t="s">
        <v>19</v>
      </c>
      <c r="D1476">
        <v>0</v>
      </c>
      <c r="E1476">
        <v>0</v>
      </c>
      <c r="F1476">
        <v>0</v>
      </c>
      <c r="G1476">
        <v>3</v>
      </c>
      <c r="H1476" t="s">
        <v>70</v>
      </c>
      <c r="I1476">
        <v>3</v>
      </c>
    </row>
    <row r="1477" spans="1:9" x14ac:dyDescent="0.3">
      <c r="A1477">
        <v>213</v>
      </c>
      <c r="B1477" t="s">
        <v>7</v>
      </c>
      <c r="C1477" t="s">
        <v>20</v>
      </c>
      <c r="D1477">
        <v>16</v>
      </c>
      <c r="E1477">
        <v>0</v>
      </c>
      <c r="F1477">
        <v>0</v>
      </c>
      <c r="G1477">
        <v>23</v>
      </c>
      <c r="H1477" t="s">
        <v>60</v>
      </c>
      <c r="I1477">
        <v>39</v>
      </c>
    </row>
    <row r="1478" spans="1:9" x14ac:dyDescent="0.3">
      <c r="A1478">
        <v>213</v>
      </c>
      <c r="B1478" t="s">
        <v>7</v>
      </c>
      <c r="C1478" t="s">
        <v>22</v>
      </c>
      <c r="D1478">
        <v>7</v>
      </c>
      <c r="E1478">
        <v>5</v>
      </c>
      <c r="F1478">
        <v>0</v>
      </c>
      <c r="G1478">
        <v>19</v>
      </c>
      <c r="H1478" t="s">
        <v>76</v>
      </c>
      <c r="I1478">
        <v>31</v>
      </c>
    </row>
    <row r="1479" spans="1:9" x14ac:dyDescent="0.3">
      <c r="A1479">
        <v>213</v>
      </c>
      <c r="B1479" t="s">
        <v>7</v>
      </c>
      <c r="C1479" t="s">
        <v>27</v>
      </c>
      <c r="D1479">
        <v>2</v>
      </c>
      <c r="E1479">
        <v>0</v>
      </c>
      <c r="F1479">
        <v>0</v>
      </c>
      <c r="G1479">
        <v>4</v>
      </c>
      <c r="H1479" t="s">
        <v>78</v>
      </c>
      <c r="I1479">
        <v>6</v>
      </c>
    </row>
    <row r="1480" spans="1:9" x14ac:dyDescent="0.3">
      <c r="A1480">
        <v>213</v>
      </c>
      <c r="B1480" t="s">
        <v>33</v>
      </c>
      <c r="C1480" t="s">
        <v>8</v>
      </c>
      <c r="D1480">
        <v>0</v>
      </c>
      <c r="E1480">
        <v>0</v>
      </c>
      <c r="F1480">
        <v>3</v>
      </c>
      <c r="G1480">
        <v>0</v>
      </c>
      <c r="H1480" t="s">
        <v>8</v>
      </c>
      <c r="I1480">
        <v>3</v>
      </c>
    </row>
    <row r="1481" spans="1:9" x14ac:dyDescent="0.3">
      <c r="A1481">
        <v>213</v>
      </c>
      <c r="B1481" t="s">
        <v>33</v>
      </c>
      <c r="C1481" t="s">
        <v>9</v>
      </c>
      <c r="D1481">
        <v>0</v>
      </c>
      <c r="E1481">
        <v>0</v>
      </c>
      <c r="F1481">
        <v>30</v>
      </c>
      <c r="G1481">
        <v>0</v>
      </c>
      <c r="H1481" t="s">
        <v>9</v>
      </c>
      <c r="I1481">
        <v>30</v>
      </c>
    </row>
    <row r="1482" spans="1:9" x14ac:dyDescent="0.3">
      <c r="A1482">
        <v>213</v>
      </c>
      <c r="B1482" t="s">
        <v>33</v>
      </c>
      <c r="C1482" t="s">
        <v>14</v>
      </c>
      <c r="D1482">
        <v>0</v>
      </c>
      <c r="E1482">
        <v>0</v>
      </c>
      <c r="F1482">
        <v>0</v>
      </c>
      <c r="G1482">
        <v>1</v>
      </c>
      <c r="H1482" t="s">
        <v>62</v>
      </c>
      <c r="I1482">
        <v>1</v>
      </c>
    </row>
    <row r="1483" spans="1:9" x14ac:dyDescent="0.3">
      <c r="A1483">
        <v>213</v>
      </c>
      <c r="B1483" t="s">
        <v>33</v>
      </c>
      <c r="C1483" t="s">
        <v>15</v>
      </c>
      <c r="D1483">
        <v>0</v>
      </c>
      <c r="E1483">
        <v>0</v>
      </c>
      <c r="F1483">
        <v>0</v>
      </c>
      <c r="G1483">
        <v>1</v>
      </c>
      <c r="H1483" t="s">
        <v>65</v>
      </c>
      <c r="I1483">
        <v>1</v>
      </c>
    </row>
    <row r="1484" spans="1:9" x14ac:dyDescent="0.3">
      <c r="A1484">
        <v>213</v>
      </c>
      <c r="B1484" t="s">
        <v>33</v>
      </c>
      <c r="C1484" t="s">
        <v>16</v>
      </c>
      <c r="D1484">
        <v>0</v>
      </c>
      <c r="E1484">
        <v>0</v>
      </c>
      <c r="F1484">
        <v>0</v>
      </c>
      <c r="G1484">
        <v>1</v>
      </c>
      <c r="H1484" t="s">
        <v>61</v>
      </c>
      <c r="I1484">
        <v>1</v>
      </c>
    </row>
    <row r="1485" spans="1:9" x14ac:dyDescent="0.3">
      <c r="A1485">
        <v>213</v>
      </c>
      <c r="B1485" t="s">
        <v>33</v>
      </c>
      <c r="C1485" t="s">
        <v>26</v>
      </c>
      <c r="D1485">
        <v>7</v>
      </c>
      <c r="E1485">
        <v>0</v>
      </c>
      <c r="F1485">
        <v>0</v>
      </c>
      <c r="G1485">
        <v>9</v>
      </c>
      <c r="H1485" t="s">
        <v>71</v>
      </c>
      <c r="I1485">
        <v>16</v>
      </c>
    </row>
    <row r="1486" spans="1:9" x14ac:dyDescent="0.3">
      <c r="A1486">
        <v>213</v>
      </c>
      <c r="B1486" t="s">
        <v>33</v>
      </c>
      <c r="C1486" t="s">
        <v>27</v>
      </c>
      <c r="D1486">
        <v>26</v>
      </c>
      <c r="E1486">
        <v>35</v>
      </c>
      <c r="F1486">
        <v>87</v>
      </c>
      <c r="G1486">
        <v>66</v>
      </c>
      <c r="H1486" t="s">
        <v>78</v>
      </c>
      <c r="I1486">
        <v>214</v>
      </c>
    </row>
    <row r="1487" spans="1:9" x14ac:dyDescent="0.3">
      <c r="A1487">
        <v>213</v>
      </c>
      <c r="B1487" t="s">
        <v>33</v>
      </c>
      <c r="C1487" t="s">
        <v>28</v>
      </c>
      <c r="D1487">
        <v>6</v>
      </c>
      <c r="E1487">
        <v>0</v>
      </c>
      <c r="F1487">
        <v>0</v>
      </c>
      <c r="G1487">
        <v>2</v>
      </c>
      <c r="H1487" t="s">
        <v>28</v>
      </c>
      <c r="I1487">
        <v>8</v>
      </c>
    </row>
    <row r="1488" spans="1:9" x14ac:dyDescent="0.3">
      <c r="A1488">
        <v>214</v>
      </c>
      <c r="B1488" t="s">
        <v>7</v>
      </c>
      <c r="C1488" t="s">
        <v>11</v>
      </c>
      <c r="D1488">
        <v>19</v>
      </c>
      <c r="E1488">
        <v>0</v>
      </c>
      <c r="F1488">
        <v>0</v>
      </c>
      <c r="G1488">
        <v>18</v>
      </c>
      <c r="H1488" t="s">
        <v>63</v>
      </c>
      <c r="I1488">
        <v>37</v>
      </c>
    </row>
    <row r="1489" spans="1:9" x14ac:dyDescent="0.3">
      <c r="A1489">
        <v>214</v>
      </c>
      <c r="B1489" t="s">
        <v>7</v>
      </c>
      <c r="C1489" t="s">
        <v>14</v>
      </c>
      <c r="D1489">
        <v>62</v>
      </c>
      <c r="E1489">
        <v>11</v>
      </c>
      <c r="F1489">
        <v>0</v>
      </c>
      <c r="G1489">
        <v>53</v>
      </c>
      <c r="H1489" t="s">
        <v>62</v>
      </c>
      <c r="I1489">
        <v>126</v>
      </c>
    </row>
    <row r="1490" spans="1:9" x14ac:dyDescent="0.3">
      <c r="A1490">
        <v>214</v>
      </c>
      <c r="B1490" t="s">
        <v>7</v>
      </c>
      <c r="C1490" t="s">
        <v>22</v>
      </c>
      <c r="D1490">
        <v>42</v>
      </c>
      <c r="E1490">
        <v>6</v>
      </c>
      <c r="F1490">
        <v>0</v>
      </c>
      <c r="G1490">
        <v>39</v>
      </c>
      <c r="H1490" t="s">
        <v>76</v>
      </c>
      <c r="I1490">
        <v>87</v>
      </c>
    </row>
    <row r="1491" spans="1:9" x14ac:dyDescent="0.3">
      <c r="A1491">
        <v>214</v>
      </c>
      <c r="B1491" t="s">
        <v>7</v>
      </c>
      <c r="C1491" t="s">
        <v>27</v>
      </c>
      <c r="D1491">
        <v>39</v>
      </c>
      <c r="E1491">
        <v>1</v>
      </c>
      <c r="F1491">
        <v>0</v>
      </c>
      <c r="G1491">
        <v>40</v>
      </c>
      <c r="H1491" t="s">
        <v>78</v>
      </c>
      <c r="I1491">
        <v>80</v>
      </c>
    </row>
    <row r="1492" spans="1:9" x14ac:dyDescent="0.3">
      <c r="A1492">
        <v>214</v>
      </c>
      <c r="B1492" t="s">
        <v>33</v>
      </c>
      <c r="C1492" t="s">
        <v>8</v>
      </c>
      <c r="D1492">
        <v>0</v>
      </c>
      <c r="E1492">
        <v>0</v>
      </c>
      <c r="F1492">
        <v>2</v>
      </c>
      <c r="G1492">
        <v>0</v>
      </c>
      <c r="H1492" t="s">
        <v>8</v>
      </c>
      <c r="I1492">
        <v>2</v>
      </c>
    </row>
    <row r="1493" spans="1:9" x14ac:dyDescent="0.3">
      <c r="A1493">
        <v>214</v>
      </c>
      <c r="B1493" t="s">
        <v>33</v>
      </c>
      <c r="C1493" t="s">
        <v>9</v>
      </c>
      <c r="D1493">
        <v>0</v>
      </c>
      <c r="E1493">
        <v>0</v>
      </c>
      <c r="F1493">
        <v>44</v>
      </c>
      <c r="G1493">
        <v>0</v>
      </c>
      <c r="H1493" t="s">
        <v>9</v>
      </c>
      <c r="I1493">
        <v>44</v>
      </c>
    </row>
    <row r="1494" spans="1:9" x14ac:dyDescent="0.3">
      <c r="A1494">
        <v>214</v>
      </c>
      <c r="B1494" t="s">
        <v>33</v>
      </c>
      <c r="C1494" t="s">
        <v>11</v>
      </c>
      <c r="D1494">
        <v>21</v>
      </c>
      <c r="E1494">
        <v>0</v>
      </c>
      <c r="F1494">
        <v>0</v>
      </c>
      <c r="G1494">
        <v>33</v>
      </c>
      <c r="H1494" t="s">
        <v>63</v>
      </c>
      <c r="I1494">
        <v>54</v>
      </c>
    </row>
    <row r="1495" spans="1:9" x14ac:dyDescent="0.3">
      <c r="A1495">
        <v>214</v>
      </c>
      <c r="B1495" t="s">
        <v>33</v>
      </c>
      <c r="C1495" t="s">
        <v>26</v>
      </c>
      <c r="D1495">
        <v>56</v>
      </c>
      <c r="E1495">
        <v>6</v>
      </c>
      <c r="F1495">
        <v>0</v>
      </c>
      <c r="G1495">
        <v>54</v>
      </c>
      <c r="H1495" t="s">
        <v>71</v>
      </c>
      <c r="I1495">
        <v>116</v>
      </c>
    </row>
    <row r="1496" spans="1:9" x14ac:dyDescent="0.3">
      <c r="A1496">
        <v>215</v>
      </c>
      <c r="B1496" t="s">
        <v>7</v>
      </c>
      <c r="C1496" t="s">
        <v>11</v>
      </c>
      <c r="D1496">
        <v>4</v>
      </c>
      <c r="E1496">
        <v>0</v>
      </c>
      <c r="F1496">
        <v>0</v>
      </c>
      <c r="G1496">
        <v>5</v>
      </c>
      <c r="H1496" t="s">
        <v>63</v>
      </c>
      <c r="I1496">
        <v>9</v>
      </c>
    </row>
    <row r="1497" spans="1:9" x14ac:dyDescent="0.3">
      <c r="A1497">
        <v>215</v>
      </c>
      <c r="B1497" t="s">
        <v>7</v>
      </c>
      <c r="C1497" t="s">
        <v>14</v>
      </c>
      <c r="D1497">
        <v>30</v>
      </c>
      <c r="E1497">
        <v>12</v>
      </c>
      <c r="F1497">
        <v>5</v>
      </c>
      <c r="G1497">
        <v>24</v>
      </c>
      <c r="H1497" t="s">
        <v>62</v>
      </c>
      <c r="I1497">
        <v>71</v>
      </c>
    </row>
    <row r="1498" spans="1:9" x14ac:dyDescent="0.3">
      <c r="A1498">
        <v>215</v>
      </c>
      <c r="B1498" t="s">
        <v>7</v>
      </c>
      <c r="C1498" t="s">
        <v>15</v>
      </c>
      <c r="D1498">
        <v>0</v>
      </c>
      <c r="E1498">
        <v>0</v>
      </c>
      <c r="F1498">
        <v>0</v>
      </c>
      <c r="G1498">
        <v>2</v>
      </c>
      <c r="H1498" t="s">
        <v>65</v>
      </c>
      <c r="I1498">
        <v>2</v>
      </c>
    </row>
    <row r="1499" spans="1:9" x14ac:dyDescent="0.3">
      <c r="A1499">
        <v>215</v>
      </c>
      <c r="B1499" t="s">
        <v>7</v>
      </c>
      <c r="C1499" t="s">
        <v>19</v>
      </c>
      <c r="D1499">
        <v>0</v>
      </c>
      <c r="E1499">
        <v>10</v>
      </c>
      <c r="F1499">
        <v>0</v>
      </c>
      <c r="G1499">
        <v>8</v>
      </c>
      <c r="H1499" t="s">
        <v>70</v>
      </c>
      <c r="I1499">
        <v>18</v>
      </c>
    </row>
    <row r="1500" spans="1:9" x14ac:dyDescent="0.3">
      <c r="A1500">
        <v>215</v>
      </c>
      <c r="B1500" t="s">
        <v>7</v>
      </c>
      <c r="C1500" t="s">
        <v>22</v>
      </c>
      <c r="D1500">
        <v>15</v>
      </c>
      <c r="E1500">
        <v>0</v>
      </c>
      <c r="F1500">
        <v>0</v>
      </c>
      <c r="G1500">
        <v>9</v>
      </c>
      <c r="H1500" t="s">
        <v>76</v>
      </c>
      <c r="I1500">
        <v>24</v>
      </c>
    </row>
    <row r="1501" spans="1:9" x14ac:dyDescent="0.3">
      <c r="A1501">
        <v>215</v>
      </c>
      <c r="B1501" t="s">
        <v>7</v>
      </c>
      <c r="C1501" t="s">
        <v>25</v>
      </c>
      <c r="D1501">
        <v>12</v>
      </c>
      <c r="E1501">
        <v>0</v>
      </c>
      <c r="F1501">
        <v>0</v>
      </c>
      <c r="G1501">
        <v>13</v>
      </c>
      <c r="H1501" t="s">
        <v>79</v>
      </c>
      <c r="I1501">
        <v>25</v>
      </c>
    </row>
    <row r="1502" spans="1:9" x14ac:dyDescent="0.3">
      <c r="A1502">
        <v>215</v>
      </c>
      <c r="B1502" t="s">
        <v>7</v>
      </c>
      <c r="C1502" t="s">
        <v>26</v>
      </c>
      <c r="D1502">
        <v>2</v>
      </c>
      <c r="E1502">
        <v>0</v>
      </c>
      <c r="F1502">
        <v>0</v>
      </c>
      <c r="G1502">
        <v>8</v>
      </c>
      <c r="H1502" t="s">
        <v>71</v>
      </c>
      <c r="I1502">
        <v>10</v>
      </c>
    </row>
    <row r="1503" spans="1:9" x14ac:dyDescent="0.3">
      <c r="A1503">
        <v>215</v>
      </c>
      <c r="B1503" t="s">
        <v>7</v>
      </c>
      <c r="C1503" t="s">
        <v>27</v>
      </c>
      <c r="D1503">
        <v>5</v>
      </c>
      <c r="E1503">
        <v>0</v>
      </c>
      <c r="F1503">
        <v>0</v>
      </c>
      <c r="G1503">
        <v>9</v>
      </c>
      <c r="H1503" t="s">
        <v>78</v>
      </c>
      <c r="I1503">
        <v>14</v>
      </c>
    </row>
    <row r="1504" spans="1:9" x14ac:dyDescent="0.3">
      <c r="A1504">
        <v>215</v>
      </c>
      <c r="B1504" t="s">
        <v>33</v>
      </c>
      <c r="C1504" t="s">
        <v>8</v>
      </c>
      <c r="D1504">
        <v>0</v>
      </c>
      <c r="E1504">
        <v>0</v>
      </c>
      <c r="F1504">
        <v>1</v>
      </c>
      <c r="G1504">
        <v>0</v>
      </c>
      <c r="H1504" t="s">
        <v>8</v>
      </c>
      <c r="I1504">
        <v>1</v>
      </c>
    </row>
    <row r="1505" spans="1:9" x14ac:dyDescent="0.3">
      <c r="A1505">
        <v>215</v>
      </c>
      <c r="B1505" t="s">
        <v>33</v>
      </c>
      <c r="C1505" t="s">
        <v>9</v>
      </c>
      <c r="D1505">
        <v>0</v>
      </c>
      <c r="E1505">
        <v>0</v>
      </c>
      <c r="F1505">
        <v>30</v>
      </c>
      <c r="G1505">
        <v>0</v>
      </c>
      <c r="H1505" t="s">
        <v>9</v>
      </c>
      <c r="I1505">
        <v>30</v>
      </c>
    </row>
    <row r="1506" spans="1:9" x14ac:dyDescent="0.3">
      <c r="A1506">
        <v>215</v>
      </c>
      <c r="B1506" t="s">
        <v>33</v>
      </c>
      <c r="C1506" t="s">
        <v>11</v>
      </c>
      <c r="D1506">
        <v>20</v>
      </c>
      <c r="E1506">
        <v>2</v>
      </c>
      <c r="F1506">
        <v>0</v>
      </c>
      <c r="G1506">
        <v>14</v>
      </c>
      <c r="H1506" t="s">
        <v>63</v>
      </c>
      <c r="I1506">
        <v>36</v>
      </c>
    </row>
    <row r="1507" spans="1:9" x14ac:dyDescent="0.3">
      <c r="A1507">
        <v>215</v>
      </c>
      <c r="B1507" t="s">
        <v>33</v>
      </c>
      <c r="C1507" t="s">
        <v>14</v>
      </c>
      <c r="D1507">
        <v>39</v>
      </c>
      <c r="E1507">
        <v>70</v>
      </c>
      <c r="F1507">
        <v>0</v>
      </c>
      <c r="G1507">
        <v>54</v>
      </c>
      <c r="H1507" t="s">
        <v>62</v>
      </c>
      <c r="I1507">
        <v>163</v>
      </c>
    </row>
    <row r="1508" spans="1:9" x14ac:dyDescent="0.3">
      <c r="A1508">
        <v>215</v>
      </c>
      <c r="B1508" t="s">
        <v>33</v>
      </c>
      <c r="C1508" t="s">
        <v>16</v>
      </c>
      <c r="D1508">
        <v>0</v>
      </c>
      <c r="E1508">
        <v>0</v>
      </c>
      <c r="F1508">
        <v>0</v>
      </c>
      <c r="G1508">
        <v>2</v>
      </c>
      <c r="H1508" t="s">
        <v>61</v>
      </c>
      <c r="I1508">
        <v>2</v>
      </c>
    </row>
    <row r="1509" spans="1:9" x14ac:dyDescent="0.3">
      <c r="A1509">
        <v>216</v>
      </c>
      <c r="B1509" t="s">
        <v>7</v>
      </c>
      <c r="C1509" t="s">
        <v>11</v>
      </c>
      <c r="D1509">
        <v>19</v>
      </c>
      <c r="E1509">
        <v>1</v>
      </c>
      <c r="F1509">
        <v>0</v>
      </c>
      <c r="G1509">
        <v>22</v>
      </c>
      <c r="H1509" t="s">
        <v>63</v>
      </c>
      <c r="I1509">
        <v>42</v>
      </c>
    </row>
    <row r="1510" spans="1:9" x14ac:dyDescent="0.3">
      <c r="A1510">
        <v>216</v>
      </c>
      <c r="B1510" t="s">
        <v>7</v>
      </c>
      <c r="C1510" t="s">
        <v>14</v>
      </c>
      <c r="D1510">
        <v>52</v>
      </c>
      <c r="E1510">
        <v>55</v>
      </c>
      <c r="F1510">
        <v>0</v>
      </c>
      <c r="G1510">
        <v>63</v>
      </c>
      <c r="H1510" t="s">
        <v>62</v>
      </c>
      <c r="I1510">
        <v>170</v>
      </c>
    </row>
    <row r="1511" spans="1:9" x14ac:dyDescent="0.3">
      <c r="A1511">
        <v>216</v>
      </c>
      <c r="B1511" t="s">
        <v>7</v>
      </c>
      <c r="C1511" t="s">
        <v>22</v>
      </c>
      <c r="D1511">
        <v>10</v>
      </c>
      <c r="E1511">
        <v>0</v>
      </c>
      <c r="F1511">
        <v>0</v>
      </c>
      <c r="G1511">
        <v>4</v>
      </c>
      <c r="H1511" t="s">
        <v>76</v>
      </c>
      <c r="I1511">
        <v>14</v>
      </c>
    </row>
    <row r="1512" spans="1:9" x14ac:dyDescent="0.3">
      <c r="A1512">
        <v>216</v>
      </c>
      <c r="B1512" t="s">
        <v>7</v>
      </c>
      <c r="C1512" t="s">
        <v>25</v>
      </c>
      <c r="D1512">
        <v>0</v>
      </c>
      <c r="E1512">
        <v>0</v>
      </c>
      <c r="F1512">
        <v>0</v>
      </c>
      <c r="G1512">
        <v>2</v>
      </c>
      <c r="H1512" t="s">
        <v>79</v>
      </c>
      <c r="I1512">
        <v>2</v>
      </c>
    </row>
    <row r="1513" spans="1:9" x14ac:dyDescent="0.3">
      <c r="A1513">
        <v>216</v>
      </c>
      <c r="B1513" t="s">
        <v>7</v>
      </c>
      <c r="C1513" t="s">
        <v>26</v>
      </c>
      <c r="D1513">
        <v>1</v>
      </c>
      <c r="E1513">
        <v>0</v>
      </c>
      <c r="F1513">
        <v>0</v>
      </c>
      <c r="G1513">
        <v>2</v>
      </c>
      <c r="H1513" t="s">
        <v>71</v>
      </c>
      <c r="I1513">
        <v>3</v>
      </c>
    </row>
    <row r="1514" spans="1:9" x14ac:dyDescent="0.3">
      <c r="A1514">
        <v>216</v>
      </c>
      <c r="B1514" t="s">
        <v>7</v>
      </c>
      <c r="C1514" t="s">
        <v>27</v>
      </c>
      <c r="D1514">
        <v>1</v>
      </c>
      <c r="E1514">
        <v>0</v>
      </c>
      <c r="F1514">
        <v>5</v>
      </c>
      <c r="G1514">
        <v>2</v>
      </c>
      <c r="H1514" t="s">
        <v>78</v>
      </c>
      <c r="I1514">
        <v>8</v>
      </c>
    </row>
    <row r="1515" spans="1:9" x14ac:dyDescent="0.3">
      <c r="A1515">
        <v>216</v>
      </c>
      <c r="B1515" t="s">
        <v>33</v>
      </c>
      <c r="C1515" t="s">
        <v>9</v>
      </c>
      <c r="D1515">
        <v>0</v>
      </c>
      <c r="E1515">
        <v>0</v>
      </c>
      <c r="F1515">
        <v>71</v>
      </c>
      <c r="G1515">
        <v>0</v>
      </c>
      <c r="H1515" t="s">
        <v>9</v>
      </c>
      <c r="I1515">
        <v>71</v>
      </c>
    </row>
    <row r="1516" spans="1:9" x14ac:dyDescent="0.3">
      <c r="A1516">
        <v>216</v>
      </c>
      <c r="B1516" t="s">
        <v>33</v>
      </c>
      <c r="C1516" t="s">
        <v>11</v>
      </c>
      <c r="D1516">
        <v>0</v>
      </c>
      <c r="E1516">
        <v>0</v>
      </c>
      <c r="F1516">
        <v>0</v>
      </c>
      <c r="G1516">
        <v>3</v>
      </c>
      <c r="H1516" t="s">
        <v>63</v>
      </c>
      <c r="I1516">
        <v>3</v>
      </c>
    </row>
    <row r="1517" spans="1:9" x14ac:dyDescent="0.3">
      <c r="A1517">
        <v>216</v>
      </c>
      <c r="B1517" t="s">
        <v>33</v>
      </c>
      <c r="C1517" t="s">
        <v>14</v>
      </c>
      <c r="D1517">
        <v>12</v>
      </c>
      <c r="E1517">
        <v>0</v>
      </c>
      <c r="F1517">
        <v>0</v>
      </c>
      <c r="G1517">
        <v>5</v>
      </c>
      <c r="H1517" t="s">
        <v>62</v>
      </c>
      <c r="I1517">
        <v>17</v>
      </c>
    </row>
    <row r="1518" spans="1:9" x14ac:dyDescent="0.3">
      <c r="A1518">
        <v>216</v>
      </c>
      <c r="B1518" t="s">
        <v>33</v>
      </c>
      <c r="C1518" t="s">
        <v>28</v>
      </c>
      <c r="D1518">
        <v>8</v>
      </c>
      <c r="E1518">
        <v>0</v>
      </c>
      <c r="F1518">
        <v>0</v>
      </c>
      <c r="G1518">
        <v>5</v>
      </c>
      <c r="H1518" t="s">
        <v>28</v>
      </c>
      <c r="I1518">
        <v>13</v>
      </c>
    </row>
    <row r="1519" spans="1:9" x14ac:dyDescent="0.3">
      <c r="A1519">
        <v>217</v>
      </c>
      <c r="B1519" t="s">
        <v>7</v>
      </c>
      <c r="C1519" t="s">
        <v>22</v>
      </c>
      <c r="D1519">
        <v>30</v>
      </c>
      <c r="E1519">
        <v>5</v>
      </c>
      <c r="F1519">
        <v>0</v>
      </c>
      <c r="G1519">
        <v>23</v>
      </c>
      <c r="H1519" t="s">
        <v>76</v>
      </c>
      <c r="I1519">
        <v>58</v>
      </c>
    </row>
    <row r="1520" spans="1:9" x14ac:dyDescent="0.3">
      <c r="A1520">
        <v>217</v>
      </c>
      <c r="B1520" t="s">
        <v>7</v>
      </c>
      <c r="C1520" t="s">
        <v>25</v>
      </c>
      <c r="D1520">
        <v>7</v>
      </c>
      <c r="E1520">
        <v>0</v>
      </c>
      <c r="F1520">
        <v>0</v>
      </c>
      <c r="G1520">
        <v>10</v>
      </c>
      <c r="H1520" t="s">
        <v>79</v>
      </c>
      <c r="I1520">
        <v>17</v>
      </c>
    </row>
    <row r="1521" spans="1:9" x14ac:dyDescent="0.3">
      <c r="A1521">
        <v>217</v>
      </c>
      <c r="B1521" t="s">
        <v>7</v>
      </c>
      <c r="C1521" t="s">
        <v>26</v>
      </c>
      <c r="D1521">
        <v>11</v>
      </c>
      <c r="E1521">
        <v>6</v>
      </c>
      <c r="F1521">
        <v>0</v>
      </c>
      <c r="G1521">
        <v>11</v>
      </c>
      <c r="H1521" t="s">
        <v>71</v>
      </c>
      <c r="I1521">
        <v>28</v>
      </c>
    </row>
    <row r="1522" spans="1:9" x14ac:dyDescent="0.3">
      <c r="A1522">
        <v>217</v>
      </c>
      <c r="B1522" t="s">
        <v>7</v>
      </c>
      <c r="C1522" t="s">
        <v>27</v>
      </c>
      <c r="D1522">
        <v>12</v>
      </c>
      <c r="E1522">
        <v>18</v>
      </c>
      <c r="F1522">
        <v>0</v>
      </c>
      <c r="G1522">
        <v>17</v>
      </c>
      <c r="H1522" t="s">
        <v>78</v>
      </c>
      <c r="I1522">
        <v>47</v>
      </c>
    </row>
    <row r="1523" spans="1:9" x14ac:dyDescent="0.3">
      <c r="A1523">
        <v>217</v>
      </c>
      <c r="B1523" t="s">
        <v>33</v>
      </c>
      <c r="C1523" t="s">
        <v>8</v>
      </c>
      <c r="D1523">
        <v>0</v>
      </c>
      <c r="E1523">
        <v>0</v>
      </c>
      <c r="F1523">
        <v>1</v>
      </c>
      <c r="G1523">
        <v>0</v>
      </c>
      <c r="H1523" t="s">
        <v>8</v>
      </c>
      <c r="I1523">
        <v>1</v>
      </c>
    </row>
    <row r="1524" spans="1:9" x14ac:dyDescent="0.3">
      <c r="A1524">
        <v>217</v>
      </c>
      <c r="B1524" t="s">
        <v>33</v>
      </c>
      <c r="C1524" t="s">
        <v>9</v>
      </c>
      <c r="D1524">
        <v>0</v>
      </c>
      <c r="E1524">
        <v>0</v>
      </c>
      <c r="F1524">
        <v>54</v>
      </c>
      <c r="G1524">
        <v>0</v>
      </c>
      <c r="H1524" t="s">
        <v>9</v>
      </c>
      <c r="I1524">
        <v>54</v>
      </c>
    </row>
    <row r="1525" spans="1:9" x14ac:dyDescent="0.3">
      <c r="A1525">
        <v>217</v>
      </c>
      <c r="B1525" t="s">
        <v>33</v>
      </c>
      <c r="C1525" t="s">
        <v>17</v>
      </c>
      <c r="D1525">
        <v>27</v>
      </c>
      <c r="E1525">
        <v>0</v>
      </c>
      <c r="F1525">
        <v>0</v>
      </c>
      <c r="G1525">
        <v>11</v>
      </c>
      <c r="H1525" t="s">
        <v>66</v>
      </c>
      <c r="I1525">
        <v>38</v>
      </c>
    </row>
    <row r="1526" spans="1:9" x14ac:dyDescent="0.3">
      <c r="A1526">
        <v>217</v>
      </c>
      <c r="B1526" t="s">
        <v>33</v>
      </c>
      <c r="C1526" t="s">
        <v>26</v>
      </c>
      <c r="D1526">
        <v>39</v>
      </c>
      <c r="E1526">
        <v>112</v>
      </c>
      <c r="F1526">
        <v>0</v>
      </c>
      <c r="G1526">
        <v>66</v>
      </c>
      <c r="H1526" t="s">
        <v>71</v>
      </c>
      <c r="I1526">
        <v>217</v>
      </c>
    </row>
    <row r="1527" spans="1:9" x14ac:dyDescent="0.3">
      <c r="A1527">
        <v>217</v>
      </c>
      <c r="B1527" t="s">
        <v>33</v>
      </c>
      <c r="C1527" t="s">
        <v>27</v>
      </c>
      <c r="D1527">
        <v>2</v>
      </c>
      <c r="E1527">
        <v>0</v>
      </c>
      <c r="F1527">
        <v>0</v>
      </c>
      <c r="G1527">
        <v>9</v>
      </c>
      <c r="H1527" t="s">
        <v>78</v>
      </c>
      <c r="I1527">
        <v>11</v>
      </c>
    </row>
    <row r="1528" spans="1:9" x14ac:dyDescent="0.3">
      <c r="A1528">
        <v>217</v>
      </c>
      <c r="B1528" t="s">
        <v>33</v>
      </c>
      <c r="C1528" t="s">
        <v>28</v>
      </c>
      <c r="D1528">
        <v>7</v>
      </c>
      <c r="E1528">
        <v>0</v>
      </c>
      <c r="F1528">
        <v>0</v>
      </c>
      <c r="G1528">
        <v>4</v>
      </c>
      <c r="H1528" t="s">
        <v>28</v>
      </c>
      <c r="I1528">
        <v>11</v>
      </c>
    </row>
    <row r="1529" spans="1:9" x14ac:dyDescent="0.3">
      <c r="A1529">
        <v>218</v>
      </c>
      <c r="B1529" t="s">
        <v>7</v>
      </c>
      <c r="C1529" t="s">
        <v>22</v>
      </c>
      <c r="D1529">
        <v>50</v>
      </c>
      <c r="E1529">
        <v>10</v>
      </c>
      <c r="F1529">
        <v>4</v>
      </c>
      <c r="G1529">
        <v>45</v>
      </c>
      <c r="H1529" t="s">
        <v>76</v>
      </c>
      <c r="I1529">
        <v>109</v>
      </c>
    </row>
    <row r="1530" spans="1:9" x14ac:dyDescent="0.3">
      <c r="A1530">
        <v>218</v>
      </c>
      <c r="B1530" t="s">
        <v>7</v>
      </c>
      <c r="C1530" t="s">
        <v>25</v>
      </c>
      <c r="D1530">
        <v>27</v>
      </c>
      <c r="E1530">
        <v>0</v>
      </c>
      <c r="F1530">
        <v>0</v>
      </c>
      <c r="G1530">
        <v>32</v>
      </c>
      <c r="H1530" t="s">
        <v>79</v>
      </c>
      <c r="I1530">
        <v>59</v>
      </c>
    </row>
    <row r="1531" spans="1:9" x14ac:dyDescent="0.3">
      <c r="A1531">
        <v>218</v>
      </c>
      <c r="B1531" t="s">
        <v>7</v>
      </c>
      <c r="C1531" t="s">
        <v>26</v>
      </c>
      <c r="D1531">
        <v>26</v>
      </c>
      <c r="E1531">
        <v>50</v>
      </c>
      <c r="F1531">
        <v>0</v>
      </c>
      <c r="G1531">
        <v>27</v>
      </c>
      <c r="H1531" t="s">
        <v>71</v>
      </c>
      <c r="I1531">
        <v>103</v>
      </c>
    </row>
    <row r="1532" spans="1:9" x14ac:dyDescent="0.3">
      <c r="A1532">
        <v>218</v>
      </c>
      <c r="B1532" t="s">
        <v>7</v>
      </c>
      <c r="C1532" t="s">
        <v>27</v>
      </c>
      <c r="D1532">
        <v>39</v>
      </c>
      <c r="E1532">
        <v>8</v>
      </c>
      <c r="F1532">
        <v>0</v>
      </c>
      <c r="G1532">
        <v>38</v>
      </c>
      <c r="H1532" t="s">
        <v>78</v>
      </c>
      <c r="I1532">
        <v>85</v>
      </c>
    </row>
    <row r="1533" spans="1:9" x14ac:dyDescent="0.3">
      <c r="A1533">
        <v>218</v>
      </c>
      <c r="B1533" t="s">
        <v>33</v>
      </c>
      <c r="C1533" t="s">
        <v>8</v>
      </c>
      <c r="D1533">
        <v>0</v>
      </c>
      <c r="E1533">
        <v>0</v>
      </c>
      <c r="F1533">
        <v>1</v>
      </c>
      <c r="G1533">
        <v>0</v>
      </c>
      <c r="H1533" t="s">
        <v>8</v>
      </c>
      <c r="I1533">
        <v>1</v>
      </c>
    </row>
    <row r="1534" spans="1:9" x14ac:dyDescent="0.3">
      <c r="A1534">
        <v>218</v>
      </c>
      <c r="B1534" t="s">
        <v>33</v>
      </c>
      <c r="C1534" t="s">
        <v>9</v>
      </c>
      <c r="D1534">
        <v>0</v>
      </c>
      <c r="E1534">
        <v>0</v>
      </c>
      <c r="F1534">
        <v>38</v>
      </c>
      <c r="G1534">
        <v>0</v>
      </c>
      <c r="H1534" t="s">
        <v>9</v>
      </c>
      <c r="I1534">
        <v>38</v>
      </c>
    </row>
    <row r="1535" spans="1:9" x14ac:dyDescent="0.3">
      <c r="A1535">
        <v>218</v>
      </c>
      <c r="B1535" t="s">
        <v>33</v>
      </c>
      <c r="C1535" t="s">
        <v>26</v>
      </c>
      <c r="D1535">
        <v>19</v>
      </c>
      <c r="E1535">
        <v>0</v>
      </c>
      <c r="F1535">
        <v>5</v>
      </c>
      <c r="G1535">
        <v>24</v>
      </c>
      <c r="H1535" t="s">
        <v>71</v>
      </c>
      <c r="I1535">
        <v>48</v>
      </c>
    </row>
    <row r="1536" spans="1:9" x14ac:dyDescent="0.3">
      <c r="A1536">
        <v>218</v>
      </c>
      <c r="B1536" t="s">
        <v>33</v>
      </c>
      <c r="C1536" t="s">
        <v>29</v>
      </c>
      <c r="D1536">
        <v>22</v>
      </c>
      <c r="E1536">
        <v>8</v>
      </c>
      <c r="F1536">
        <v>0</v>
      </c>
      <c r="G1536">
        <v>25</v>
      </c>
      <c r="H1536" t="s">
        <v>67</v>
      </c>
      <c r="I1536">
        <v>55</v>
      </c>
    </row>
    <row r="1537" spans="1:9" x14ac:dyDescent="0.3">
      <c r="A1537">
        <v>219</v>
      </c>
      <c r="B1537" t="s">
        <v>7</v>
      </c>
      <c r="C1537" t="s">
        <v>14</v>
      </c>
      <c r="D1537">
        <v>15</v>
      </c>
      <c r="E1537">
        <v>0</v>
      </c>
      <c r="F1537">
        <v>0</v>
      </c>
      <c r="G1537">
        <v>9</v>
      </c>
      <c r="H1537" t="s">
        <v>62</v>
      </c>
      <c r="I1537">
        <v>24</v>
      </c>
    </row>
    <row r="1538" spans="1:9" x14ac:dyDescent="0.3">
      <c r="A1538">
        <v>219</v>
      </c>
      <c r="B1538" t="s">
        <v>7</v>
      </c>
      <c r="C1538" t="s">
        <v>22</v>
      </c>
      <c r="D1538">
        <v>0</v>
      </c>
      <c r="E1538">
        <v>0</v>
      </c>
      <c r="F1538">
        <v>0</v>
      </c>
      <c r="G1538">
        <v>4</v>
      </c>
      <c r="H1538" t="s">
        <v>76</v>
      </c>
      <c r="I1538">
        <v>4</v>
      </c>
    </row>
    <row r="1539" spans="1:9" x14ac:dyDescent="0.3">
      <c r="A1539">
        <v>219</v>
      </c>
      <c r="B1539" t="s">
        <v>7</v>
      </c>
      <c r="C1539" t="s">
        <v>25</v>
      </c>
      <c r="D1539">
        <v>0</v>
      </c>
      <c r="E1539">
        <v>0</v>
      </c>
      <c r="F1539">
        <v>0</v>
      </c>
      <c r="G1539">
        <v>5</v>
      </c>
      <c r="H1539" t="s">
        <v>79</v>
      </c>
      <c r="I1539">
        <v>5</v>
      </c>
    </row>
    <row r="1540" spans="1:9" x14ac:dyDescent="0.3">
      <c r="A1540">
        <v>219</v>
      </c>
      <c r="B1540" t="s">
        <v>7</v>
      </c>
      <c r="C1540" t="s">
        <v>26</v>
      </c>
      <c r="D1540">
        <v>0</v>
      </c>
      <c r="E1540">
        <v>3</v>
      </c>
      <c r="F1540">
        <v>0</v>
      </c>
      <c r="G1540">
        <v>6</v>
      </c>
      <c r="H1540" t="s">
        <v>71</v>
      </c>
      <c r="I1540">
        <v>9</v>
      </c>
    </row>
    <row r="1541" spans="1:9" x14ac:dyDescent="0.3">
      <c r="A1541">
        <v>219</v>
      </c>
      <c r="B1541" t="s">
        <v>7</v>
      </c>
      <c r="C1541" t="s">
        <v>27</v>
      </c>
      <c r="D1541">
        <v>10</v>
      </c>
      <c r="E1541">
        <v>0</v>
      </c>
      <c r="F1541">
        <v>0</v>
      </c>
      <c r="G1541">
        <v>7</v>
      </c>
      <c r="H1541" t="s">
        <v>78</v>
      </c>
      <c r="I1541">
        <v>17</v>
      </c>
    </row>
    <row r="1542" spans="1:9" x14ac:dyDescent="0.3">
      <c r="A1542">
        <v>219</v>
      </c>
      <c r="B1542" t="s">
        <v>7</v>
      </c>
      <c r="C1542" t="s">
        <v>29</v>
      </c>
      <c r="D1542">
        <v>16</v>
      </c>
      <c r="E1542">
        <v>34</v>
      </c>
      <c r="F1542">
        <v>104</v>
      </c>
      <c r="G1542">
        <v>44</v>
      </c>
      <c r="H1542" t="s">
        <v>67</v>
      </c>
      <c r="I1542">
        <v>198</v>
      </c>
    </row>
    <row r="1543" spans="1:9" x14ac:dyDescent="0.3">
      <c r="A1543">
        <v>219</v>
      </c>
      <c r="B1543" t="s">
        <v>33</v>
      </c>
      <c r="C1543" t="s">
        <v>8</v>
      </c>
      <c r="D1543">
        <v>0</v>
      </c>
      <c r="E1543">
        <v>0</v>
      </c>
      <c r="F1543">
        <v>1</v>
      </c>
      <c r="G1543">
        <v>0</v>
      </c>
      <c r="H1543" t="s">
        <v>8</v>
      </c>
      <c r="I1543">
        <v>1</v>
      </c>
    </row>
    <row r="1544" spans="1:9" x14ac:dyDescent="0.3">
      <c r="A1544">
        <v>219</v>
      </c>
      <c r="B1544" t="s">
        <v>33</v>
      </c>
      <c r="C1544" t="s">
        <v>9</v>
      </c>
      <c r="D1544">
        <v>0</v>
      </c>
      <c r="E1544">
        <v>0</v>
      </c>
      <c r="F1544">
        <v>7</v>
      </c>
      <c r="G1544">
        <v>0</v>
      </c>
      <c r="H1544" t="s">
        <v>9</v>
      </c>
      <c r="I1544">
        <v>7</v>
      </c>
    </row>
    <row r="1545" spans="1:9" x14ac:dyDescent="0.3">
      <c r="A1545">
        <v>219</v>
      </c>
      <c r="B1545" t="s">
        <v>33</v>
      </c>
      <c r="C1545" t="s">
        <v>20</v>
      </c>
      <c r="D1545">
        <v>16</v>
      </c>
      <c r="E1545">
        <v>0</v>
      </c>
      <c r="F1545">
        <v>0</v>
      </c>
      <c r="G1545">
        <v>19</v>
      </c>
      <c r="H1545" t="s">
        <v>60</v>
      </c>
      <c r="I1545">
        <v>35</v>
      </c>
    </row>
    <row r="1546" spans="1:9" x14ac:dyDescent="0.3">
      <c r="A1546">
        <v>219</v>
      </c>
      <c r="B1546" t="s">
        <v>33</v>
      </c>
      <c r="C1546" t="s">
        <v>29</v>
      </c>
      <c r="D1546">
        <v>34</v>
      </c>
      <c r="E1546">
        <v>15</v>
      </c>
      <c r="F1546">
        <v>58</v>
      </c>
      <c r="G1546">
        <v>36</v>
      </c>
      <c r="H1546" t="s">
        <v>67</v>
      </c>
      <c r="I1546">
        <v>143</v>
      </c>
    </row>
    <row r="1547" spans="1:9" x14ac:dyDescent="0.3">
      <c r="A1547">
        <v>220</v>
      </c>
      <c r="B1547" t="s">
        <v>7</v>
      </c>
      <c r="C1547" t="s">
        <v>11</v>
      </c>
      <c r="D1547">
        <v>16</v>
      </c>
      <c r="E1547">
        <v>0</v>
      </c>
      <c r="F1547">
        <v>0</v>
      </c>
      <c r="G1547">
        <v>14</v>
      </c>
      <c r="H1547" t="s">
        <v>63</v>
      </c>
      <c r="I1547">
        <v>30</v>
      </c>
    </row>
    <row r="1548" spans="1:9" x14ac:dyDescent="0.3">
      <c r="A1548">
        <v>220</v>
      </c>
      <c r="B1548" t="s">
        <v>7</v>
      </c>
      <c r="C1548" t="s">
        <v>14</v>
      </c>
      <c r="D1548">
        <v>62</v>
      </c>
      <c r="E1548">
        <v>72</v>
      </c>
      <c r="F1548">
        <v>0</v>
      </c>
      <c r="G1548">
        <v>62</v>
      </c>
      <c r="H1548" t="s">
        <v>62</v>
      </c>
      <c r="I1548">
        <v>196</v>
      </c>
    </row>
    <row r="1549" spans="1:9" x14ac:dyDescent="0.3">
      <c r="A1549">
        <v>220</v>
      </c>
      <c r="B1549" t="s">
        <v>33</v>
      </c>
      <c r="C1549" t="s">
        <v>8</v>
      </c>
      <c r="D1549">
        <v>0</v>
      </c>
      <c r="E1549">
        <v>0</v>
      </c>
      <c r="F1549">
        <v>1</v>
      </c>
      <c r="G1549">
        <v>0</v>
      </c>
      <c r="H1549" t="s">
        <v>8</v>
      </c>
      <c r="I1549">
        <v>1</v>
      </c>
    </row>
    <row r="1550" spans="1:9" x14ac:dyDescent="0.3">
      <c r="A1550">
        <v>220</v>
      </c>
      <c r="B1550" t="s">
        <v>33</v>
      </c>
      <c r="C1550" t="s">
        <v>9</v>
      </c>
      <c r="D1550">
        <v>0</v>
      </c>
      <c r="E1550">
        <v>0</v>
      </c>
      <c r="F1550">
        <v>23</v>
      </c>
      <c r="G1550">
        <v>0</v>
      </c>
      <c r="H1550" t="s">
        <v>9</v>
      </c>
      <c r="I1550">
        <v>23</v>
      </c>
    </row>
    <row r="1551" spans="1:9" x14ac:dyDescent="0.3">
      <c r="A1551">
        <v>220</v>
      </c>
      <c r="B1551" t="s">
        <v>33</v>
      </c>
      <c r="C1551" t="s">
        <v>14</v>
      </c>
      <c r="D1551">
        <v>14</v>
      </c>
      <c r="E1551">
        <v>111</v>
      </c>
      <c r="F1551">
        <v>0</v>
      </c>
      <c r="G1551">
        <v>33</v>
      </c>
      <c r="H1551" t="s">
        <v>62</v>
      </c>
      <c r="I1551">
        <v>158</v>
      </c>
    </row>
    <row r="1552" spans="1:9" x14ac:dyDescent="0.3">
      <c r="A1552">
        <v>220</v>
      </c>
      <c r="B1552" t="s">
        <v>33</v>
      </c>
      <c r="C1552" t="s">
        <v>31</v>
      </c>
      <c r="D1552">
        <v>6</v>
      </c>
      <c r="E1552">
        <v>0</v>
      </c>
      <c r="F1552">
        <v>0</v>
      </c>
      <c r="G1552">
        <v>1</v>
      </c>
      <c r="H1552" t="s">
        <v>77</v>
      </c>
      <c r="I1552">
        <v>7</v>
      </c>
    </row>
    <row r="1553" spans="1:9" x14ac:dyDescent="0.3">
      <c r="A1553">
        <v>221</v>
      </c>
      <c r="B1553" t="s">
        <v>7</v>
      </c>
      <c r="C1553" t="s">
        <v>11</v>
      </c>
      <c r="D1553">
        <v>16</v>
      </c>
      <c r="E1553">
        <v>5</v>
      </c>
      <c r="F1553">
        <v>0</v>
      </c>
      <c r="G1553">
        <v>15</v>
      </c>
      <c r="H1553" t="s">
        <v>63</v>
      </c>
      <c r="I1553">
        <v>36</v>
      </c>
    </row>
    <row r="1554" spans="1:9" x14ac:dyDescent="0.3">
      <c r="A1554">
        <v>221</v>
      </c>
      <c r="B1554" t="s">
        <v>7</v>
      </c>
      <c r="C1554" t="s">
        <v>14</v>
      </c>
      <c r="D1554">
        <v>11</v>
      </c>
      <c r="E1554">
        <v>0</v>
      </c>
      <c r="F1554">
        <v>0</v>
      </c>
      <c r="G1554">
        <v>7</v>
      </c>
      <c r="H1554" t="s">
        <v>62</v>
      </c>
      <c r="I1554">
        <v>18</v>
      </c>
    </row>
    <row r="1555" spans="1:9" x14ac:dyDescent="0.3">
      <c r="A1555">
        <v>221</v>
      </c>
      <c r="B1555" t="s">
        <v>7</v>
      </c>
      <c r="C1555" t="s">
        <v>22</v>
      </c>
      <c r="D1555">
        <v>45</v>
      </c>
      <c r="E1555">
        <v>27</v>
      </c>
      <c r="F1555">
        <v>0</v>
      </c>
      <c r="G1555">
        <v>40</v>
      </c>
      <c r="H1555" t="s">
        <v>76</v>
      </c>
      <c r="I1555">
        <v>112</v>
      </c>
    </row>
    <row r="1556" spans="1:9" x14ac:dyDescent="0.3">
      <c r="A1556">
        <v>221</v>
      </c>
      <c r="B1556" t="s">
        <v>7</v>
      </c>
      <c r="C1556" t="s">
        <v>25</v>
      </c>
      <c r="D1556">
        <v>13</v>
      </c>
      <c r="E1556">
        <v>0</v>
      </c>
      <c r="F1556">
        <v>0</v>
      </c>
      <c r="G1556">
        <v>16</v>
      </c>
      <c r="H1556" t="s">
        <v>79</v>
      </c>
      <c r="I1556">
        <v>29</v>
      </c>
    </row>
    <row r="1557" spans="1:9" x14ac:dyDescent="0.3">
      <c r="A1557">
        <v>221</v>
      </c>
      <c r="B1557" t="s">
        <v>7</v>
      </c>
      <c r="C1557" t="s">
        <v>26</v>
      </c>
      <c r="D1557">
        <v>43</v>
      </c>
      <c r="E1557">
        <v>94</v>
      </c>
      <c r="F1557">
        <v>0</v>
      </c>
      <c r="G1557">
        <v>58</v>
      </c>
      <c r="H1557" t="s">
        <v>71</v>
      </c>
      <c r="I1557">
        <v>195</v>
      </c>
    </row>
    <row r="1558" spans="1:9" x14ac:dyDescent="0.3">
      <c r="A1558">
        <v>221</v>
      </c>
      <c r="B1558" t="s">
        <v>7</v>
      </c>
      <c r="C1558" t="s">
        <v>27</v>
      </c>
      <c r="D1558">
        <v>15</v>
      </c>
      <c r="E1558">
        <v>3</v>
      </c>
      <c r="F1558">
        <v>0</v>
      </c>
      <c r="G1558">
        <v>17</v>
      </c>
      <c r="H1558" t="s">
        <v>78</v>
      </c>
      <c r="I1558">
        <v>35</v>
      </c>
    </row>
    <row r="1559" spans="1:9" x14ac:dyDescent="0.3">
      <c r="A1559">
        <v>221</v>
      </c>
      <c r="B1559" t="s">
        <v>7</v>
      </c>
      <c r="C1559" t="s">
        <v>29</v>
      </c>
      <c r="D1559">
        <v>7</v>
      </c>
      <c r="E1559">
        <v>2</v>
      </c>
      <c r="F1559">
        <v>0</v>
      </c>
      <c r="G1559">
        <v>12</v>
      </c>
      <c r="H1559" t="s">
        <v>67</v>
      </c>
      <c r="I1559">
        <v>21</v>
      </c>
    </row>
    <row r="1560" spans="1:9" x14ac:dyDescent="0.3">
      <c r="A1560">
        <v>221</v>
      </c>
      <c r="B1560" t="s">
        <v>33</v>
      </c>
      <c r="C1560" t="s">
        <v>9</v>
      </c>
      <c r="D1560">
        <v>0</v>
      </c>
      <c r="E1560">
        <v>0</v>
      </c>
      <c r="F1560">
        <v>29</v>
      </c>
      <c r="G1560">
        <v>0</v>
      </c>
      <c r="H1560" t="s">
        <v>9</v>
      </c>
      <c r="I1560">
        <v>29</v>
      </c>
    </row>
    <row r="1561" spans="1:9" x14ac:dyDescent="0.3">
      <c r="A1561">
        <v>222</v>
      </c>
      <c r="B1561" t="s">
        <v>7</v>
      </c>
      <c r="C1561" t="s">
        <v>11</v>
      </c>
      <c r="D1561">
        <v>37</v>
      </c>
      <c r="E1561">
        <v>14</v>
      </c>
      <c r="F1561">
        <v>0</v>
      </c>
      <c r="G1561">
        <v>24</v>
      </c>
      <c r="H1561" t="s">
        <v>63</v>
      </c>
      <c r="I1561">
        <v>75</v>
      </c>
    </row>
    <row r="1562" spans="1:9" x14ac:dyDescent="0.3">
      <c r="A1562">
        <v>222</v>
      </c>
      <c r="B1562" t="s">
        <v>7</v>
      </c>
      <c r="C1562" t="s">
        <v>14</v>
      </c>
      <c r="D1562">
        <v>29</v>
      </c>
      <c r="E1562">
        <v>31</v>
      </c>
      <c r="F1562">
        <v>0</v>
      </c>
      <c r="G1562">
        <v>41</v>
      </c>
      <c r="H1562" t="s">
        <v>62</v>
      </c>
      <c r="I1562">
        <v>101</v>
      </c>
    </row>
    <row r="1563" spans="1:9" x14ac:dyDescent="0.3">
      <c r="A1563">
        <v>222</v>
      </c>
      <c r="B1563" t="s">
        <v>7</v>
      </c>
      <c r="C1563" t="s">
        <v>22</v>
      </c>
      <c r="D1563">
        <v>21</v>
      </c>
      <c r="E1563">
        <v>1</v>
      </c>
      <c r="F1563">
        <v>0</v>
      </c>
      <c r="G1563">
        <v>17</v>
      </c>
      <c r="H1563" t="s">
        <v>76</v>
      </c>
      <c r="I1563">
        <v>39</v>
      </c>
    </row>
    <row r="1564" spans="1:9" x14ac:dyDescent="0.3">
      <c r="A1564">
        <v>222</v>
      </c>
      <c r="B1564" t="s">
        <v>7</v>
      </c>
      <c r="C1564" t="s">
        <v>25</v>
      </c>
      <c r="D1564">
        <v>5</v>
      </c>
      <c r="E1564">
        <v>0</v>
      </c>
      <c r="F1564">
        <v>0</v>
      </c>
      <c r="G1564">
        <v>7</v>
      </c>
      <c r="H1564" t="s">
        <v>79</v>
      </c>
      <c r="I1564">
        <v>12</v>
      </c>
    </row>
    <row r="1565" spans="1:9" x14ac:dyDescent="0.3">
      <c r="A1565">
        <v>222</v>
      </c>
      <c r="B1565" t="s">
        <v>7</v>
      </c>
      <c r="C1565" t="s">
        <v>26</v>
      </c>
      <c r="D1565">
        <v>14</v>
      </c>
      <c r="E1565">
        <v>12</v>
      </c>
      <c r="F1565">
        <v>0</v>
      </c>
      <c r="G1565">
        <v>25</v>
      </c>
      <c r="H1565" t="s">
        <v>71</v>
      </c>
      <c r="I1565">
        <v>51</v>
      </c>
    </row>
    <row r="1566" spans="1:9" x14ac:dyDescent="0.3">
      <c r="A1566">
        <v>222</v>
      </c>
      <c r="B1566" t="s">
        <v>7</v>
      </c>
      <c r="C1566" t="s">
        <v>27</v>
      </c>
      <c r="D1566">
        <v>15</v>
      </c>
      <c r="E1566">
        <v>0</v>
      </c>
      <c r="F1566">
        <v>0</v>
      </c>
      <c r="G1566">
        <v>13</v>
      </c>
      <c r="H1566" t="s">
        <v>78</v>
      </c>
      <c r="I1566">
        <v>28</v>
      </c>
    </row>
    <row r="1567" spans="1:9" x14ac:dyDescent="0.3">
      <c r="A1567">
        <v>222</v>
      </c>
      <c r="B1567" t="s">
        <v>7</v>
      </c>
      <c r="C1567" t="s">
        <v>29</v>
      </c>
      <c r="D1567">
        <v>26</v>
      </c>
      <c r="E1567">
        <v>0</v>
      </c>
      <c r="F1567">
        <v>0</v>
      </c>
      <c r="G1567">
        <v>23</v>
      </c>
      <c r="H1567" t="s">
        <v>67</v>
      </c>
      <c r="I1567">
        <v>49</v>
      </c>
    </row>
    <row r="1568" spans="1:9" x14ac:dyDescent="0.3">
      <c r="A1568">
        <v>222</v>
      </c>
      <c r="B1568" t="s">
        <v>33</v>
      </c>
      <c r="C1568" t="s">
        <v>8</v>
      </c>
      <c r="D1568">
        <v>0</v>
      </c>
      <c r="E1568">
        <v>0</v>
      </c>
      <c r="F1568">
        <v>2</v>
      </c>
      <c r="G1568">
        <v>0</v>
      </c>
      <c r="H1568" t="s">
        <v>8</v>
      </c>
      <c r="I1568">
        <v>2</v>
      </c>
    </row>
    <row r="1569" spans="1:9" x14ac:dyDescent="0.3">
      <c r="A1569">
        <v>222</v>
      </c>
      <c r="B1569" t="s">
        <v>33</v>
      </c>
      <c r="C1569" t="s">
        <v>9</v>
      </c>
      <c r="D1569">
        <v>0</v>
      </c>
      <c r="E1569">
        <v>0</v>
      </c>
      <c r="F1569">
        <v>53</v>
      </c>
      <c r="G1569">
        <v>0</v>
      </c>
      <c r="H1569" t="s">
        <v>9</v>
      </c>
      <c r="I1569">
        <v>53</v>
      </c>
    </row>
    <row r="1570" spans="1:9" x14ac:dyDescent="0.3">
      <c r="A1570">
        <v>223</v>
      </c>
      <c r="B1570" t="s">
        <v>7</v>
      </c>
      <c r="C1570" t="s">
        <v>11</v>
      </c>
      <c r="D1570">
        <v>23</v>
      </c>
      <c r="E1570">
        <v>0</v>
      </c>
      <c r="F1570">
        <v>0</v>
      </c>
      <c r="G1570">
        <v>15</v>
      </c>
      <c r="H1570" t="s">
        <v>63</v>
      </c>
      <c r="I1570">
        <v>38</v>
      </c>
    </row>
    <row r="1571" spans="1:9" x14ac:dyDescent="0.3">
      <c r="A1571">
        <v>223</v>
      </c>
      <c r="B1571" t="s">
        <v>7</v>
      </c>
      <c r="C1571" t="s">
        <v>14</v>
      </c>
      <c r="D1571">
        <v>45</v>
      </c>
      <c r="E1571">
        <v>92</v>
      </c>
      <c r="F1571">
        <v>0</v>
      </c>
      <c r="G1571">
        <v>47</v>
      </c>
      <c r="H1571" t="s">
        <v>62</v>
      </c>
      <c r="I1571">
        <v>184</v>
      </c>
    </row>
    <row r="1572" spans="1:9" x14ac:dyDescent="0.3">
      <c r="A1572">
        <v>223</v>
      </c>
      <c r="B1572" t="s">
        <v>7</v>
      </c>
      <c r="C1572" t="s">
        <v>22</v>
      </c>
      <c r="D1572">
        <v>24</v>
      </c>
      <c r="E1572">
        <v>12</v>
      </c>
      <c r="F1572">
        <v>0</v>
      </c>
      <c r="G1572">
        <v>18</v>
      </c>
      <c r="H1572" t="s">
        <v>76</v>
      </c>
      <c r="I1572">
        <v>54</v>
      </c>
    </row>
    <row r="1573" spans="1:9" x14ac:dyDescent="0.3">
      <c r="A1573">
        <v>223</v>
      </c>
      <c r="B1573" t="s">
        <v>7</v>
      </c>
      <c r="C1573" t="s">
        <v>23</v>
      </c>
      <c r="D1573">
        <v>16</v>
      </c>
      <c r="E1573">
        <v>0</v>
      </c>
      <c r="F1573">
        <v>0</v>
      </c>
      <c r="G1573">
        <v>11</v>
      </c>
      <c r="H1573" t="s">
        <v>73</v>
      </c>
      <c r="I1573">
        <v>27</v>
      </c>
    </row>
    <row r="1574" spans="1:9" x14ac:dyDescent="0.3">
      <c r="A1574">
        <v>223</v>
      </c>
      <c r="B1574" t="s">
        <v>7</v>
      </c>
      <c r="C1574" t="s">
        <v>25</v>
      </c>
      <c r="D1574">
        <v>1</v>
      </c>
      <c r="E1574">
        <v>0</v>
      </c>
      <c r="F1574">
        <v>0</v>
      </c>
      <c r="G1574">
        <v>7</v>
      </c>
      <c r="H1574" t="s">
        <v>79</v>
      </c>
      <c r="I1574">
        <v>8</v>
      </c>
    </row>
    <row r="1575" spans="1:9" x14ac:dyDescent="0.3">
      <c r="A1575">
        <v>223</v>
      </c>
      <c r="B1575" t="s">
        <v>7</v>
      </c>
      <c r="C1575" t="s">
        <v>26</v>
      </c>
      <c r="D1575">
        <v>5</v>
      </c>
      <c r="E1575">
        <v>5</v>
      </c>
      <c r="F1575">
        <v>0</v>
      </c>
      <c r="G1575">
        <v>12</v>
      </c>
      <c r="H1575" t="s">
        <v>71</v>
      </c>
      <c r="I1575">
        <v>22</v>
      </c>
    </row>
    <row r="1576" spans="1:9" x14ac:dyDescent="0.3">
      <c r="A1576">
        <v>223</v>
      </c>
      <c r="B1576" t="s">
        <v>7</v>
      </c>
      <c r="C1576" t="s">
        <v>27</v>
      </c>
      <c r="D1576">
        <v>1</v>
      </c>
      <c r="E1576">
        <v>4</v>
      </c>
      <c r="F1576">
        <v>2</v>
      </c>
      <c r="G1576">
        <v>3</v>
      </c>
      <c r="H1576" t="s">
        <v>78</v>
      </c>
      <c r="I1576">
        <v>10</v>
      </c>
    </row>
    <row r="1577" spans="1:9" x14ac:dyDescent="0.3">
      <c r="A1577">
        <v>223</v>
      </c>
      <c r="B1577" t="s">
        <v>33</v>
      </c>
      <c r="C1577" t="s">
        <v>8</v>
      </c>
      <c r="D1577">
        <v>0</v>
      </c>
      <c r="E1577">
        <v>0</v>
      </c>
      <c r="F1577">
        <v>5</v>
      </c>
      <c r="G1577">
        <v>0</v>
      </c>
      <c r="H1577" t="s">
        <v>8</v>
      </c>
      <c r="I1577">
        <v>5</v>
      </c>
    </row>
    <row r="1578" spans="1:9" x14ac:dyDescent="0.3">
      <c r="A1578">
        <v>223</v>
      </c>
      <c r="B1578" t="s">
        <v>33</v>
      </c>
      <c r="C1578" t="s">
        <v>9</v>
      </c>
      <c r="D1578">
        <v>0</v>
      </c>
      <c r="E1578">
        <v>0</v>
      </c>
      <c r="F1578">
        <v>50</v>
      </c>
      <c r="G1578">
        <v>0</v>
      </c>
      <c r="H1578" t="s">
        <v>9</v>
      </c>
      <c r="I1578">
        <v>50</v>
      </c>
    </row>
    <row r="1579" spans="1:9" x14ac:dyDescent="0.3">
      <c r="A1579">
        <v>223</v>
      </c>
      <c r="B1579" t="s">
        <v>33</v>
      </c>
      <c r="C1579" t="s">
        <v>15</v>
      </c>
      <c r="D1579">
        <v>0</v>
      </c>
      <c r="E1579">
        <v>0</v>
      </c>
      <c r="F1579">
        <v>0</v>
      </c>
      <c r="G1579">
        <v>2</v>
      </c>
      <c r="H1579" t="s">
        <v>65</v>
      </c>
      <c r="I1579">
        <v>2</v>
      </c>
    </row>
    <row r="1580" spans="1:9" x14ac:dyDescent="0.3">
      <c r="A1580">
        <v>223</v>
      </c>
      <c r="B1580" t="s">
        <v>33</v>
      </c>
      <c r="C1580" t="s">
        <v>29</v>
      </c>
      <c r="D1580">
        <v>28</v>
      </c>
      <c r="E1580">
        <v>6</v>
      </c>
      <c r="F1580">
        <v>0</v>
      </c>
      <c r="G1580">
        <v>16</v>
      </c>
      <c r="H1580" t="s">
        <v>67</v>
      </c>
      <c r="I1580">
        <v>50</v>
      </c>
    </row>
    <row r="1581" spans="1:9" x14ac:dyDescent="0.3">
      <c r="A1581">
        <v>224</v>
      </c>
      <c r="B1581" t="s">
        <v>7</v>
      </c>
      <c r="C1581" t="s">
        <v>11</v>
      </c>
      <c r="D1581">
        <v>22</v>
      </c>
      <c r="E1581">
        <v>0</v>
      </c>
      <c r="F1581">
        <v>0</v>
      </c>
      <c r="G1581">
        <v>6</v>
      </c>
      <c r="H1581" t="s">
        <v>63</v>
      </c>
      <c r="I1581">
        <v>28</v>
      </c>
    </row>
    <row r="1582" spans="1:9" x14ac:dyDescent="0.3">
      <c r="A1582">
        <v>224</v>
      </c>
      <c r="B1582" t="s">
        <v>7</v>
      </c>
      <c r="C1582" t="s">
        <v>22</v>
      </c>
      <c r="D1582">
        <v>24</v>
      </c>
      <c r="E1582">
        <v>0</v>
      </c>
      <c r="F1582">
        <v>0</v>
      </c>
      <c r="G1582">
        <v>17</v>
      </c>
      <c r="H1582" t="s">
        <v>76</v>
      </c>
      <c r="I1582">
        <v>41</v>
      </c>
    </row>
    <row r="1583" spans="1:9" x14ac:dyDescent="0.3">
      <c r="A1583">
        <v>224</v>
      </c>
      <c r="B1583" t="s">
        <v>7</v>
      </c>
      <c r="C1583" t="s">
        <v>23</v>
      </c>
      <c r="D1583">
        <v>13</v>
      </c>
      <c r="E1583">
        <v>0</v>
      </c>
      <c r="F1583">
        <v>0</v>
      </c>
      <c r="G1583">
        <v>6</v>
      </c>
      <c r="H1583" t="s">
        <v>73</v>
      </c>
      <c r="I1583">
        <v>19</v>
      </c>
    </row>
    <row r="1584" spans="1:9" x14ac:dyDescent="0.3">
      <c r="A1584">
        <v>224</v>
      </c>
      <c r="B1584" t="s">
        <v>7</v>
      </c>
      <c r="C1584" t="s">
        <v>25</v>
      </c>
      <c r="D1584">
        <v>15</v>
      </c>
      <c r="E1584">
        <v>12</v>
      </c>
      <c r="F1584">
        <v>0</v>
      </c>
      <c r="G1584">
        <v>16</v>
      </c>
      <c r="H1584" t="s">
        <v>79</v>
      </c>
      <c r="I1584">
        <v>43</v>
      </c>
    </row>
    <row r="1585" spans="1:9" x14ac:dyDescent="0.3">
      <c r="A1585">
        <v>224</v>
      </c>
      <c r="B1585" t="s">
        <v>7</v>
      </c>
      <c r="C1585" t="s">
        <v>27</v>
      </c>
      <c r="D1585">
        <v>5</v>
      </c>
      <c r="E1585">
        <v>1</v>
      </c>
      <c r="F1585">
        <v>0</v>
      </c>
      <c r="G1585">
        <v>6</v>
      </c>
      <c r="H1585" t="s">
        <v>78</v>
      </c>
      <c r="I1585">
        <v>12</v>
      </c>
    </row>
    <row r="1586" spans="1:9" x14ac:dyDescent="0.3">
      <c r="A1586">
        <v>224</v>
      </c>
      <c r="B1586" t="s">
        <v>7</v>
      </c>
      <c r="C1586" t="s">
        <v>29</v>
      </c>
      <c r="D1586">
        <v>8</v>
      </c>
      <c r="E1586">
        <v>0</v>
      </c>
      <c r="F1586">
        <v>0</v>
      </c>
      <c r="G1586">
        <v>0</v>
      </c>
      <c r="H1586" t="s">
        <v>67</v>
      </c>
      <c r="I1586">
        <v>8</v>
      </c>
    </row>
    <row r="1587" spans="1:9" x14ac:dyDescent="0.3">
      <c r="A1587">
        <v>224</v>
      </c>
      <c r="B1587" t="s">
        <v>33</v>
      </c>
      <c r="C1587" t="s">
        <v>8</v>
      </c>
      <c r="D1587">
        <v>0</v>
      </c>
      <c r="E1587">
        <v>0</v>
      </c>
      <c r="F1587">
        <v>1</v>
      </c>
      <c r="G1587">
        <v>0</v>
      </c>
      <c r="H1587" t="s">
        <v>8</v>
      </c>
      <c r="I1587">
        <v>1</v>
      </c>
    </row>
    <row r="1588" spans="1:9" x14ac:dyDescent="0.3">
      <c r="A1588">
        <v>224</v>
      </c>
      <c r="B1588" t="s">
        <v>33</v>
      </c>
      <c r="C1588" t="s">
        <v>9</v>
      </c>
      <c r="D1588">
        <v>0</v>
      </c>
      <c r="E1588">
        <v>0</v>
      </c>
      <c r="F1588">
        <v>52</v>
      </c>
      <c r="G1588">
        <v>0</v>
      </c>
      <c r="H1588" t="s">
        <v>9</v>
      </c>
      <c r="I1588">
        <v>52</v>
      </c>
    </row>
    <row r="1589" spans="1:9" x14ac:dyDescent="0.3">
      <c r="A1589">
        <v>224</v>
      </c>
      <c r="B1589" t="s">
        <v>33</v>
      </c>
      <c r="C1589" t="s">
        <v>11</v>
      </c>
      <c r="D1589">
        <v>0</v>
      </c>
      <c r="E1589">
        <v>0</v>
      </c>
      <c r="F1589">
        <v>0</v>
      </c>
      <c r="G1589">
        <v>5</v>
      </c>
      <c r="H1589" t="s">
        <v>63</v>
      </c>
      <c r="I1589">
        <v>5</v>
      </c>
    </row>
    <row r="1590" spans="1:9" x14ac:dyDescent="0.3">
      <c r="A1590">
        <v>224</v>
      </c>
      <c r="B1590" t="s">
        <v>33</v>
      </c>
      <c r="C1590" t="s">
        <v>14</v>
      </c>
      <c r="D1590">
        <v>41</v>
      </c>
      <c r="E1590">
        <v>80</v>
      </c>
      <c r="F1590">
        <v>0</v>
      </c>
      <c r="G1590">
        <v>59</v>
      </c>
      <c r="H1590" t="s">
        <v>62</v>
      </c>
      <c r="I1590">
        <v>180</v>
      </c>
    </row>
    <row r="1591" spans="1:9" x14ac:dyDescent="0.3">
      <c r="A1591">
        <v>224</v>
      </c>
      <c r="B1591" t="s">
        <v>33</v>
      </c>
      <c r="C1591" t="s">
        <v>23</v>
      </c>
      <c r="D1591">
        <v>3</v>
      </c>
      <c r="E1591">
        <v>0</v>
      </c>
      <c r="F1591">
        <v>0</v>
      </c>
      <c r="G1591">
        <v>3</v>
      </c>
      <c r="H1591" t="s">
        <v>73</v>
      </c>
      <c r="I1591">
        <v>6</v>
      </c>
    </row>
    <row r="1592" spans="1:9" x14ac:dyDescent="0.3">
      <c r="A1592">
        <v>224</v>
      </c>
      <c r="B1592" t="s">
        <v>33</v>
      </c>
      <c r="C1592" t="s">
        <v>26</v>
      </c>
      <c r="D1592">
        <v>14</v>
      </c>
      <c r="E1592">
        <v>3</v>
      </c>
      <c r="F1592">
        <v>0</v>
      </c>
      <c r="G1592">
        <v>13</v>
      </c>
      <c r="H1592" t="s">
        <v>71</v>
      </c>
      <c r="I1592">
        <v>30</v>
      </c>
    </row>
    <row r="1593" spans="1:9" x14ac:dyDescent="0.3">
      <c r="A1593">
        <v>224</v>
      </c>
      <c r="B1593" t="s">
        <v>33</v>
      </c>
      <c r="C1593" t="s">
        <v>29</v>
      </c>
      <c r="D1593">
        <v>21</v>
      </c>
      <c r="E1593">
        <v>0</v>
      </c>
      <c r="F1593">
        <v>0</v>
      </c>
      <c r="G1593">
        <v>17</v>
      </c>
      <c r="H1593" t="s">
        <v>67</v>
      </c>
      <c r="I1593">
        <v>38</v>
      </c>
    </row>
    <row r="1594" spans="1:9" x14ac:dyDescent="0.3">
      <c r="A1594">
        <v>224</v>
      </c>
      <c r="B1594" t="s">
        <v>33</v>
      </c>
      <c r="C1594" t="s">
        <v>31</v>
      </c>
      <c r="D1594">
        <v>10</v>
      </c>
      <c r="E1594">
        <v>0</v>
      </c>
      <c r="F1594">
        <v>0</v>
      </c>
      <c r="G1594">
        <v>9</v>
      </c>
      <c r="H1594" t="s">
        <v>77</v>
      </c>
      <c r="I1594">
        <v>19</v>
      </c>
    </row>
    <row r="1595" spans="1:9" x14ac:dyDescent="0.3">
      <c r="A1595">
        <v>225</v>
      </c>
      <c r="B1595" t="s">
        <v>7</v>
      </c>
      <c r="C1595" t="s">
        <v>11</v>
      </c>
      <c r="D1595">
        <v>19</v>
      </c>
      <c r="E1595">
        <v>6</v>
      </c>
      <c r="F1595">
        <v>0</v>
      </c>
      <c r="G1595">
        <v>20</v>
      </c>
      <c r="H1595" t="s">
        <v>63</v>
      </c>
      <c r="I1595">
        <v>45</v>
      </c>
    </row>
    <row r="1596" spans="1:9" x14ac:dyDescent="0.3">
      <c r="A1596">
        <v>225</v>
      </c>
      <c r="B1596" t="s">
        <v>7</v>
      </c>
      <c r="C1596" t="s">
        <v>22</v>
      </c>
      <c r="D1596">
        <v>21</v>
      </c>
      <c r="E1596">
        <v>11</v>
      </c>
      <c r="F1596">
        <v>0</v>
      </c>
      <c r="G1596">
        <v>15</v>
      </c>
      <c r="H1596" t="s">
        <v>76</v>
      </c>
      <c r="I1596">
        <v>47</v>
      </c>
    </row>
    <row r="1597" spans="1:9" x14ac:dyDescent="0.3">
      <c r="A1597">
        <v>225</v>
      </c>
      <c r="B1597" t="s">
        <v>7</v>
      </c>
      <c r="C1597" t="s">
        <v>23</v>
      </c>
      <c r="D1597">
        <v>19</v>
      </c>
      <c r="E1597">
        <v>0</v>
      </c>
      <c r="F1597">
        <v>0</v>
      </c>
      <c r="G1597">
        <v>9</v>
      </c>
      <c r="H1597" t="s">
        <v>73</v>
      </c>
      <c r="I1597">
        <v>28</v>
      </c>
    </row>
    <row r="1598" spans="1:9" x14ac:dyDescent="0.3">
      <c r="A1598">
        <v>225</v>
      </c>
      <c r="B1598" t="s">
        <v>7</v>
      </c>
      <c r="C1598" t="s">
        <v>25</v>
      </c>
      <c r="D1598">
        <v>13</v>
      </c>
      <c r="E1598">
        <v>6</v>
      </c>
      <c r="F1598">
        <v>0</v>
      </c>
      <c r="G1598">
        <v>19</v>
      </c>
      <c r="H1598" t="s">
        <v>79</v>
      </c>
      <c r="I1598">
        <v>38</v>
      </c>
    </row>
    <row r="1599" spans="1:9" x14ac:dyDescent="0.3">
      <c r="A1599">
        <v>225</v>
      </c>
      <c r="B1599" t="s">
        <v>7</v>
      </c>
      <c r="C1599" t="s">
        <v>26</v>
      </c>
      <c r="D1599">
        <v>12</v>
      </c>
      <c r="E1599">
        <v>0</v>
      </c>
      <c r="F1599">
        <v>0</v>
      </c>
      <c r="G1599">
        <v>12</v>
      </c>
      <c r="H1599" t="s">
        <v>71</v>
      </c>
      <c r="I1599">
        <v>24</v>
      </c>
    </row>
    <row r="1600" spans="1:9" x14ac:dyDescent="0.3">
      <c r="A1600">
        <v>225</v>
      </c>
      <c r="B1600" t="s">
        <v>7</v>
      </c>
      <c r="C1600" t="s">
        <v>27</v>
      </c>
      <c r="D1600">
        <v>8</v>
      </c>
      <c r="E1600">
        <v>7</v>
      </c>
      <c r="F1600">
        <v>0</v>
      </c>
      <c r="G1600">
        <v>14</v>
      </c>
      <c r="H1600" t="s">
        <v>78</v>
      </c>
      <c r="I1600">
        <v>29</v>
      </c>
    </row>
    <row r="1601" spans="1:9" x14ac:dyDescent="0.3">
      <c r="A1601">
        <v>225</v>
      </c>
      <c r="B1601" t="s">
        <v>7</v>
      </c>
      <c r="C1601" t="s">
        <v>29</v>
      </c>
      <c r="D1601">
        <v>15</v>
      </c>
      <c r="E1601">
        <v>4</v>
      </c>
      <c r="F1601">
        <v>1</v>
      </c>
      <c r="G1601">
        <v>13</v>
      </c>
      <c r="H1601" t="s">
        <v>67</v>
      </c>
      <c r="I1601">
        <v>33</v>
      </c>
    </row>
    <row r="1602" spans="1:9" x14ac:dyDescent="0.3">
      <c r="A1602">
        <v>225</v>
      </c>
      <c r="B1602" t="s">
        <v>33</v>
      </c>
      <c r="C1602" t="s">
        <v>8</v>
      </c>
      <c r="D1602">
        <v>0</v>
      </c>
      <c r="E1602">
        <v>0</v>
      </c>
      <c r="F1602">
        <v>3</v>
      </c>
      <c r="G1602">
        <v>0</v>
      </c>
      <c r="H1602" t="s">
        <v>8</v>
      </c>
      <c r="I1602">
        <v>3</v>
      </c>
    </row>
    <row r="1603" spans="1:9" x14ac:dyDescent="0.3">
      <c r="A1603">
        <v>225</v>
      </c>
      <c r="B1603" t="s">
        <v>33</v>
      </c>
      <c r="C1603" t="s">
        <v>9</v>
      </c>
      <c r="D1603">
        <v>0</v>
      </c>
      <c r="E1603">
        <v>0</v>
      </c>
      <c r="F1603">
        <v>62</v>
      </c>
      <c r="G1603">
        <v>0</v>
      </c>
      <c r="H1603" t="s">
        <v>9</v>
      </c>
      <c r="I1603">
        <v>62</v>
      </c>
    </row>
    <row r="1604" spans="1:9" x14ac:dyDescent="0.3">
      <c r="A1604">
        <v>225</v>
      </c>
      <c r="B1604" t="s">
        <v>33</v>
      </c>
      <c r="C1604" t="s">
        <v>15</v>
      </c>
      <c r="D1604">
        <v>58</v>
      </c>
      <c r="E1604">
        <v>72</v>
      </c>
      <c r="F1604">
        <v>0</v>
      </c>
      <c r="G1604">
        <v>54</v>
      </c>
      <c r="H1604" t="s">
        <v>65</v>
      </c>
      <c r="I1604">
        <v>184</v>
      </c>
    </row>
    <row r="1605" spans="1:9" x14ac:dyDescent="0.3">
      <c r="A1605">
        <v>225</v>
      </c>
      <c r="B1605" t="s">
        <v>33</v>
      </c>
      <c r="C1605" t="s">
        <v>23</v>
      </c>
      <c r="D1605">
        <v>7</v>
      </c>
      <c r="E1605">
        <v>0</v>
      </c>
      <c r="F1605">
        <v>0</v>
      </c>
      <c r="G1605">
        <v>5</v>
      </c>
      <c r="H1605" t="s">
        <v>73</v>
      </c>
      <c r="I1605">
        <v>12</v>
      </c>
    </row>
    <row r="1606" spans="1:9" x14ac:dyDescent="0.3">
      <c r="A1606">
        <v>226</v>
      </c>
      <c r="B1606" t="s">
        <v>7</v>
      </c>
      <c r="C1606" t="s">
        <v>11</v>
      </c>
      <c r="D1606">
        <v>61</v>
      </c>
      <c r="E1606">
        <v>4</v>
      </c>
      <c r="F1606">
        <v>0</v>
      </c>
      <c r="G1606">
        <v>39</v>
      </c>
      <c r="H1606" t="s">
        <v>63</v>
      </c>
      <c r="I1606">
        <v>104</v>
      </c>
    </row>
    <row r="1607" spans="1:9" x14ac:dyDescent="0.3">
      <c r="A1607">
        <v>226</v>
      </c>
      <c r="B1607" t="s">
        <v>7</v>
      </c>
      <c r="C1607" t="s">
        <v>22</v>
      </c>
      <c r="D1607">
        <v>19</v>
      </c>
      <c r="E1607">
        <v>26</v>
      </c>
      <c r="F1607">
        <v>0</v>
      </c>
      <c r="G1607">
        <v>27</v>
      </c>
      <c r="H1607" t="s">
        <v>76</v>
      </c>
      <c r="I1607">
        <v>72</v>
      </c>
    </row>
    <row r="1608" spans="1:9" x14ac:dyDescent="0.3">
      <c r="A1608">
        <v>226</v>
      </c>
      <c r="B1608" t="s">
        <v>7</v>
      </c>
      <c r="C1608" t="s">
        <v>23</v>
      </c>
      <c r="D1608">
        <v>38</v>
      </c>
      <c r="E1608">
        <v>1</v>
      </c>
      <c r="F1608">
        <v>1</v>
      </c>
      <c r="G1608">
        <v>38</v>
      </c>
      <c r="H1608" t="s">
        <v>73</v>
      </c>
      <c r="I1608">
        <v>78</v>
      </c>
    </row>
    <row r="1609" spans="1:9" x14ac:dyDescent="0.3">
      <c r="A1609">
        <v>226</v>
      </c>
      <c r="B1609" t="s">
        <v>7</v>
      </c>
      <c r="C1609" t="s">
        <v>25</v>
      </c>
      <c r="D1609">
        <v>9</v>
      </c>
      <c r="E1609">
        <v>0</v>
      </c>
      <c r="F1609">
        <v>0</v>
      </c>
      <c r="G1609">
        <v>22</v>
      </c>
      <c r="H1609" t="s">
        <v>79</v>
      </c>
      <c r="I1609">
        <v>31</v>
      </c>
    </row>
    <row r="1610" spans="1:9" x14ac:dyDescent="0.3">
      <c r="A1610">
        <v>226</v>
      </c>
      <c r="B1610" t="s">
        <v>7</v>
      </c>
      <c r="C1610" t="s">
        <v>26</v>
      </c>
      <c r="D1610">
        <v>5</v>
      </c>
      <c r="E1610">
        <v>23</v>
      </c>
      <c r="F1610">
        <v>0</v>
      </c>
      <c r="G1610">
        <v>25</v>
      </c>
      <c r="H1610" t="s">
        <v>71</v>
      </c>
      <c r="I1610">
        <v>53</v>
      </c>
    </row>
    <row r="1611" spans="1:9" x14ac:dyDescent="0.3">
      <c r="A1611">
        <v>226</v>
      </c>
      <c r="B1611" t="s">
        <v>7</v>
      </c>
      <c r="C1611" t="s">
        <v>27</v>
      </c>
      <c r="D1611">
        <v>22</v>
      </c>
      <c r="E1611">
        <v>0</v>
      </c>
      <c r="F1611">
        <v>0</v>
      </c>
      <c r="G1611">
        <v>31</v>
      </c>
      <c r="H1611" t="s">
        <v>78</v>
      </c>
      <c r="I1611">
        <v>53</v>
      </c>
    </row>
    <row r="1612" spans="1:9" x14ac:dyDescent="0.3">
      <c r="A1612">
        <v>226</v>
      </c>
      <c r="B1612" t="s">
        <v>7</v>
      </c>
      <c r="C1612" t="s">
        <v>29</v>
      </c>
      <c r="D1612">
        <v>19</v>
      </c>
      <c r="E1612">
        <v>5</v>
      </c>
      <c r="F1612">
        <v>1</v>
      </c>
      <c r="G1612">
        <v>17</v>
      </c>
      <c r="H1612" t="s">
        <v>67</v>
      </c>
      <c r="I1612">
        <v>42</v>
      </c>
    </row>
    <row r="1613" spans="1:9" x14ac:dyDescent="0.3">
      <c r="A1613">
        <v>226</v>
      </c>
      <c r="B1613" t="s">
        <v>33</v>
      </c>
      <c r="C1613" t="s">
        <v>8</v>
      </c>
      <c r="D1613">
        <v>0</v>
      </c>
      <c r="E1613">
        <v>0</v>
      </c>
      <c r="F1613">
        <v>1</v>
      </c>
      <c r="G1613">
        <v>0</v>
      </c>
      <c r="H1613" t="s">
        <v>8</v>
      </c>
      <c r="I1613">
        <v>1</v>
      </c>
    </row>
    <row r="1614" spans="1:9" x14ac:dyDescent="0.3">
      <c r="A1614">
        <v>226</v>
      </c>
      <c r="B1614" t="s">
        <v>33</v>
      </c>
      <c r="C1614" t="s">
        <v>9</v>
      </c>
      <c r="D1614">
        <v>0</v>
      </c>
      <c r="E1614">
        <v>0</v>
      </c>
      <c r="F1614">
        <v>83</v>
      </c>
      <c r="G1614">
        <v>0</v>
      </c>
      <c r="H1614" t="s">
        <v>9</v>
      </c>
      <c r="I1614">
        <v>83</v>
      </c>
    </row>
    <row r="1615" spans="1:9" x14ac:dyDescent="0.3">
      <c r="A1615">
        <v>226</v>
      </c>
      <c r="B1615" t="s">
        <v>33</v>
      </c>
      <c r="C1615" t="s">
        <v>14</v>
      </c>
      <c r="D1615">
        <v>100</v>
      </c>
      <c r="E1615">
        <v>22</v>
      </c>
      <c r="F1615">
        <v>0</v>
      </c>
      <c r="G1615">
        <v>67</v>
      </c>
      <c r="H1615" t="s">
        <v>62</v>
      </c>
      <c r="I1615">
        <v>189</v>
      </c>
    </row>
    <row r="1616" spans="1:9" x14ac:dyDescent="0.3">
      <c r="A1616">
        <v>226</v>
      </c>
      <c r="B1616" t="s">
        <v>33</v>
      </c>
      <c r="C1616" t="s">
        <v>15</v>
      </c>
      <c r="D1616">
        <v>39</v>
      </c>
      <c r="E1616">
        <v>6</v>
      </c>
      <c r="F1616">
        <v>0</v>
      </c>
      <c r="G1616">
        <v>35</v>
      </c>
      <c r="H1616" t="s">
        <v>65</v>
      </c>
      <c r="I1616">
        <v>80</v>
      </c>
    </row>
    <row r="1617" spans="1:9" x14ac:dyDescent="0.3">
      <c r="A1617">
        <v>226</v>
      </c>
      <c r="B1617" t="s">
        <v>33</v>
      </c>
      <c r="C1617" t="s">
        <v>31</v>
      </c>
      <c r="D1617">
        <v>133</v>
      </c>
      <c r="E1617">
        <v>0</v>
      </c>
      <c r="F1617">
        <v>0</v>
      </c>
      <c r="G1617">
        <v>53</v>
      </c>
      <c r="H1617" t="s">
        <v>77</v>
      </c>
      <c r="I1617">
        <v>186</v>
      </c>
    </row>
    <row r="1618" spans="1:9" x14ac:dyDescent="0.3">
      <c r="A1618">
        <v>227</v>
      </c>
      <c r="B1618" t="s">
        <v>7</v>
      </c>
      <c r="C1618" t="s">
        <v>11</v>
      </c>
      <c r="D1618">
        <v>19</v>
      </c>
      <c r="E1618">
        <v>0</v>
      </c>
      <c r="F1618">
        <v>0</v>
      </c>
      <c r="G1618">
        <v>27</v>
      </c>
      <c r="H1618" t="s">
        <v>63</v>
      </c>
      <c r="I1618">
        <v>46</v>
      </c>
    </row>
    <row r="1619" spans="1:9" x14ac:dyDescent="0.3">
      <c r="A1619">
        <v>227</v>
      </c>
      <c r="B1619" t="s">
        <v>7</v>
      </c>
      <c r="C1619" t="s">
        <v>22</v>
      </c>
      <c r="D1619">
        <v>36</v>
      </c>
      <c r="E1619">
        <v>23</v>
      </c>
      <c r="F1619">
        <v>0</v>
      </c>
      <c r="G1619">
        <v>33</v>
      </c>
      <c r="H1619" t="s">
        <v>76</v>
      </c>
      <c r="I1619">
        <v>92</v>
      </c>
    </row>
    <row r="1620" spans="1:9" x14ac:dyDescent="0.3">
      <c r="A1620">
        <v>227</v>
      </c>
      <c r="B1620" t="s">
        <v>7</v>
      </c>
      <c r="C1620" t="s">
        <v>23</v>
      </c>
      <c r="D1620">
        <v>3</v>
      </c>
      <c r="E1620">
        <v>0</v>
      </c>
      <c r="F1620">
        <v>0</v>
      </c>
      <c r="G1620">
        <v>4</v>
      </c>
      <c r="H1620" t="s">
        <v>73</v>
      </c>
      <c r="I1620">
        <v>7</v>
      </c>
    </row>
    <row r="1621" spans="1:9" x14ac:dyDescent="0.3">
      <c r="A1621">
        <v>227</v>
      </c>
      <c r="B1621" t="s">
        <v>7</v>
      </c>
      <c r="C1621" t="s">
        <v>25</v>
      </c>
      <c r="D1621">
        <v>10</v>
      </c>
      <c r="E1621">
        <v>3</v>
      </c>
      <c r="F1621">
        <v>0</v>
      </c>
      <c r="G1621">
        <v>26</v>
      </c>
      <c r="H1621" t="s">
        <v>79</v>
      </c>
      <c r="I1621">
        <v>39</v>
      </c>
    </row>
    <row r="1622" spans="1:9" x14ac:dyDescent="0.3">
      <c r="A1622">
        <v>227</v>
      </c>
      <c r="B1622" t="s">
        <v>7</v>
      </c>
      <c r="C1622" t="s">
        <v>26</v>
      </c>
      <c r="D1622">
        <v>14</v>
      </c>
      <c r="E1622">
        <v>0</v>
      </c>
      <c r="F1622">
        <v>0</v>
      </c>
      <c r="G1622">
        <v>22</v>
      </c>
      <c r="H1622" t="s">
        <v>71</v>
      </c>
      <c r="I1622">
        <v>36</v>
      </c>
    </row>
    <row r="1623" spans="1:9" x14ac:dyDescent="0.3">
      <c r="A1623">
        <v>227</v>
      </c>
      <c r="B1623" t="s">
        <v>7</v>
      </c>
      <c r="C1623" t="s">
        <v>27</v>
      </c>
      <c r="D1623">
        <v>13</v>
      </c>
      <c r="E1623">
        <v>0</v>
      </c>
      <c r="F1623">
        <v>0</v>
      </c>
      <c r="G1623">
        <v>24</v>
      </c>
      <c r="H1623" t="s">
        <v>78</v>
      </c>
      <c r="I1623">
        <v>37</v>
      </c>
    </row>
    <row r="1624" spans="1:9" x14ac:dyDescent="0.3">
      <c r="A1624">
        <v>227</v>
      </c>
      <c r="B1624" t="s">
        <v>7</v>
      </c>
      <c r="C1624" t="s">
        <v>29</v>
      </c>
      <c r="D1624">
        <v>18</v>
      </c>
      <c r="E1624">
        <v>0</v>
      </c>
      <c r="F1624">
        <v>0</v>
      </c>
      <c r="G1624">
        <v>27</v>
      </c>
      <c r="H1624" t="s">
        <v>67</v>
      </c>
      <c r="I1624">
        <v>45</v>
      </c>
    </row>
    <row r="1625" spans="1:9" x14ac:dyDescent="0.3">
      <c r="A1625">
        <v>227</v>
      </c>
      <c r="B1625" t="s">
        <v>33</v>
      </c>
      <c r="C1625" t="s">
        <v>14</v>
      </c>
      <c r="D1625">
        <v>24</v>
      </c>
      <c r="E1625">
        <v>0</v>
      </c>
      <c r="F1625">
        <v>0</v>
      </c>
      <c r="G1625">
        <v>16</v>
      </c>
      <c r="H1625" t="s">
        <v>62</v>
      </c>
      <c r="I1625">
        <v>40</v>
      </c>
    </row>
    <row r="1626" spans="1:9" x14ac:dyDescent="0.3">
      <c r="A1626">
        <v>227</v>
      </c>
      <c r="B1626" t="s">
        <v>33</v>
      </c>
      <c r="C1626" t="s">
        <v>15</v>
      </c>
      <c r="D1626">
        <v>23</v>
      </c>
      <c r="E1626">
        <v>6</v>
      </c>
      <c r="F1626">
        <v>0</v>
      </c>
      <c r="G1626">
        <v>26</v>
      </c>
      <c r="H1626" t="s">
        <v>65</v>
      </c>
      <c r="I1626">
        <v>55</v>
      </c>
    </row>
    <row r="1627" spans="1:9" x14ac:dyDescent="0.3">
      <c r="A1627">
        <v>227</v>
      </c>
      <c r="B1627" t="s">
        <v>33</v>
      </c>
      <c r="C1627" t="s">
        <v>16</v>
      </c>
      <c r="D1627">
        <v>7</v>
      </c>
      <c r="E1627">
        <v>0</v>
      </c>
      <c r="F1627">
        <v>0</v>
      </c>
      <c r="G1627">
        <v>4</v>
      </c>
      <c r="H1627" t="s">
        <v>61</v>
      </c>
      <c r="I1627">
        <v>11</v>
      </c>
    </row>
    <row r="1628" spans="1:9" x14ac:dyDescent="0.3">
      <c r="A1628">
        <v>227</v>
      </c>
      <c r="B1628" t="s">
        <v>33</v>
      </c>
      <c r="C1628" t="s">
        <v>19</v>
      </c>
      <c r="D1628">
        <v>6</v>
      </c>
      <c r="E1628">
        <v>0</v>
      </c>
      <c r="F1628">
        <v>0</v>
      </c>
      <c r="G1628">
        <v>7</v>
      </c>
      <c r="H1628" t="s">
        <v>70</v>
      </c>
      <c r="I1628">
        <v>13</v>
      </c>
    </row>
    <row r="1629" spans="1:9" x14ac:dyDescent="0.3">
      <c r="A1629">
        <v>227</v>
      </c>
      <c r="B1629" t="s">
        <v>33</v>
      </c>
      <c r="C1629" t="s">
        <v>28</v>
      </c>
      <c r="D1629">
        <v>4</v>
      </c>
      <c r="E1629">
        <v>0</v>
      </c>
      <c r="F1629">
        <v>0</v>
      </c>
      <c r="G1629">
        <v>4</v>
      </c>
      <c r="H1629" t="s">
        <v>28</v>
      </c>
      <c r="I1629">
        <v>8</v>
      </c>
    </row>
    <row r="1630" spans="1:9" x14ac:dyDescent="0.3">
      <c r="A1630">
        <v>227</v>
      </c>
      <c r="B1630" t="s">
        <v>33</v>
      </c>
      <c r="C1630" t="s">
        <v>31</v>
      </c>
      <c r="D1630">
        <v>29</v>
      </c>
      <c r="E1630">
        <v>0</v>
      </c>
      <c r="F1630">
        <v>0</v>
      </c>
      <c r="G1630">
        <v>18</v>
      </c>
      <c r="H1630" t="s">
        <v>77</v>
      </c>
      <c r="I1630">
        <v>47</v>
      </c>
    </row>
    <row r="1631" spans="1:9" x14ac:dyDescent="0.3">
      <c r="A1631">
        <v>228</v>
      </c>
      <c r="B1631" t="s">
        <v>7</v>
      </c>
      <c r="C1631" t="s">
        <v>11</v>
      </c>
      <c r="D1631">
        <v>26</v>
      </c>
      <c r="E1631">
        <v>0</v>
      </c>
      <c r="F1631">
        <v>0</v>
      </c>
      <c r="G1631">
        <v>38</v>
      </c>
      <c r="H1631" t="s">
        <v>63</v>
      </c>
      <c r="I1631">
        <v>64</v>
      </c>
    </row>
    <row r="1632" spans="1:9" x14ac:dyDescent="0.3">
      <c r="A1632">
        <v>228</v>
      </c>
      <c r="B1632" t="s">
        <v>7</v>
      </c>
      <c r="C1632" t="s">
        <v>26</v>
      </c>
      <c r="D1632">
        <v>31</v>
      </c>
      <c r="E1632">
        <v>0</v>
      </c>
      <c r="F1632">
        <v>0</v>
      </c>
      <c r="G1632">
        <v>31</v>
      </c>
      <c r="H1632" t="s">
        <v>71</v>
      </c>
      <c r="I1632">
        <v>62</v>
      </c>
    </row>
    <row r="1633" spans="1:9" x14ac:dyDescent="0.3">
      <c r="A1633">
        <v>228</v>
      </c>
      <c r="B1633" t="s">
        <v>33</v>
      </c>
      <c r="C1633" t="s">
        <v>9</v>
      </c>
      <c r="D1633">
        <v>0</v>
      </c>
      <c r="E1633">
        <v>0</v>
      </c>
      <c r="F1633">
        <v>4</v>
      </c>
      <c r="G1633">
        <v>0</v>
      </c>
      <c r="H1633" t="s">
        <v>9</v>
      </c>
      <c r="I1633">
        <v>4</v>
      </c>
    </row>
    <row r="1634" spans="1:9" x14ac:dyDescent="0.3">
      <c r="A1634">
        <v>228</v>
      </c>
      <c r="B1634" t="s">
        <v>33</v>
      </c>
      <c r="C1634" t="s">
        <v>11</v>
      </c>
      <c r="D1634">
        <v>50</v>
      </c>
      <c r="E1634">
        <v>0</v>
      </c>
      <c r="F1634">
        <v>0</v>
      </c>
      <c r="G1634">
        <v>44</v>
      </c>
      <c r="H1634" t="s">
        <v>63</v>
      </c>
      <c r="I1634">
        <v>94</v>
      </c>
    </row>
    <row r="1635" spans="1:9" x14ac:dyDescent="0.3">
      <c r="A1635">
        <v>228</v>
      </c>
      <c r="B1635" t="s">
        <v>33</v>
      </c>
      <c r="C1635" t="s">
        <v>22</v>
      </c>
      <c r="D1635">
        <v>13</v>
      </c>
      <c r="E1635">
        <v>0</v>
      </c>
      <c r="F1635">
        <v>0</v>
      </c>
      <c r="G1635">
        <v>7</v>
      </c>
      <c r="H1635" t="s">
        <v>76</v>
      </c>
      <c r="I1635">
        <v>20</v>
      </c>
    </row>
    <row r="1636" spans="1:9" x14ac:dyDescent="0.3">
      <c r="A1636">
        <v>228</v>
      </c>
      <c r="B1636" t="s">
        <v>33</v>
      </c>
      <c r="C1636" t="s">
        <v>26</v>
      </c>
      <c r="D1636">
        <v>44</v>
      </c>
      <c r="E1636">
        <v>0</v>
      </c>
      <c r="F1636">
        <v>0</v>
      </c>
      <c r="G1636">
        <v>33</v>
      </c>
      <c r="H1636" t="s">
        <v>71</v>
      </c>
      <c r="I1636">
        <v>77</v>
      </c>
    </row>
    <row r="1637" spans="1:9" x14ac:dyDescent="0.3">
      <c r="A1637">
        <v>228</v>
      </c>
      <c r="B1637" t="s">
        <v>33</v>
      </c>
      <c r="C1637" t="s">
        <v>27</v>
      </c>
      <c r="D1637">
        <v>9</v>
      </c>
      <c r="E1637">
        <v>0</v>
      </c>
      <c r="F1637">
        <v>0</v>
      </c>
      <c r="G1637">
        <v>4</v>
      </c>
      <c r="H1637" t="s">
        <v>78</v>
      </c>
      <c r="I1637">
        <v>13</v>
      </c>
    </row>
    <row r="1638" spans="1:9" x14ac:dyDescent="0.3">
      <c r="A1638">
        <v>229</v>
      </c>
      <c r="B1638" t="s">
        <v>7</v>
      </c>
      <c r="C1638" t="s">
        <v>11</v>
      </c>
      <c r="D1638">
        <v>14</v>
      </c>
      <c r="E1638">
        <v>0</v>
      </c>
      <c r="F1638">
        <v>0</v>
      </c>
      <c r="G1638">
        <v>15</v>
      </c>
      <c r="H1638" t="s">
        <v>63</v>
      </c>
      <c r="I1638">
        <v>29</v>
      </c>
    </row>
    <row r="1639" spans="1:9" x14ac:dyDescent="0.3">
      <c r="A1639">
        <v>229</v>
      </c>
      <c r="B1639" t="s">
        <v>7</v>
      </c>
      <c r="C1639" t="s">
        <v>15</v>
      </c>
      <c r="D1639">
        <v>9</v>
      </c>
      <c r="E1639">
        <v>0</v>
      </c>
      <c r="F1639">
        <v>0</v>
      </c>
      <c r="G1639">
        <v>14</v>
      </c>
      <c r="H1639" t="s">
        <v>65</v>
      </c>
      <c r="I1639">
        <v>23</v>
      </c>
    </row>
    <row r="1640" spans="1:9" x14ac:dyDescent="0.3">
      <c r="A1640">
        <v>229</v>
      </c>
      <c r="B1640" t="s">
        <v>7</v>
      </c>
      <c r="C1640" t="s">
        <v>22</v>
      </c>
      <c r="D1640">
        <v>15</v>
      </c>
      <c r="E1640">
        <v>0</v>
      </c>
      <c r="F1640">
        <v>0</v>
      </c>
      <c r="G1640">
        <v>15</v>
      </c>
      <c r="H1640" t="s">
        <v>76</v>
      </c>
      <c r="I1640">
        <v>30</v>
      </c>
    </row>
    <row r="1641" spans="1:9" x14ac:dyDescent="0.3">
      <c r="A1641">
        <v>229</v>
      </c>
      <c r="B1641" t="s">
        <v>7</v>
      </c>
      <c r="C1641" t="s">
        <v>25</v>
      </c>
      <c r="D1641">
        <v>10</v>
      </c>
      <c r="E1641">
        <v>0</v>
      </c>
      <c r="F1641">
        <v>0</v>
      </c>
      <c r="G1641">
        <v>11</v>
      </c>
      <c r="H1641" t="s">
        <v>79</v>
      </c>
      <c r="I1641">
        <v>21</v>
      </c>
    </row>
    <row r="1642" spans="1:9" x14ac:dyDescent="0.3">
      <c r="A1642">
        <v>229</v>
      </c>
      <c r="B1642" t="s">
        <v>7</v>
      </c>
      <c r="C1642" t="s">
        <v>26</v>
      </c>
      <c r="D1642">
        <v>5</v>
      </c>
      <c r="E1642">
        <v>30</v>
      </c>
      <c r="F1642">
        <v>0</v>
      </c>
      <c r="G1642">
        <v>13</v>
      </c>
      <c r="H1642" t="s">
        <v>71</v>
      </c>
      <c r="I1642">
        <v>48</v>
      </c>
    </row>
    <row r="1643" spans="1:9" x14ac:dyDescent="0.3">
      <c r="A1643">
        <v>229</v>
      </c>
      <c r="B1643" t="s">
        <v>7</v>
      </c>
      <c r="C1643" t="s">
        <v>27</v>
      </c>
      <c r="D1643">
        <v>7</v>
      </c>
      <c r="E1643">
        <v>0</v>
      </c>
      <c r="F1643">
        <v>0</v>
      </c>
      <c r="G1643">
        <v>9</v>
      </c>
      <c r="H1643" t="s">
        <v>78</v>
      </c>
      <c r="I1643">
        <v>16</v>
      </c>
    </row>
    <row r="1644" spans="1:9" x14ac:dyDescent="0.3">
      <c r="A1644">
        <v>229</v>
      </c>
      <c r="B1644" t="s">
        <v>7</v>
      </c>
      <c r="C1644" t="s">
        <v>29</v>
      </c>
      <c r="D1644">
        <v>13</v>
      </c>
      <c r="E1644">
        <v>6</v>
      </c>
      <c r="F1644">
        <v>0</v>
      </c>
      <c r="G1644">
        <v>12</v>
      </c>
      <c r="H1644" t="s">
        <v>67</v>
      </c>
      <c r="I1644">
        <v>31</v>
      </c>
    </row>
    <row r="1645" spans="1:9" x14ac:dyDescent="0.3">
      <c r="A1645">
        <v>229</v>
      </c>
      <c r="B1645" t="s">
        <v>33</v>
      </c>
      <c r="C1645" t="s">
        <v>8</v>
      </c>
      <c r="D1645">
        <v>0</v>
      </c>
      <c r="E1645">
        <v>0</v>
      </c>
      <c r="F1645">
        <v>1</v>
      </c>
      <c r="G1645">
        <v>0</v>
      </c>
      <c r="H1645" t="s">
        <v>8</v>
      </c>
      <c r="I1645">
        <v>1</v>
      </c>
    </row>
    <row r="1646" spans="1:9" x14ac:dyDescent="0.3">
      <c r="A1646">
        <v>229</v>
      </c>
      <c r="B1646" t="s">
        <v>33</v>
      </c>
      <c r="C1646" t="s">
        <v>9</v>
      </c>
      <c r="D1646">
        <v>0</v>
      </c>
      <c r="E1646">
        <v>0</v>
      </c>
      <c r="F1646">
        <v>73</v>
      </c>
      <c r="G1646">
        <v>0</v>
      </c>
      <c r="H1646" t="s">
        <v>9</v>
      </c>
      <c r="I1646">
        <v>73</v>
      </c>
    </row>
    <row r="1647" spans="1:9" x14ac:dyDescent="0.3">
      <c r="A1647">
        <v>229</v>
      </c>
      <c r="B1647" t="s">
        <v>33</v>
      </c>
      <c r="C1647" t="s">
        <v>14</v>
      </c>
      <c r="D1647">
        <v>31</v>
      </c>
      <c r="E1647">
        <v>1</v>
      </c>
      <c r="F1647">
        <v>0</v>
      </c>
      <c r="G1647">
        <v>15</v>
      </c>
      <c r="H1647" t="s">
        <v>62</v>
      </c>
      <c r="I1647">
        <v>47</v>
      </c>
    </row>
    <row r="1648" spans="1:9" x14ac:dyDescent="0.3">
      <c r="A1648">
        <v>230</v>
      </c>
      <c r="B1648" t="s">
        <v>7</v>
      </c>
      <c r="C1648" t="s">
        <v>11</v>
      </c>
      <c r="D1648">
        <v>35</v>
      </c>
      <c r="E1648">
        <v>0</v>
      </c>
      <c r="F1648">
        <v>2</v>
      </c>
      <c r="G1648">
        <v>18</v>
      </c>
      <c r="H1648" t="s">
        <v>63</v>
      </c>
      <c r="I1648">
        <v>55</v>
      </c>
    </row>
    <row r="1649" spans="1:9" x14ac:dyDescent="0.3">
      <c r="A1649">
        <v>230</v>
      </c>
      <c r="B1649" t="s">
        <v>7</v>
      </c>
      <c r="C1649" t="s">
        <v>14</v>
      </c>
      <c r="D1649">
        <v>19</v>
      </c>
      <c r="E1649">
        <v>4</v>
      </c>
      <c r="F1649">
        <v>0</v>
      </c>
      <c r="G1649">
        <v>21</v>
      </c>
      <c r="H1649" t="s">
        <v>62</v>
      </c>
      <c r="I1649">
        <v>44</v>
      </c>
    </row>
    <row r="1650" spans="1:9" x14ac:dyDescent="0.3">
      <c r="A1650">
        <v>230</v>
      </c>
      <c r="B1650" t="s">
        <v>7</v>
      </c>
      <c r="C1650" t="s">
        <v>15</v>
      </c>
      <c r="D1650">
        <v>28</v>
      </c>
      <c r="E1650">
        <v>0</v>
      </c>
      <c r="F1650">
        <v>0</v>
      </c>
      <c r="G1650">
        <v>23</v>
      </c>
      <c r="H1650" t="s">
        <v>65</v>
      </c>
      <c r="I1650">
        <v>51</v>
      </c>
    </row>
    <row r="1651" spans="1:9" x14ac:dyDescent="0.3">
      <c r="A1651">
        <v>230</v>
      </c>
      <c r="B1651" t="s">
        <v>7</v>
      </c>
      <c r="C1651" t="s">
        <v>22</v>
      </c>
      <c r="D1651">
        <v>61</v>
      </c>
      <c r="E1651">
        <v>30</v>
      </c>
      <c r="F1651">
        <v>0</v>
      </c>
      <c r="G1651">
        <v>37</v>
      </c>
      <c r="H1651" t="s">
        <v>76</v>
      </c>
      <c r="I1651">
        <v>128</v>
      </c>
    </row>
    <row r="1652" spans="1:9" x14ac:dyDescent="0.3">
      <c r="A1652">
        <v>230</v>
      </c>
      <c r="B1652" t="s">
        <v>7</v>
      </c>
      <c r="C1652" t="s">
        <v>25</v>
      </c>
      <c r="D1652">
        <v>51</v>
      </c>
      <c r="E1652">
        <v>6</v>
      </c>
      <c r="F1652">
        <v>0</v>
      </c>
      <c r="G1652">
        <v>32</v>
      </c>
      <c r="H1652" t="s">
        <v>79</v>
      </c>
      <c r="I1652">
        <v>89</v>
      </c>
    </row>
    <row r="1653" spans="1:9" x14ac:dyDescent="0.3">
      <c r="A1653">
        <v>230</v>
      </c>
      <c r="B1653" t="s">
        <v>7</v>
      </c>
      <c r="C1653" t="s">
        <v>26</v>
      </c>
      <c r="D1653">
        <v>52</v>
      </c>
      <c r="E1653">
        <v>6</v>
      </c>
      <c r="F1653">
        <v>0</v>
      </c>
      <c r="G1653">
        <v>25</v>
      </c>
      <c r="H1653" t="s">
        <v>71</v>
      </c>
      <c r="I1653">
        <v>83</v>
      </c>
    </row>
    <row r="1654" spans="1:9" x14ac:dyDescent="0.3">
      <c r="A1654">
        <v>230</v>
      </c>
      <c r="B1654" t="s">
        <v>7</v>
      </c>
      <c r="C1654" t="s">
        <v>27</v>
      </c>
      <c r="D1654">
        <v>17</v>
      </c>
      <c r="E1654">
        <v>0</v>
      </c>
      <c r="F1654">
        <v>0</v>
      </c>
      <c r="G1654">
        <v>21</v>
      </c>
      <c r="H1654" t="s">
        <v>78</v>
      </c>
      <c r="I1654">
        <v>38</v>
      </c>
    </row>
    <row r="1655" spans="1:9" x14ac:dyDescent="0.3">
      <c r="A1655">
        <v>230</v>
      </c>
      <c r="B1655" t="s">
        <v>7</v>
      </c>
      <c r="C1655" t="s">
        <v>29</v>
      </c>
      <c r="D1655">
        <v>8</v>
      </c>
      <c r="E1655">
        <v>0</v>
      </c>
      <c r="F1655">
        <v>1</v>
      </c>
      <c r="G1655">
        <v>15</v>
      </c>
      <c r="H1655" t="s">
        <v>67</v>
      </c>
      <c r="I1655">
        <v>24</v>
      </c>
    </row>
    <row r="1656" spans="1:9" x14ac:dyDescent="0.3">
      <c r="A1656">
        <v>230</v>
      </c>
      <c r="B1656" t="s">
        <v>33</v>
      </c>
      <c r="C1656" t="s">
        <v>9</v>
      </c>
      <c r="D1656">
        <v>0</v>
      </c>
      <c r="E1656">
        <v>0</v>
      </c>
      <c r="F1656">
        <v>56</v>
      </c>
      <c r="G1656">
        <v>0</v>
      </c>
      <c r="H1656" t="s">
        <v>9</v>
      </c>
      <c r="I1656">
        <v>56</v>
      </c>
    </row>
    <row r="1657" spans="1:9" x14ac:dyDescent="0.3">
      <c r="A1657">
        <v>230</v>
      </c>
      <c r="B1657" t="s">
        <v>33</v>
      </c>
      <c r="C1657" t="s">
        <v>11</v>
      </c>
      <c r="D1657">
        <v>9</v>
      </c>
      <c r="E1657">
        <v>0</v>
      </c>
      <c r="F1657">
        <v>0</v>
      </c>
      <c r="G1657">
        <v>7</v>
      </c>
      <c r="H1657" t="s">
        <v>63</v>
      </c>
      <c r="I1657">
        <v>16</v>
      </c>
    </row>
    <row r="1658" spans="1:9" x14ac:dyDescent="0.3">
      <c r="A1658">
        <v>230</v>
      </c>
      <c r="B1658" t="s">
        <v>33</v>
      </c>
      <c r="C1658" t="s">
        <v>14</v>
      </c>
      <c r="D1658">
        <v>6</v>
      </c>
      <c r="E1658">
        <v>0</v>
      </c>
      <c r="F1658">
        <v>0</v>
      </c>
      <c r="G1658">
        <v>3</v>
      </c>
      <c r="H1658" t="s">
        <v>62</v>
      </c>
      <c r="I1658">
        <v>9</v>
      </c>
    </row>
    <row r="1659" spans="1:9" x14ac:dyDescent="0.3">
      <c r="A1659">
        <v>230</v>
      </c>
      <c r="B1659" t="s">
        <v>33</v>
      </c>
      <c r="C1659" t="s">
        <v>26</v>
      </c>
      <c r="D1659">
        <v>11</v>
      </c>
      <c r="E1659">
        <v>4</v>
      </c>
      <c r="F1659">
        <v>0</v>
      </c>
      <c r="G1659">
        <v>6</v>
      </c>
      <c r="H1659" t="s">
        <v>71</v>
      </c>
      <c r="I1659">
        <v>21</v>
      </c>
    </row>
    <row r="1660" spans="1:9" x14ac:dyDescent="0.3">
      <c r="A1660">
        <v>230</v>
      </c>
      <c r="B1660" t="s">
        <v>33</v>
      </c>
      <c r="C1660" t="s">
        <v>29</v>
      </c>
      <c r="D1660">
        <v>8</v>
      </c>
      <c r="E1660">
        <v>0</v>
      </c>
      <c r="F1660">
        <v>0</v>
      </c>
      <c r="G1660">
        <v>4</v>
      </c>
      <c r="H1660" t="s">
        <v>67</v>
      </c>
      <c r="I1660">
        <v>12</v>
      </c>
    </row>
    <row r="1661" spans="1:9" x14ac:dyDescent="0.3">
      <c r="A1661">
        <v>231</v>
      </c>
      <c r="B1661" t="s">
        <v>7</v>
      </c>
      <c r="C1661" t="s">
        <v>11</v>
      </c>
      <c r="D1661">
        <v>11</v>
      </c>
      <c r="E1661">
        <v>0</v>
      </c>
      <c r="F1661">
        <v>0</v>
      </c>
      <c r="G1661">
        <v>9</v>
      </c>
      <c r="H1661" t="s">
        <v>63</v>
      </c>
      <c r="I1661">
        <v>20</v>
      </c>
    </row>
    <row r="1662" spans="1:9" x14ac:dyDescent="0.3">
      <c r="A1662">
        <v>231</v>
      </c>
      <c r="B1662" t="s">
        <v>7</v>
      </c>
      <c r="C1662" t="s">
        <v>15</v>
      </c>
      <c r="D1662">
        <v>74</v>
      </c>
      <c r="E1662">
        <v>32</v>
      </c>
      <c r="F1662">
        <v>0</v>
      </c>
      <c r="G1662">
        <v>48</v>
      </c>
      <c r="H1662" t="s">
        <v>65</v>
      </c>
      <c r="I1662">
        <v>154</v>
      </c>
    </row>
    <row r="1663" spans="1:9" x14ac:dyDescent="0.3">
      <c r="A1663">
        <v>231</v>
      </c>
      <c r="B1663" t="s">
        <v>7</v>
      </c>
      <c r="C1663" t="s">
        <v>22</v>
      </c>
      <c r="D1663">
        <v>19</v>
      </c>
      <c r="E1663">
        <v>4</v>
      </c>
      <c r="F1663">
        <v>0</v>
      </c>
      <c r="G1663">
        <v>7</v>
      </c>
      <c r="H1663" t="s">
        <v>76</v>
      </c>
      <c r="I1663">
        <v>30</v>
      </c>
    </row>
    <row r="1664" spans="1:9" x14ac:dyDescent="0.3">
      <c r="A1664">
        <v>231</v>
      </c>
      <c r="B1664" t="s">
        <v>7</v>
      </c>
      <c r="C1664" t="s">
        <v>25</v>
      </c>
      <c r="D1664">
        <v>2</v>
      </c>
      <c r="E1664">
        <v>0</v>
      </c>
      <c r="F1664">
        <v>0</v>
      </c>
      <c r="G1664">
        <v>2</v>
      </c>
      <c r="H1664" t="s">
        <v>79</v>
      </c>
      <c r="I1664">
        <v>4</v>
      </c>
    </row>
    <row r="1665" spans="1:9" x14ac:dyDescent="0.3">
      <c r="A1665">
        <v>231</v>
      </c>
      <c r="B1665" t="s">
        <v>33</v>
      </c>
      <c r="C1665" t="s">
        <v>8</v>
      </c>
      <c r="D1665">
        <v>0</v>
      </c>
      <c r="E1665">
        <v>0</v>
      </c>
      <c r="F1665">
        <v>1</v>
      </c>
      <c r="G1665">
        <v>0</v>
      </c>
      <c r="H1665" t="s">
        <v>8</v>
      </c>
      <c r="I1665">
        <v>1</v>
      </c>
    </row>
    <row r="1666" spans="1:9" x14ac:dyDescent="0.3">
      <c r="A1666">
        <v>231</v>
      </c>
      <c r="B1666" t="s">
        <v>33</v>
      </c>
      <c r="C1666" t="s">
        <v>9</v>
      </c>
      <c r="D1666">
        <v>0</v>
      </c>
      <c r="E1666">
        <v>0</v>
      </c>
      <c r="F1666">
        <v>41</v>
      </c>
      <c r="G1666">
        <v>0</v>
      </c>
      <c r="H1666" t="s">
        <v>9</v>
      </c>
      <c r="I1666">
        <v>41</v>
      </c>
    </row>
    <row r="1667" spans="1:9" x14ac:dyDescent="0.3">
      <c r="A1667">
        <v>231</v>
      </c>
      <c r="B1667" t="s">
        <v>33</v>
      </c>
      <c r="C1667" t="s">
        <v>14</v>
      </c>
      <c r="D1667">
        <v>25</v>
      </c>
      <c r="E1667">
        <v>0</v>
      </c>
      <c r="F1667">
        <v>0</v>
      </c>
      <c r="G1667">
        <v>10</v>
      </c>
      <c r="H1667" t="s">
        <v>62</v>
      </c>
      <c r="I1667">
        <v>35</v>
      </c>
    </row>
    <row r="1668" spans="1:9" x14ac:dyDescent="0.3">
      <c r="A1668">
        <v>231</v>
      </c>
      <c r="B1668" t="s">
        <v>33</v>
      </c>
      <c r="C1668" t="s">
        <v>15</v>
      </c>
      <c r="D1668">
        <v>30</v>
      </c>
      <c r="E1668">
        <v>11</v>
      </c>
      <c r="F1668">
        <v>0</v>
      </c>
      <c r="G1668">
        <v>31</v>
      </c>
      <c r="H1668" t="s">
        <v>65</v>
      </c>
      <c r="I1668">
        <v>72</v>
      </c>
    </row>
    <row r="1669" spans="1:9" x14ac:dyDescent="0.3">
      <c r="A1669">
        <v>231</v>
      </c>
      <c r="B1669" t="s">
        <v>33</v>
      </c>
      <c r="C1669" t="s">
        <v>26</v>
      </c>
      <c r="D1669">
        <v>14</v>
      </c>
      <c r="E1669">
        <v>0</v>
      </c>
      <c r="F1669">
        <v>0</v>
      </c>
      <c r="G1669">
        <v>8</v>
      </c>
      <c r="H1669" t="s">
        <v>71</v>
      </c>
      <c r="I1669">
        <v>22</v>
      </c>
    </row>
    <row r="1670" spans="1:9" x14ac:dyDescent="0.3">
      <c r="A1670">
        <v>231</v>
      </c>
      <c r="B1670" t="s">
        <v>33</v>
      </c>
      <c r="C1670" t="s">
        <v>29</v>
      </c>
      <c r="D1670">
        <v>8</v>
      </c>
      <c r="E1670">
        <v>0</v>
      </c>
      <c r="F1670">
        <v>0</v>
      </c>
      <c r="G1670">
        <v>4</v>
      </c>
      <c r="H1670" t="s">
        <v>67</v>
      </c>
      <c r="I1670">
        <v>12</v>
      </c>
    </row>
    <row r="1671" spans="1:9" x14ac:dyDescent="0.3">
      <c r="A1671">
        <v>232</v>
      </c>
      <c r="B1671" t="s">
        <v>7</v>
      </c>
      <c r="C1671" t="s">
        <v>11</v>
      </c>
      <c r="D1671">
        <v>22</v>
      </c>
      <c r="E1671">
        <v>0</v>
      </c>
      <c r="F1671">
        <v>0</v>
      </c>
      <c r="G1671">
        <v>22</v>
      </c>
      <c r="H1671" t="s">
        <v>63</v>
      </c>
      <c r="I1671">
        <v>44</v>
      </c>
    </row>
    <row r="1672" spans="1:9" x14ac:dyDescent="0.3">
      <c r="A1672">
        <v>232</v>
      </c>
      <c r="B1672" t="s">
        <v>7</v>
      </c>
      <c r="C1672" t="s">
        <v>12</v>
      </c>
      <c r="D1672">
        <v>0</v>
      </c>
      <c r="E1672">
        <v>0</v>
      </c>
      <c r="F1672">
        <v>0</v>
      </c>
      <c r="G1672">
        <v>1</v>
      </c>
      <c r="H1672" t="s">
        <v>64</v>
      </c>
      <c r="I1672">
        <v>1</v>
      </c>
    </row>
    <row r="1673" spans="1:9" x14ac:dyDescent="0.3">
      <c r="A1673">
        <v>232</v>
      </c>
      <c r="B1673" t="s">
        <v>7</v>
      </c>
      <c r="C1673" t="s">
        <v>13</v>
      </c>
      <c r="D1673">
        <v>0</v>
      </c>
      <c r="E1673">
        <v>0</v>
      </c>
      <c r="F1673">
        <v>0</v>
      </c>
      <c r="G1673">
        <v>1</v>
      </c>
      <c r="H1673" t="s">
        <v>69</v>
      </c>
      <c r="I1673">
        <v>1</v>
      </c>
    </row>
    <row r="1674" spans="1:9" x14ac:dyDescent="0.3">
      <c r="A1674">
        <v>232</v>
      </c>
      <c r="B1674" t="s">
        <v>7</v>
      </c>
      <c r="C1674" t="s">
        <v>14</v>
      </c>
      <c r="D1674">
        <v>8</v>
      </c>
      <c r="E1674">
        <v>0</v>
      </c>
      <c r="F1674">
        <v>0</v>
      </c>
      <c r="G1674">
        <v>9</v>
      </c>
      <c r="H1674" t="s">
        <v>62</v>
      </c>
      <c r="I1674">
        <v>17</v>
      </c>
    </row>
    <row r="1675" spans="1:9" x14ac:dyDescent="0.3">
      <c r="A1675">
        <v>232</v>
      </c>
      <c r="B1675" t="s">
        <v>7</v>
      </c>
      <c r="C1675" t="s">
        <v>15</v>
      </c>
      <c r="D1675">
        <v>8</v>
      </c>
      <c r="E1675">
        <v>0</v>
      </c>
      <c r="F1675">
        <v>0</v>
      </c>
      <c r="G1675">
        <v>12</v>
      </c>
      <c r="H1675" t="s">
        <v>65</v>
      </c>
      <c r="I1675">
        <v>20</v>
      </c>
    </row>
    <row r="1676" spans="1:9" x14ac:dyDescent="0.3">
      <c r="A1676">
        <v>232</v>
      </c>
      <c r="B1676" t="s">
        <v>7</v>
      </c>
      <c r="C1676" t="s">
        <v>22</v>
      </c>
      <c r="D1676">
        <v>16</v>
      </c>
      <c r="E1676">
        <v>20</v>
      </c>
      <c r="F1676">
        <v>0</v>
      </c>
      <c r="G1676">
        <v>20</v>
      </c>
      <c r="H1676" t="s">
        <v>76</v>
      </c>
      <c r="I1676">
        <v>56</v>
      </c>
    </row>
    <row r="1677" spans="1:9" x14ac:dyDescent="0.3">
      <c r="A1677">
        <v>232</v>
      </c>
      <c r="B1677" t="s">
        <v>7</v>
      </c>
      <c r="C1677" t="s">
        <v>25</v>
      </c>
      <c r="D1677">
        <v>3</v>
      </c>
      <c r="E1677">
        <v>0</v>
      </c>
      <c r="F1677">
        <v>0</v>
      </c>
      <c r="G1677">
        <v>6</v>
      </c>
      <c r="H1677" t="s">
        <v>79</v>
      </c>
      <c r="I1677">
        <v>9</v>
      </c>
    </row>
    <row r="1678" spans="1:9" x14ac:dyDescent="0.3">
      <c r="A1678">
        <v>232</v>
      </c>
      <c r="B1678" t="s">
        <v>7</v>
      </c>
      <c r="C1678" t="s">
        <v>26</v>
      </c>
      <c r="D1678">
        <v>2</v>
      </c>
      <c r="E1678">
        <v>0</v>
      </c>
      <c r="F1678">
        <v>0</v>
      </c>
      <c r="G1678">
        <v>6</v>
      </c>
      <c r="H1678" t="s">
        <v>71</v>
      </c>
      <c r="I1678">
        <v>8</v>
      </c>
    </row>
    <row r="1679" spans="1:9" x14ac:dyDescent="0.3">
      <c r="A1679">
        <v>232</v>
      </c>
      <c r="B1679" t="s">
        <v>7</v>
      </c>
      <c r="C1679" t="s">
        <v>27</v>
      </c>
      <c r="D1679">
        <v>16</v>
      </c>
      <c r="E1679">
        <v>0</v>
      </c>
      <c r="F1679">
        <v>0</v>
      </c>
      <c r="G1679">
        <v>13</v>
      </c>
      <c r="H1679" t="s">
        <v>78</v>
      </c>
      <c r="I1679">
        <v>29</v>
      </c>
    </row>
    <row r="1680" spans="1:9" x14ac:dyDescent="0.3">
      <c r="A1680">
        <v>232</v>
      </c>
      <c r="B1680" t="s">
        <v>7</v>
      </c>
      <c r="C1680" t="s">
        <v>29</v>
      </c>
      <c r="D1680">
        <v>3</v>
      </c>
      <c r="E1680">
        <v>0</v>
      </c>
      <c r="F1680">
        <v>0</v>
      </c>
      <c r="G1680">
        <v>6</v>
      </c>
      <c r="H1680" t="s">
        <v>67</v>
      </c>
      <c r="I1680">
        <v>9</v>
      </c>
    </row>
    <row r="1681" spans="1:9" x14ac:dyDescent="0.3">
      <c r="A1681">
        <v>232</v>
      </c>
      <c r="B1681" t="s">
        <v>33</v>
      </c>
      <c r="C1681" t="s">
        <v>9</v>
      </c>
      <c r="D1681">
        <v>0</v>
      </c>
      <c r="E1681">
        <v>0</v>
      </c>
      <c r="F1681">
        <v>51</v>
      </c>
      <c r="G1681">
        <v>0</v>
      </c>
      <c r="H1681" t="s">
        <v>9</v>
      </c>
      <c r="I1681">
        <v>51</v>
      </c>
    </row>
    <row r="1682" spans="1:9" x14ac:dyDescent="0.3">
      <c r="A1682">
        <v>232</v>
      </c>
      <c r="B1682" t="s">
        <v>33</v>
      </c>
      <c r="C1682" t="s">
        <v>14</v>
      </c>
      <c r="D1682">
        <v>0</v>
      </c>
      <c r="E1682">
        <v>0</v>
      </c>
      <c r="F1682">
        <v>0</v>
      </c>
      <c r="G1682">
        <v>1</v>
      </c>
      <c r="H1682" t="s">
        <v>62</v>
      </c>
      <c r="I1682">
        <v>1</v>
      </c>
    </row>
    <row r="1683" spans="1:9" x14ac:dyDescent="0.3">
      <c r="A1683">
        <v>232</v>
      </c>
      <c r="B1683" t="s">
        <v>33</v>
      </c>
      <c r="C1683" t="s">
        <v>29</v>
      </c>
      <c r="D1683">
        <v>0</v>
      </c>
      <c r="E1683">
        <v>0</v>
      </c>
      <c r="F1683">
        <v>0</v>
      </c>
      <c r="G1683">
        <v>1</v>
      </c>
      <c r="H1683" t="s">
        <v>67</v>
      </c>
      <c r="I1683">
        <v>1</v>
      </c>
    </row>
    <row r="1684" spans="1:9" x14ac:dyDescent="0.3">
      <c r="A1684">
        <v>233</v>
      </c>
      <c r="B1684" t="s">
        <v>7</v>
      </c>
      <c r="C1684" t="s">
        <v>11</v>
      </c>
      <c r="D1684">
        <v>4</v>
      </c>
      <c r="E1684">
        <v>9</v>
      </c>
      <c r="F1684">
        <v>0</v>
      </c>
      <c r="G1684">
        <v>13</v>
      </c>
      <c r="H1684" t="s">
        <v>63</v>
      </c>
      <c r="I1684">
        <v>26</v>
      </c>
    </row>
    <row r="1685" spans="1:9" x14ac:dyDescent="0.3">
      <c r="A1685">
        <v>233</v>
      </c>
      <c r="B1685" t="s">
        <v>7</v>
      </c>
      <c r="C1685" t="s">
        <v>12</v>
      </c>
      <c r="D1685">
        <v>30</v>
      </c>
      <c r="E1685">
        <v>0</v>
      </c>
      <c r="F1685">
        <v>0</v>
      </c>
      <c r="G1685">
        <v>16</v>
      </c>
      <c r="H1685" t="s">
        <v>64</v>
      </c>
      <c r="I1685">
        <v>46</v>
      </c>
    </row>
    <row r="1686" spans="1:9" x14ac:dyDescent="0.3">
      <c r="A1686">
        <v>233</v>
      </c>
      <c r="B1686" t="s">
        <v>7</v>
      </c>
      <c r="C1686" t="s">
        <v>13</v>
      </c>
      <c r="D1686">
        <v>0</v>
      </c>
      <c r="E1686">
        <v>0</v>
      </c>
      <c r="F1686">
        <v>0</v>
      </c>
      <c r="G1686">
        <v>3</v>
      </c>
      <c r="H1686" t="s">
        <v>69</v>
      </c>
      <c r="I1686">
        <v>3</v>
      </c>
    </row>
    <row r="1687" spans="1:9" x14ac:dyDescent="0.3">
      <c r="A1687">
        <v>233</v>
      </c>
      <c r="B1687" t="s">
        <v>7</v>
      </c>
      <c r="C1687" t="s">
        <v>14</v>
      </c>
      <c r="D1687">
        <v>19</v>
      </c>
      <c r="E1687">
        <v>29</v>
      </c>
      <c r="F1687">
        <v>0</v>
      </c>
      <c r="G1687">
        <v>28</v>
      </c>
      <c r="H1687" t="s">
        <v>62</v>
      </c>
      <c r="I1687">
        <v>76</v>
      </c>
    </row>
    <row r="1688" spans="1:9" x14ac:dyDescent="0.3">
      <c r="A1688">
        <v>233</v>
      </c>
      <c r="B1688" t="s">
        <v>7</v>
      </c>
      <c r="C1688" t="s">
        <v>15</v>
      </c>
      <c r="D1688">
        <v>4</v>
      </c>
      <c r="E1688">
        <v>6</v>
      </c>
      <c r="F1688">
        <v>0</v>
      </c>
      <c r="G1688">
        <v>17</v>
      </c>
      <c r="H1688" t="s">
        <v>65</v>
      </c>
      <c r="I1688">
        <v>27</v>
      </c>
    </row>
    <row r="1689" spans="1:9" x14ac:dyDescent="0.3">
      <c r="A1689">
        <v>233</v>
      </c>
      <c r="B1689" t="s">
        <v>7</v>
      </c>
      <c r="C1689" t="s">
        <v>22</v>
      </c>
      <c r="D1689">
        <v>9</v>
      </c>
      <c r="E1689">
        <v>6</v>
      </c>
      <c r="F1689">
        <v>0</v>
      </c>
      <c r="G1689">
        <v>10</v>
      </c>
      <c r="H1689" t="s">
        <v>76</v>
      </c>
      <c r="I1689">
        <v>25</v>
      </c>
    </row>
    <row r="1690" spans="1:9" x14ac:dyDescent="0.3">
      <c r="A1690">
        <v>233</v>
      </c>
      <c r="B1690" t="s">
        <v>7</v>
      </c>
      <c r="C1690" t="s">
        <v>25</v>
      </c>
      <c r="D1690">
        <v>0</v>
      </c>
      <c r="E1690">
        <v>0</v>
      </c>
      <c r="F1690">
        <v>0</v>
      </c>
      <c r="G1690">
        <v>6</v>
      </c>
      <c r="H1690" t="s">
        <v>79</v>
      </c>
      <c r="I1690">
        <v>6</v>
      </c>
    </row>
    <row r="1691" spans="1:9" x14ac:dyDescent="0.3">
      <c r="A1691">
        <v>233</v>
      </c>
      <c r="B1691" t="s">
        <v>7</v>
      </c>
      <c r="C1691" t="s">
        <v>26</v>
      </c>
      <c r="D1691">
        <v>2</v>
      </c>
      <c r="E1691">
        <v>0</v>
      </c>
      <c r="F1691">
        <v>0</v>
      </c>
      <c r="G1691">
        <v>2</v>
      </c>
      <c r="H1691" t="s">
        <v>71</v>
      </c>
      <c r="I1691">
        <v>4</v>
      </c>
    </row>
    <row r="1692" spans="1:9" x14ac:dyDescent="0.3">
      <c r="A1692">
        <v>233</v>
      </c>
      <c r="B1692" t="s">
        <v>7</v>
      </c>
      <c r="C1692" t="s">
        <v>27</v>
      </c>
      <c r="D1692">
        <v>5</v>
      </c>
      <c r="E1692">
        <v>3</v>
      </c>
      <c r="F1692">
        <v>0</v>
      </c>
      <c r="G1692">
        <v>8</v>
      </c>
      <c r="H1692" t="s">
        <v>78</v>
      </c>
      <c r="I1692">
        <v>16</v>
      </c>
    </row>
    <row r="1693" spans="1:9" x14ac:dyDescent="0.3">
      <c r="A1693">
        <v>233</v>
      </c>
      <c r="B1693" t="s">
        <v>7</v>
      </c>
      <c r="C1693" t="s">
        <v>29</v>
      </c>
      <c r="D1693">
        <v>21</v>
      </c>
      <c r="E1693">
        <v>13</v>
      </c>
      <c r="F1693">
        <v>5</v>
      </c>
      <c r="G1693">
        <v>15</v>
      </c>
      <c r="H1693" t="s">
        <v>67</v>
      </c>
      <c r="I1693">
        <v>54</v>
      </c>
    </row>
    <row r="1694" spans="1:9" x14ac:dyDescent="0.3">
      <c r="A1694">
        <v>233</v>
      </c>
      <c r="B1694" t="s">
        <v>33</v>
      </c>
      <c r="C1694" t="s">
        <v>9</v>
      </c>
      <c r="D1694">
        <v>0</v>
      </c>
      <c r="E1694">
        <v>0</v>
      </c>
      <c r="F1694">
        <v>45</v>
      </c>
      <c r="G1694">
        <v>0</v>
      </c>
      <c r="H1694" t="s">
        <v>9</v>
      </c>
      <c r="I1694">
        <v>45</v>
      </c>
    </row>
    <row r="1695" spans="1:9" x14ac:dyDescent="0.3">
      <c r="A1695">
        <v>233</v>
      </c>
      <c r="B1695" t="s">
        <v>33</v>
      </c>
      <c r="C1695" t="s">
        <v>12</v>
      </c>
      <c r="D1695">
        <v>0</v>
      </c>
      <c r="E1695">
        <v>0</v>
      </c>
      <c r="F1695">
        <v>0</v>
      </c>
      <c r="G1695">
        <v>7</v>
      </c>
      <c r="H1695" t="s">
        <v>64</v>
      </c>
      <c r="I1695">
        <v>7</v>
      </c>
    </row>
    <row r="1696" spans="1:9" x14ac:dyDescent="0.3">
      <c r="A1696">
        <v>233</v>
      </c>
      <c r="B1696" t="s">
        <v>33</v>
      </c>
      <c r="C1696" t="s">
        <v>13</v>
      </c>
      <c r="D1696">
        <v>0</v>
      </c>
      <c r="E1696">
        <v>0</v>
      </c>
      <c r="F1696">
        <v>0</v>
      </c>
      <c r="G1696">
        <v>1</v>
      </c>
      <c r="H1696" t="s">
        <v>69</v>
      </c>
      <c r="I1696">
        <v>1</v>
      </c>
    </row>
    <row r="1697" spans="1:9" x14ac:dyDescent="0.3">
      <c r="A1697">
        <v>234</v>
      </c>
      <c r="B1697" t="s">
        <v>7</v>
      </c>
      <c r="C1697" t="s">
        <v>11</v>
      </c>
      <c r="D1697">
        <v>28</v>
      </c>
      <c r="E1697">
        <v>5</v>
      </c>
      <c r="F1697">
        <v>0</v>
      </c>
      <c r="G1697">
        <v>21</v>
      </c>
      <c r="H1697" t="s">
        <v>63</v>
      </c>
      <c r="I1697">
        <v>54</v>
      </c>
    </row>
    <row r="1698" spans="1:9" x14ac:dyDescent="0.3">
      <c r="A1698">
        <v>234</v>
      </c>
      <c r="B1698" t="s">
        <v>7</v>
      </c>
      <c r="C1698" t="s">
        <v>14</v>
      </c>
      <c r="D1698">
        <v>4</v>
      </c>
      <c r="E1698">
        <v>5</v>
      </c>
      <c r="F1698">
        <v>1</v>
      </c>
      <c r="G1698">
        <v>7</v>
      </c>
      <c r="H1698" t="s">
        <v>62</v>
      </c>
      <c r="I1698">
        <v>17</v>
      </c>
    </row>
    <row r="1699" spans="1:9" x14ac:dyDescent="0.3">
      <c r="A1699">
        <v>234</v>
      </c>
      <c r="B1699" t="s">
        <v>7</v>
      </c>
      <c r="C1699" t="s">
        <v>15</v>
      </c>
      <c r="D1699">
        <v>1</v>
      </c>
      <c r="E1699">
        <v>0</v>
      </c>
      <c r="F1699">
        <v>0</v>
      </c>
      <c r="G1699">
        <v>7</v>
      </c>
      <c r="H1699" t="s">
        <v>65</v>
      </c>
      <c r="I1699">
        <v>8</v>
      </c>
    </row>
    <row r="1700" spans="1:9" x14ac:dyDescent="0.3">
      <c r="A1700">
        <v>234</v>
      </c>
      <c r="B1700" t="s">
        <v>7</v>
      </c>
      <c r="C1700" t="s">
        <v>22</v>
      </c>
      <c r="D1700">
        <v>16</v>
      </c>
      <c r="E1700">
        <v>0</v>
      </c>
      <c r="F1700">
        <v>0</v>
      </c>
      <c r="G1700">
        <v>9</v>
      </c>
      <c r="H1700" t="s">
        <v>76</v>
      </c>
      <c r="I1700">
        <v>25</v>
      </c>
    </row>
    <row r="1701" spans="1:9" x14ac:dyDescent="0.3">
      <c r="A1701">
        <v>234</v>
      </c>
      <c r="B1701" t="s">
        <v>7</v>
      </c>
      <c r="C1701" t="s">
        <v>25</v>
      </c>
      <c r="D1701">
        <v>3</v>
      </c>
      <c r="E1701">
        <v>0</v>
      </c>
      <c r="F1701">
        <v>0</v>
      </c>
      <c r="G1701">
        <v>10</v>
      </c>
      <c r="H1701" t="s">
        <v>79</v>
      </c>
      <c r="I1701">
        <v>13</v>
      </c>
    </row>
    <row r="1702" spans="1:9" x14ac:dyDescent="0.3">
      <c r="A1702">
        <v>234</v>
      </c>
      <c r="B1702" t="s">
        <v>7</v>
      </c>
      <c r="C1702" t="s">
        <v>26</v>
      </c>
      <c r="D1702">
        <v>10</v>
      </c>
      <c r="E1702">
        <v>14</v>
      </c>
      <c r="F1702">
        <v>0</v>
      </c>
      <c r="G1702">
        <v>12</v>
      </c>
      <c r="H1702" t="s">
        <v>71</v>
      </c>
      <c r="I1702">
        <v>36</v>
      </c>
    </row>
    <row r="1703" spans="1:9" x14ac:dyDescent="0.3">
      <c r="A1703">
        <v>234</v>
      </c>
      <c r="B1703" t="s">
        <v>7</v>
      </c>
      <c r="C1703" t="s">
        <v>27</v>
      </c>
      <c r="D1703">
        <v>8</v>
      </c>
      <c r="E1703">
        <v>0</v>
      </c>
      <c r="F1703">
        <v>0</v>
      </c>
      <c r="G1703">
        <v>2</v>
      </c>
      <c r="H1703" t="s">
        <v>78</v>
      </c>
      <c r="I1703">
        <v>10</v>
      </c>
    </row>
    <row r="1704" spans="1:9" x14ac:dyDescent="0.3">
      <c r="A1704">
        <v>234</v>
      </c>
      <c r="B1704" t="s">
        <v>7</v>
      </c>
      <c r="C1704" t="s">
        <v>29</v>
      </c>
      <c r="D1704">
        <v>9</v>
      </c>
      <c r="E1704">
        <v>3</v>
      </c>
      <c r="F1704">
        <v>0</v>
      </c>
      <c r="G1704">
        <v>8</v>
      </c>
      <c r="H1704" t="s">
        <v>67</v>
      </c>
      <c r="I1704">
        <v>20</v>
      </c>
    </row>
    <row r="1705" spans="1:9" x14ac:dyDescent="0.3">
      <c r="A1705">
        <v>234</v>
      </c>
      <c r="B1705" t="s">
        <v>33</v>
      </c>
      <c r="C1705" t="s">
        <v>9</v>
      </c>
      <c r="D1705">
        <v>0</v>
      </c>
      <c r="E1705">
        <v>0</v>
      </c>
      <c r="F1705">
        <v>89</v>
      </c>
      <c r="G1705">
        <v>0</v>
      </c>
      <c r="H1705" t="s">
        <v>9</v>
      </c>
      <c r="I1705">
        <v>89</v>
      </c>
    </row>
    <row r="1706" spans="1:9" x14ac:dyDescent="0.3">
      <c r="A1706">
        <v>235</v>
      </c>
      <c r="B1706" t="s">
        <v>7</v>
      </c>
      <c r="C1706" t="s">
        <v>11</v>
      </c>
      <c r="D1706">
        <v>21</v>
      </c>
      <c r="E1706">
        <v>2</v>
      </c>
      <c r="F1706">
        <v>0</v>
      </c>
      <c r="G1706">
        <v>16</v>
      </c>
      <c r="H1706" t="s">
        <v>63</v>
      </c>
      <c r="I1706">
        <v>39</v>
      </c>
    </row>
    <row r="1707" spans="1:9" x14ac:dyDescent="0.3">
      <c r="A1707">
        <v>235</v>
      </c>
      <c r="B1707" t="s">
        <v>7</v>
      </c>
      <c r="C1707" t="s">
        <v>14</v>
      </c>
      <c r="D1707">
        <v>1</v>
      </c>
      <c r="E1707">
        <v>9</v>
      </c>
      <c r="F1707">
        <v>1</v>
      </c>
      <c r="G1707">
        <v>7</v>
      </c>
      <c r="H1707" t="s">
        <v>62</v>
      </c>
      <c r="I1707">
        <v>18</v>
      </c>
    </row>
    <row r="1708" spans="1:9" x14ac:dyDescent="0.3">
      <c r="A1708">
        <v>235</v>
      </c>
      <c r="B1708" t="s">
        <v>7</v>
      </c>
      <c r="C1708" t="s">
        <v>15</v>
      </c>
      <c r="D1708">
        <v>8</v>
      </c>
      <c r="E1708">
        <v>0</v>
      </c>
      <c r="F1708">
        <v>0</v>
      </c>
      <c r="G1708">
        <v>17</v>
      </c>
      <c r="H1708" t="s">
        <v>65</v>
      </c>
      <c r="I1708">
        <v>25</v>
      </c>
    </row>
    <row r="1709" spans="1:9" x14ac:dyDescent="0.3">
      <c r="A1709">
        <v>235</v>
      </c>
      <c r="B1709" t="s">
        <v>7</v>
      </c>
      <c r="C1709" t="s">
        <v>22</v>
      </c>
      <c r="D1709">
        <v>11</v>
      </c>
      <c r="E1709">
        <v>0</v>
      </c>
      <c r="F1709">
        <v>0</v>
      </c>
      <c r="G1709">
        <v>16</v>
      </c>
      <c r="H1709" t="s">
        <v>76</v>
      </c>
      <c r="I1709">
        <v>27</v>
      </c>
    </row>
    <row r="1710" spans="1:9" x14ac:dyDescent="0.3">
      <c r="A1710">
        <v>235</v>
      </c>
      <c r="B1710" t="s">
        <v>7</v>
      </c>
      <c r="C1710" t="s">
        <v>25</v>
      </c>
      <c r="D1710">
        <v>7</v>
      </c>
      <c r="E1710">
        <v>3</v>
      </c>
      <c r="F1710">
        <v>0</v>
      </c>
      <c r="G1710">
        <v>21</v>
      </c>
      <c r="H1710" t="s">
        <v>79</v>
      </c>
      <c r="I1710">
        <v>31</v>
      </c>
    </row>
    <row r="1711" spans="1:9" x14ac:dyDescent="0.3">
      <c r="A1711">
        <v>235</v>
      </c>
      <c r="B1711" t="s">
        <v>7</v>
      </c>
      <c r="C1711" t="s">
        <v>26</v>
      </c>
      <c r="D1711">
        <v>16</v>
      </c>
      <c r="E1711">
        <v>0</v>
      </c>
      <c r="F1711">
        <v>0</v>
      </c>
      <c r="G1711">
        <v>12</v>
      </c>
      <c r="H1711" t="s">
        <v>71</v>
      </c>
      <c r="I1711">
        <v>28</v>
      </c>
    </row>
    <row r="1712" spans="1:9" x14ac:dyDescent="0.3">
      <c r="A1712">
        <v>235</v>
      </c>
      <c r="B1712" t="s">
        <v>7</v>
      </c>
      <c r="C1712" t="s">
        <v>27</v>
      </c>
      <c r="D1712">
        <v>13</v>
      </c>
      <c r="E1712">
        <v>1</v>
      </c>
      <c r="F1712">
        <v>1</v>
      </c>
      <c r="G1712">
        <v>6</v>
      </c>
      <c r="H1712" t="s">
        <v>78</v>
      </c>
      <c r="I1712">
        <v>21</v>
      </c>
    </row>
    <row r="1713" spans="1:9" x14ac:dyDescent="0.3">
      <c r="A1713">
        <v>235</v>
      </c>
      <c r="B1713" t="s">
        <v>7</v>
      </c>
      <c r="C1713" t="s">
        <v>29</v>
      </c>
      <c r="D1713">
        <v>7</v>
      </c>
      <c r="E1713">
        <v>0</v>
      </c>
      <c r="F1713">
        <v>0</v>
      </c>
      <c r="G1713">
        <v>8</v>
      </c>
      <c r="H1713" t="s">
        <v>67</v>
      </c>
      <c r="I1713">
        <v>15</v>
      </c>
    </row>
    <row r="1714" spans="1:9" x14ac:dyDescent="0.3">
      <c r="A1714">
        <v>235</v>
      </c>
      <c r="B1714" t="s">
        <v>33</v>
      </c>
      <c r="C1714" t="s">
        <v>8</v>
      </c>
      <c r="D1714">
        <v>0</v>
      </c>
      <c r="E1714">
        <v>0</v>
      </c>
      <c r="F1714">
        <v>1</v>
      </c>
      <c r="G1714">
        <v>0</v>
      </c>
      <c r="H1714" t="s">
        <v>8</v>
      </c>
      <c r="I1714">
        <v>1</v>
      </c>
    </row>
    <row r="1715" spans="1:9" x14ac:dyDescent="0.3">
      <c r="A1715">
        <v>235</v>
      </c>
      <c r="B1715" t="s">
        <v>33</v>
      </c>
      <c r="C1715" t="s">
        <v>9</v>
      </c>
      <c r="D1715">
        <v>0</v>
      </c>
      <c r="E1715">
        <v>0</v>
      </c>
      <c r="F1715">
        <v>32</v>
      </c>
      <c r="G1715">
        <v>0</v>
      </c>
      <c r="H1715" t="s">
        <v>9</v>
      </c>
      <c r="I1715">
        <v>32</v>
      </c>
    </row>
    <row r="1716" spans="1:9" x14ac:dyDescent="0.3">
      <c r="A1716">
        <v>235</v>
      </c>
      <c r="B1716" t="s">
        <v>33</v>
      </c>
      <c r="C1716" t="s">
        <v>11</v>
      </c>
      <c r="D1716">
        <v>17</v>
      </c>
      <c r="E1716">
        <v>0</v>
      </c>
      <c r="F1716">
        <v>0</v>
      </c>
      <c r="G1716">
        <v>8</v>
      </c>
      <c r="H1716" t="s">
        <v>63</v>
      </c>
      <c r="I1716">
        <v>25</v>
      </c>
    </row>
    <row r="1717" spans="1:9" x14ac:dyDescent="0.3">
      <c r="A1717">
        <v>235</v>
      </c>
      <c r="B1717" t="s">
        <v>33</v>
      </c>
      <c r="C1717" t="s">
        <v>14</v>
      </c>
      <c r="D1717">
        <v>0</v>
      </c>
      <c r="E1717">
        <v>0</v>
      </c>
      <c r="F1717">
        <v>0</v>
      </c>
      <c r="G1717">
        <v>6</v>
      </c>
      <c r="H1717" t="s">
        <v>62</v>
      </c>
      <c r="I1717">
        <v>6</v>
      </c>
    </row>
    <row r="1718" spans="1:9" x14ac:dyDescent="0.3">
      <c r="A1718">
        <v>235</v>
      </c>
      <c r="B1718" t="s">
        <v>33</v>
      </c>
      <c r="C1718" t="s">
        <v>22</v>
      </c>
      <c r="D1718">
        <v>11</v>
      </c>
      <c r="E1718">
        <v>1</v>
      </c>
      <c r="F1718">
        <v>0</v>
      </c>
      <c r="G1718">
        <v>6</v>
      </c>
      <c r="H1718" t="s">
        <v>76</v>
      </c>
      <c r="I1718">
        <v>18</v>
      </c>
    </row>
    <row r="1719" spans="1:9" x14ac:dyDescent="0.3">
      <c r="A1719">
        <v>235</v>
      </c>
      <c r="B1719" t="s">
        <v>33</v>
      </c>
      <c r="C1719" t="s">
        <v>26</v>
      </c>
      <c r="D1719">
        <v>1</v>
      </c>
      <c r="E1719">
        <v>0</v>
      </c>
      <c r="F1719">
        <v>0</v>
      </c>
      <c r="G1719">
        <v>1</v>
      </c>
      <c r="H1719" t="s">
        <v>71</v>
      </c>
      <c r="I1719">
        <v>2</v>
      </c>
    </row>
    <row r="1720" spans="1:9" x14ac:dyDescent="0.3">
      <c r="A1720">
        <v>235</v>
      </c>
      <c r="B1720" t="s">
        <v>33</v>
      </c>
      <c r="C1720" t="s">
        <v>27</v>
      </c>
      <c r="D1720">
        <v>1</v>
      </c>
      <c r="E1720">
        <v>0</v>
      </c>
      <c r="F1720">
        <v>0</v>
      </c>
      <c r="G1720">
        <v>2</v>
      </c>
      <c r="H1720" t="s">
        <v>78</v>
      </c>
      <c r="I1720">
        <v>3</v>
      </c>
    </row>
    <row r="1721" spans="1:9" x14ac:dyDescent="0.3">
      <c r="A1721">
        <v>235</v>
      </c>
      <c r="B1721" t="s">
        <v>33</v>
      </c>
      <c r="C1721" t="s">
        <v>29</v>
      </c>
      <c r="D1721">
        <v>7</v>
      </c>
      <c r="E1721">
        <v>2</v>
      </c>
      <c r="F1721">
        <v>0</v>
      </c>
      <c r="G1721">
        <v>2</v>
      </c>
      <c r="H1721" t="s">
        <v>67</v>
      </c>
      <c r="I1721">
        <v>11</v>
      </c>
    </row>
    <row r="1722" spans="1:9" x14ac:dyDescent="0.3">
      <c r="A1722">
        <v>236</v>
      </c>
      <c r="B1722" t="s">
        <v>7</v>
      </c>
      <c r="C1722" t="s">
        <v>14</v>
      </c>
      <c r="D1722">
        <v>12</v>
      </c>
      <c r="E1722">
        <v>0</v>
      </c>
      <c r="F1722">
        <v>0</v>
      </c>
      <c r="G1722">
        <v>8</v>
      </c>
      <c r="H1722" t="s">
        <v>62</v>
      </c>
      <c r="I1722">
        <v>20</v>
      </c>
    </row>
    <row r="1723" spans="1:9" x14ac:dyDescent="0.3">
      <c r="A1723">
        <v>236</v>
      </c>
      <c r="B1723" t="s">
        <v>7</v>
      </c>
      <c r="C1723" t="s">
        <v>15</v>
      </c>
      <c r="D1723">
        <v>2</v>
      </c>
      <c r="E1723">
        <v>0</v>
      </c>
      <c r="F1723">
        <v>0</v>
      </c>
      <c r="G1723">
        <v>7</v>
      </c>
      <c r="H1723" t="s">
        <v>65</v>
      </c>
      <c r="I1723">
        <v>9</v>
      </c>
    </row>
    <row r="1724" spans="1:9" x14ac:dyDescent="0.3">
      <c r="A1724">
        <v>236</v>
      </c>
      <c r="B1724" t="s">
        <v>7</v>
      </c>
      <c r="C1724" t="s">
        <v>24</v>
      </c>
      <c r="D1724">
        <v>16</v>
      </c>
      <c r="E1724">
        <v>0</v>
      </c>
      <c r="F1724">
        <v>0</v>
      </c>
      <c r="G1724">
        <v>6</v>
      </c>
      <c r="H1724" t="s">
        <v>75</v>
      </c>
      <c r="I1724">
        <v>22</v>
      </c>
    </row>
    <row r="1725" spans="1:9" x14ac:dyDescent="0.3">
      <c r="A1725">
        <v>236</v>
      </c>
      <c r="B1725" t="s">
        <v>7</v>
      </c>
      <c r="C1725" t="s">
        <v>25</v>
      </c>
      <c r="D1725">
        <v>0</v>
      </c>
      <c r="E1725">
        <v>0</v>
      </c>
      <c r="F1725">
        <v>0</v>
      </c>
      <c r="G1725">
        <v>2</v>
      </c>
      <c r="H1725" t="s">
        <v>79</v>
      </c>
      <c r="I1725">
        <v>2</v>
      </c>
    </row>
    <row r="1726" spans="1:9" x14ac:dyDescent="0.3">
      <c r="A1726">
        <v>236</v>
      </c>
      <c r="B1726" t="s">
        <v>7</v>
      </c>
      <c r="C1726" t="s">
        <v>26</v>
      </c>
      <c r="D1726">
        <v>0</v>
      </c>
      <c r="E1726">
        <v>0</v>
      </c>
      <c r="F1726">
        <v>0</v>
      </c>
      <c r="G1726">
        <v>2</v>
      </c>
      <c r="H1726" t="s">
        <v>71</v>
      </c>
      <c r="I1726">
        <v>2</v>
      </c>
    </row>
    <row r="1727" spans="1:9" x14ac:dyDescent="0.3">
      <c r="A1727">
        <v>236</v>
      </c>
      <c r="B1727" t="s">
        <v>7</v>
      </c>
      <c r="C1727" t="s">
        <v>27</v>
      </c>
      <c r="D1727">
        <v>13</v>
      </c>
      <c r="E1727">
        <v>0</v>
      </c>
      <c r="F1727">
        <v>0</v>
      </c>
      <c r="G1727">
        <v>9</v>
      </c>
      <c r="H1727" t="s">
        <v>78</v>
      </c>
      <c r="I1727">
        <v>22</v>
      </c>
    </row>
    <row r="1728" spans="1:9" x14ac:dyDescent="0.3">
      <c r="A1728">
        <v>236</v>
      </c>
      <c r="B1728" t="s">
        <v>7</v>
      </c>
      <c r="C1728" t="s">
        <v>29</v>
      </c>
      <c r="D1728">
        <v>0</v>
      </c>
      <c r="E1728">
        <v>0</v>
      </c>
      <c r="F1728">
        <v>0</v>
      </c>
      <c r="G1728">
        <v>2</v>
      </c>
      <c r="H1728" t="s">
        <v>67</v>
      </c>
      <c r="I1728">
        <v>2</v>
      </c>
    </row>
    <row r="1729" spans="1:9" x14ac:dyDescent="0.3">
      <c r="A1729">
        <v>236</v>
      </c>
      <c r="B1729" t="s">
        <v>33</v>
      </c>
      <c r="C1729" t="s">
        <v>9</v>
      </c>
      <c r="D1729">
        <v>0</v>
      </c>
      <c r="E1729">
        <v>0</v>
      </c>
      <c r="F1729">
        <v>54</v>
      </c>
      <c r="G1729">
        <v>0</v>
      </c>
      <c r="H1729" t="s">
        <v>9</v>
      </c>
      <c r="I1729">
        <v>54</v>
      </c>
    </row>
    <row r="1730" spans="1:9" x14ac:dyDescent="0.3">
      <c r="A1730">
        <v>236</v>
      </c>
      <c r="B1730" t="s">
        <v>33</v>
      </c>
      <c r="C1730" t="s">
        <v>11</v>
      </c>
      <c r="D1730">
        <v>37</v>
      </c>
      <c r="E1730">
        <v>0</v>
      </c>
      <c r="F1730">
        <v>0</v>
      </c>
      <c r="G1730">
        <v>24</v>
      </c>
      <c r="H1730" t="s">
        <v>63</v>
      </c>
      <c r="I1730">
        <v>61</v>
      </c>
    </row>
    <row r="1731" spans="1:9" x14ac:dyDescent="0.3">
      <c r="A1731">
        <v>236</v>
      </c>
      <c r="B1731" t="s">
        <v>33</v>
      </c>
      <c r="C1731" t="s">
        <v>22</v>
      </c>
      <c r="D1731">
        <v>72</v>
      </c>
      <c r="E1731">
        <v>7</v>
      </c>
      <c r="F1731">
        <v>0</v>
      </c>
      <c r="G1731">
        <v>42</v>
      </c>
      <c r="H1731" t="s">
        <v>76</v>
      </c>
      <c r="I1731">
        <v>121</v>
      </c>
    </row>
    <row r="1732" spans="1:9" x14ac:dyDescent="0.3">
      <c r="A1732">
        <v>237</v>
      </c>
      <c r="B1732" t="s">
        <v>7</v>
      </c>
      <c r="C1732" t="s">
        <v>14</v>
      </c>
      <c r="D1732">
        <v>10</v>
      </c>
      <c r="E1732">
        <v>0</v>
      </c>
      <c r="F1732">
        <v>0</v>
      </c>
      <c r="G1732">
        <v>10</v>
      </c>
      <c r="H1732" t="s">
        <v>62</v>
      </c>
      <c r="I1732">
        <v>20</v>
      </c>
    </row>
    <row r="1733" spans="1:9" x14ac:dyDescent="0.3">
      <c r="A1733">
        <v>237</v>
      </c>
      <c r="B1733" t="s">
        <v>7</v>
      </c>
      <c r="C1733" t="s">
        <v>15</v>
      </c>
      <c r="D1733">
        <v>8</v>
      </c>
      <c r="E1733">
        <v>0</v>
      </c>
      <c r="F1733">
        <v>0</v>
      </c>
      <c r="G1733">
        <v>11</v>
      </c>
      <c r="H1733" t="s">
        <v>65</v>
      </c>
      <c r="I1733">
        <v>19</v>
      </c>
    </row>
    <row r="1734" spans="1:9" x14ac:dyDescent="0.3">
      <c r="A1734">
        <v>237</v>
      </c>
      <c r="B1734" t="s">
        <v>7</v>
      </c>
      <c r="C1734" t="s">
        <v>25</v>
      </c>
      <c r="D1734">
        <v>9</v>
      </c>
      <c r="E1734">
        <v>0</v>
      </c>
      <c r="F1734">
        <v>0</v>
      </c>
      <c r="G1734">
        <v>10</v>
      </c>
      <c r="H1734" t="s">
        <v>79</v>
      </c>
      <c r="I1734">
        <v>19</v>
      </c>
    </row>
    <row r="1735" spans="1:9" x14ac:dyDescent="0.3">
      <c r="A1735">
        <v>237</v>
      </c>
      <c r="B1735" t="s">
        <v>7</v>
      </c>
      <c r="C1735" t="s">
        <v>26</v>
      </c>
      <c r="D1735">
        <v>13</v>
      </c>
      <c r="E1735">
        <v>0</v>
      </c>
      <c r="F1735">
        <v>0</v>
      </c>
      <c r="G1735">
        <v>8</v>
      </c>
      <c r="H1735" t="s">
        <v>71</v>
      </c>
      <c r="I1735">
        <v>21</v>
      </c>
    </row>
    <row r="1736" spans="1:9" x14ac:dyDescent="0.3">
      <c r="A1736">
        <v>237</v>
      </c>
      <c r="B1736" t="s">
        <v>7</v>
      </c>
      <c r="C1736" t="s">
        <v>27</v>
      </c>
      <c r="D1736">
        <v>23</v>
      </c>
      <c r="E1736">
        <v>0</v>
      </c>
      <c r="F1736">
        <v>0</v>
      </c>
      <c r="G1736">
        <v>10</v>
      </c>
      <c r="H1736" t="s">
        <v>78</v>
      </c>
      <c r="I1736">
        <v>33</v>
      </c>
    </row>
    <row r="1737" spans="1:9" x14ac:dyDescent="0.3">
      <c r="A1737">
        <v>237</v>
      </c>
      <c r="B1737" t="s">
        <v>7</v>
      </c>
      <c r="C1737" t="s">
        <v>29</v>
      </c>
      <c r="D1737">
        <v>4</v>
      </c>
      <c r="E1737">
        <v>0</v>
      </c>
      <c r="F1737">
        <v>0</v>
      </c>
      <c r="G1737">
        <v>7</v>
      </c>
      <c r="H1737" t="s">
        <v>67</v>
      </c>
      <c r="I1737">
        <v>11</v>
      </c>
    </row>
    <row r="1738" spans="1:9" x14ac:dyDescent="0.3">
      <c r="A1738">
        <v>237</v>
      </c>
      <c r="B1738" t="s">
        <v>33</v>
      </c>
      <c r="C1738" t="s">
        <v>8</v>
      </c>
      <c r="D1738">
        <v>0</v>
      </c>
      <c r="E1738">
        <v>0</v>
      </c>
      <c r="F1738">
        <v>1</v>
      </c>
      <c r="G1738">
        <v>0</v>
      </c>
      <c r="H1738" t="s">
        <v>8</v>
      </c>
      <c r="I1738">
        <v>1</v>
      </c>
    </row>
    <row r="1739" spans="1:9" x14ac:dyDescent="0.3">
      <c r="A1739">
        <v>237</v>
      </c>
      <c r="B1739" t="s">
        <v>33</v>
      </c>
      <c r="C1739" t="s">
        <v>9</v>
      </c>
      <c r="D1739">
        <v>0</v>
      </c>
      <c r="E1739">
        <v>0</v>
      </c>
      <c r="F1739">
        <v>8</v>
      </c>
      <c r="G1739">
        <v>0</v>
      </c>
      <c r="H1739" t="s">
        <v>9</v>
      </c>
      <c r="I1739">
        <v>8</v>
      </c>
    </row>
    <row r="1740" spans="1:9" x14ac:dyDescent="0.3">
      <c r="A1740">
        <v>237</v>
      </c>
      <c r="B1740" t="s">
        <v>33</v>
      </c>
      <c r="C1740" t="s">
        <v>11</v>
      </c>
      <c r="D1740">
        <v>72</v>
      </c>
      <c r="E1740">
        <v>27</v>
      </c>
      <c r="F1740">
        <v>0</v>
      </c>
      <c r="G1740">
        <v>45</v>
      </c>
      <c r="H1740" t="s">
        <v>63</v>
      </c>
      <c r="I1740">
        <v>144</v>
      </c>
    </row>
    <row r="1741" spans="1:9" x14ac:dyDescent="0.3">
      <c r="A1741">
        <v>237</v>
      </c>
      <c r="B1741" t="s">
        <v>33</v>
      </c>
      <c r="C1741" t="s">
        <v>22</v>
      </c>
      <c r="D1741">
        <v>46</v>
      </c>
      <c r="E1741">
        <v>4</v>
      </c>
      <c r="F1741">
        <v>0</v>
      </c>
      <c r="G1741">
        <v>36</v>
      </c>
      <c r="H1741" t="s">
        <v>76</v>
      </c>
      <c r="I1741">
        <v>86</v>
      </c>
    </row>
    <row r="1742" spans="1:9" x14ac:dyDescent="0.3">
      <c r="A1742">
        <v>238</v>
      </c>
      <c r="B1742" t="s">
        <v>7</v>
      </c>
      <c r="C1742" t="s">
        <v>12</v>
      </c>
      <c r="D1742">
        <v>0</v>
      </c>
      <c r="E1742">
        <v>0</v>
      </c>
      <c r="F1742">
        <v>0</v>
      </c>
      <c r="G1742">
        <v>1</v>
      </c>
      <c r="H1742" t="s">
        <v>64</v>
      </c>
      <c r="I1742">
        <v>1</v>
      </c>
    </row>
    <row r="1743" spans="1:9" x14ac:dyDescent="0.3">
      <c r="A1743">
        <v>238</v>
      </c>
      <c r="B1743" t="s">
        <v>7</v>
      </c>
      <c r="C1743" t="s">
        <v>13</v>
      </c>
      <c r="D1743">
        <v>0</v>
      </c>
      <c r="E1743">
        <v>0</v>
      </c>
      <c r="F1743">
        <v>0</v>
      </c>
      <c r="G1743">
        <v>2</v>
      </c>
      <c r="H1743" t="s">
        <v>69</v>
      </c>
      <c r="I1743">
        <v>2</v>
      </c>
    </row>
    <row r="1744" spans="1:9" x14ac:dyDescent="0.3">
      <c r="A1744">
        <v>238</v>
      </c>
      <c r="B1744" t="s">
        <v>7</v>
      </c>
      <c r="C1744" t="s">
        <v>14</v>
      </c>
      <c r="D1744">
        <v>14</v>
      </c>
      <c r="E1744">
        <v>0</v>
      </c>
      <c r="F1744">
        <v>2</v>
      </c>
      <c r="G1744">
        <v>12</v>
      </c>
      <c r="H1744" t="s">
        <v>62</v>
      </c>
      <c r="I1744">
        <v>28</v>
      </c>
    </row>
    <row r="1745" spans="1:9" x14ac:dyDescent="0.3">
      <c r="A1745">
        <v>238</v>
      </c>
      <c r="B1745" t="s">
        <v>7</v>
      </c>
      <c r="C1745" t="s">
        <v>15</v>
      </c>
      <c r="D1745">
        <v>5</v>
      </c>
      <c r="E1745">
        <v>0</v>
      </c>
      <c r="F1745">
        <v>0</v>
      </c>
      <c r="G1745">
        <v>8</v>
      </c>
      <c r="H1745" t="s">
        <v>65</v>
      </c>
      <c r="I1745">
        <v>13</v>
      </c>
    </row>
    <row r="1746" spans="1:9" x14ac:dyDescent="0.3">
      <c r="A1746">
        <v>238</v>
      </c>
      <c r="B1746" t="s">
        <v>7</v>
      </c>
      <c r="C1746" t="s">
        <v>22</v>
      </c>
      <c r="D1746">
        <v>10</v>
      </c>
      <c r="E1746">
        <v>0</v>
      </c>
      <c r="F1746">
        <v>0</v>
      </c>
      <c r="G1746">
        <v>7</v>
      </c>
      <c r="H1746" t="s">
        <v>76</v>
      </c>
      <c r="I1746">
        <v>17</v>
      </c>
    </row>
    <row r="1747" spans="1:9" x14ac:dyDescent="0.3">
      <c r="A1747">
        <v>238</v>
      </c>
      <c r="B1747" t="s">
        <v>7</v>
      </c>
      <c r="C1747" t="s">
        <v>25</v>
      </c>
      <c r="D1747">
        <v>1</v>
      </c>
      <c r="E1747">
        <v>0</v>
      </c>
      <c r="F1747">
        <v>0</v>
      </c>
      <c r="G1747">
        <v>7</v>
      </c>
      <c r="H1747" t="s">
        <v>79</v>
      </c>
      <c r="I1747">
        <v>8</v>
      </c>
    </row>
    <row r="1748" spans="1:9" x14ac:dyDescent="0.3">
      <c r="A1748">
        <v>238</v>
      </c>
      <c r="B1748" t="s">
        <v>7</v>
      </c>
      <c r="C1748" t="s">
        <v>26</v>
      </c>
      <c r="D1748">
        <v>1</v>
      </c>
      <c r="E1748">
        <v>4</v>
      </c>
      <c r="F1748">
        <v>0</v>
      </c>
      <c r="G1748">
        <v>7</v>
      </c>
      <c r="H1748" t="s">
        <v>71</v>
      </c>
      <c r="I1748">
        <v>12</v>
      </c>
    </row>
    <row r="1749" spans="1:9" x14ac:dyDescent="0.3">
      <c r="A1749">
        <v>238</v>
      </c>
      <c r="B1749" t="s">
        <v>7</v>
      </c>
      <c r="C1749" t="s">
        <v>27</v>
      </c>
      <c r="D1749">
        <v>4</v>
      </c>
      <c r="E1749">
        <v>0</v>
      </c>
      <c r="F1749">
        <v>0</v>
      </c>
      <c r="G1749">
        <v>10</v>
      </c>
      <c r="H1749" t="s">
        <v>78</v>
      </c>
      <c r="I1749">
        <v>14</v>
      </c>
    </row>
    <row r="1750" spans="1:9" x14ac:dyDescent="0.3">
      <c r="A1750">
        <v>238</v>
      </c>
      <c r="B1750" t="s">
        <v>7</v>
      </c>
      <c r="C1750" t="s">
        <v>29</v>
      </c>
      <c r="D1750">
        <v>15</v>
      </c>
      <c r="E1750">
        <v>8</v>
      </c>
      <c r="F1750">
        <v>2</v>
      </c>
      <c r="G1750">
        <v>13</v>
      </c>
      <c r="H1750" t="s">
        <v>67</v>
      </c>
      <c r="I1750">
        <v>38</v>
      </c>
    </row>
    <row r="1751" spans="1:9" x14ac:dyDescent="0.3">
      <c r="A1751">
        <v>238</v>
      </c>
      <c r="B1751" t="s">
        <v>33</v>
      </c>
      <c r="C1751" t="s">
        <v>9</v>
      </c>
      <c r="D1751">
        <v>0</v>
      </c>
      <c r="E1751">
        <v>0</v>
      </c>
      <c r="F1751">
        <v>31</v>
      </c>
      <c r="G1751">
        <v>0</v>
      </c>
      <c r="H1751" t="s">
        <v>9</v>
      </c>
      <c r="I1751">
        <v>31</v>
      </c>
    </row>
    <row r="1752" spans="1:9" x14ac:dyDescent="0.3">
      <c r="A1752">
        <v>238</v>
      </c>
      <c r="B1752" t="s">
        <v>33</v>
      </c>
      <c r="C1752" t="s">
        <v>11</v>
      </c>
      <c r="D1752">
        <v>53</v>
      </c>
      <c r="E1752">
        <v>0</v>
      </c>
      <c r="F1752">
        <v>0</v>
      </c>
      <c r="G1752">
        <v>30</v>
      </c>
      <c r="H1752" t="s">
        <v>63</v>
      </c>
      <c r="I1752">
        <v>83</v>
      </c>
    </row>
    <row r="1753" spans="1:9" x14ac:dyDescent="0.3">
      <c r="A1753">
        <v>238</v>
      </c>
      <c r="B1753" t="s">
        <v>33</v>
      </c>
      <c r="C1753" t="s">
        <v>22</v>
      </c>
      <c r="D1753">
        <v>28</v>
      </c>
      <c r="E1753">
        <v>0</v>
      </c>
      <c r="F1753">
        <v>0</v>
      </c>
      <c r="G1753">
        <v>17</v>
      </c>
      <c r="H1753" t="s">
        <v>76</v>
      </c>
      <c r="I1753">
        <v>45</v>
      </c>
    </row>
    <row r="1754" spans="1:9" x14ac:dyDescent="0.3">
      <c r="A1754">
        <v>238</v>
      </c>
      <c r="B1754" t="s">
        <v>33</v>
      </c>
      <c r="C1754" t="s">
        <v>26</v>
      </c>
      <c r="D1754">
        <v>1</v>
      </c>
      <c r="E1754">
        <v>0</v>
      </c>
      <c r="F1754">
        <v>0</v>
      </c>
      <c r="G1754">
        <v>1</v>
      </c>
      <c r="H1754" t="s">
        <v>71</v>
      </c>
      <c r="I1754">
        <v>2</v>
      </c>
    </row>
    <row r="1755" spans="1:9" x14ac:dyDescent="0.3">
      <c r="A1755">
        <v>238</v>
      </c>
      <c r="B1755" t="s">
        <v>33</v>
      </c>
      <c r="C1755" t="s">
        <v>29</v>
      </c>
      <c r="D1755">
        <v>3</v>
      </c>
      <c r="E1755">
        <v>0</v>
      </c>
      <c r="F1755">
        <v>0</v>
      </c>
      <c r="G1755">
        <v>2</v>
      </c>
      <c r="H1755" t="s">
        <v>67</v>
      </c>
      <c r="I1755">
        <v>5</v>
      </c>
    </row>
    <row r="1756" spans="1:9" x14ac:dyDescent="0.3">
      <c r="A1756">
        <v>239</v>
      </c>
      <c r="B1756" t="s">
        <v>7</v>
      </c>
      <c r="C1756" t="s">
        <v>15</v>
      </c>
      <c r="D1756">
        <v>7</v>
      </c>
      <c r="E1756">
        <v>0</v>
      </c>
      <c r="F1756">
        <v>0</v>
      </c>
      <c r="G1756">
        <v>7</v>
      </c>
      <c r="H1756" t="s">
        <v>65</v>
      </c>
      <c r="I1756">
        <v>14</v>
      </c>
    </row>
    <row r="1757" spans="1:9" x14ac:dyDescent="0.3">
      <c r="A1757">
        <v>239</v>
      </c>
      <c r="B1757" t="s">
        <v>7</v>
      </c>
      <c r="C1757" t="s">
        <v>22</v>
      </c>
      <c r="D1757">
        <v>37</v>
      </c>
      <c r="E1757">
        <v>0</v>
      </c>
      <c r="F1757">
        <v>0</v>
      </c>
      <c r="G1757">
        <v>8</v>
      </c>
      <c r="H1757" t="s">
        <v>76</v>
      </c>
      <c r="I1757">
        <v>45</v>
      </c>
    </row>
    <row r="1758" spans="1:9" x14ac:dyDescent="0.3">
      <c r="A1758">
        <v>239</v>
      </c>
      <c r="B1758" t="s">
        <v>7</v>
      </c>
      <c r="C1758" t="s">
        <v>25</v>
      </c>
      <c r="D1758">
        <v>1</v>
      </c>
      <c r="E1758">
        <v>2</v>
      </c>
      <c r="F1758">
        <v>0</v>
      </c>
      <c r="G1758">
        <v>4</v>
      </c>
      <c r="H1758" t="s">
        <v>79</v>
      </c>
      <c r="I1758">
        <v>7</v>
      </c>
    </row>
    <row r="1759" spans="1:9" x14ac:dyDescent="0.3">
      <c r="A1759">
        <v>239</v>
      </c>
      <c r="B1759" t="s">
        <v>7</v>
      </c>
      <c r="C1759" t="s">
        <v>27</v>
      </c>
      <c r="D1759">
        <v>17</v>
      </c>
      <c r="E1759">
        <v>12</v>
      </c>
      <c r="F1759">
        <v>0</v>
      </c>
      <c r="G1759">
        <v>10</v>
      </c>
      <c r="H1759" t="s">
        <v>78</v>
      </c>
      <c r="I1759">
        <v>39</v>
      </c>
    </row>
    <row r="1760" spans="1:9" x14ac:dyDescent="0.3">
      <c r="A1760">
        <v>239</v>
      </c>
      <c r="B1760" t="s">
        <v>7</v>
      </c>
      <c r="C1760" t="s">
        <v>29</v>
      </c>
      <c r="D1760">
        <v>0</v>
      </c>
      <c r="E1760">
        <v>0</v>
      </c>
      <c r="F1760">
        <v>0</v>
      </c>
      <c r="G1760">
        <v>7</v>
      </c>
      <c r="H1760" t="s">
        <v>67</v>
      </c>
      <c r="I1760">
        <v>7</v>
      </c>
    </row>
    <row r="1761" spans="1:9" x14ac:dyDescent="0.3">
      <c r="A1761">
        <v>239</v>
      </c>
      <c r="B1761" t="s">
        <v>33</v>
      </c>
      <c r="C1761" t="s">
        <v>9</v>
      </c>
      <c r="D1761">
        <v>0</v>
      </c>
      <c r="E1761">
        <v>0</v>
      </c>
      <c r="F1761">
        <v>45</v>
      </c>
      <c r="G1761">
        <v>0</v>
      </c>
      <c r="H1761" t="s">
        <v>9</v>
      </c>
      <c r="I1761">
        <v>45</v>
      </c>
    </row>
    <row r="1762" spans="1:9" x14ac:dyDescent="0.3">
      <c r="A1762">
        <v>239</v>
      </c>
      <c r="B1762" t="s">
        <v>33</v>
      </c>
      <c r="C1762" t="s">
        <v>11</v>
      </c>
      <c r="D1762">
        <v>23</v>
      </c>
      <c r="E1762">
        <v>7</v>
      </c>
      <c r="F1762">
        <v>0</v>
      </c>
      <c r="G1762">
        <v>10</v>
      </c>
      <c r="H1762" t="s">
        <v>63</v>
      </c>
      <c r="I1762">
        <v>40</v>
      </c>
    </row>
    <row r="1763" spans="1:9" x14ac:dyDescent="0.3">
      <c r="A1763">
        <v>239</v>
      </c>
      <c r="B1763" t="s">
        <v>33</v>
      </c>
      <c r="C1763" t="s">
        <v>14</v>
      </c>
      <c r="D1763">
        <v>32</v>
      </c>
      <c r="E1763">
        <v>0</v>
      </c>
      <c r="F1763">
        <v>0</v>
      </c>
      <c r="G1763">
        <v>12</v>
      </c>
      <c r="H1763" t="s">
        <v>62</v>
      </c>
      <c r="I1763">
        <v>44</v>
      </c>
    </row>
    <row r="1764" spans="1:9" x14ac:dyDescent="0.3">
      <c r="A1764">
        <v>239</v>
      </c>
      <c r="B1764" t="s">
        <v>33</v>
      </c>
      <c r="C1764" t="s">
        <v>26</v>
      </c>
      <c r="D1764">
        <v>6</v>
      </c>
      <c r="E1764">
        <v>0</v>
      </c>
      <c r="F1764">
        <v>0</v>
      </c>
      <c r="G1764">
        <v>9</v>
      </c>
      <c r="H1764" t="s">
        <v>71</v>
      </c>
      <c r="I1764">
        <v>15</v>
      </c>
    </row>
    <row r="1765" spans="1:9" x14ac:dyDescent="0.3">
      <c r="A1765">
        <v>239</v>
      </c>
      <c r="B1765" t="s">
        <v>33</v>
      </c>
      <c r="C1765" t="s">
        <v>27</v>
      </c>
      <c r="D1765">
        <v>12</v>
      </c>
      <c r="E1765">
        <v>0</v>
      </c>
      <c r="F1765">
        <v>0</v>
      </c>
      <c r="G1765">
        <v>7</v>
      </c>
      <c r="H1765" t="s">
        <v>78</v>
      </c>
      <c r="I1765">
        <v>19</v>
      </c>
    </row>
    <row r="1766" spans="1:9" x14ac:dyDescent="0.3">
      <c r="A1766">
        <v>239</v>
      </c>
      <c r="B1766" t="s">
        <v>33</v>
      </c>
      <c r="C1766" t="s">
        <v>29</v>
      </c>
      <c r="D1766">
        <v>34</v>
      </c>
      <c r="E1766">
        <v>25</v>
      </c>
      <c r="F1766">
        <v>0</v>
      </c>
      <c r="G1766">
        <v>25</v>
      </c>
      <c r="H1766" t="s">
        <v>67</v>
      </c>
      <c r="I1766">
        <v>84</v>
      </c>
    </row>
    <row r="1767" spans="1:9" x14ac:dyDescent="0.3">
      <c r="A1767">
        <v>240</v>
      </c>
      <c r="B1767" t="s">
        <v>7</v>
      </c>
      <c r="C1767" t="s">
        <v>11</v>
      </c>
      <c r="D1767">
        <v>8</v>
      </c>
      <c r="E1767">
        <v>5</v>
      </c>
      <c r="F1767">
        <v>0</v>
      </c>
      <c r="G1767">
        <v>5</v>
      </c>
      <c r="H1767" t="s">
        <v>63</v>
      </c>
      <c r="I1767">
        <v>18</v>
      </c>
    </row>
    <row r="1768" spans="1:9" x14ac:dyDescent="0.3">
      <c r="A1768">
        <v>240</v>
      </c>
      <c r="B1768" t="s">
        <v>7</v>
      </c>
      <c r="C1768" t="s">
        <v>14</v>
      </c>
      <c r="D1768">
        <v>3</v>
      </c>
      <c r="E1768">
        <v>0</v>
      </c>
      <c r="F1768">
        <v>0</v>
      </c>
      <c r="G1768">
        <v>2</v>
      </c>
      <c r="H1768" t="s">
        <v>62</v>
      </c>
      <c r="I1768">
        <v>5</v>
      </c>
    </row>
    <row r="1769" spans="1:9" x14ac:dyDescent="0.3">
      <c r="A1769">
        <v>240</v>
      </c>
      <c r="B1769" t="s">
        <v>7</v>
      </c>
      <c r="C1769" t="s">
        <v>15</v>
      </c>
      <c r="D1769">
        <v>7</v>
      </c>
      <c r="E1769">
        <v>3</v>
      </c>
      <c r="F1769">
        <v>0</v>
      </c>
      <c r="G1769">
        <v>9</v>
      </c>
      <c r="H1769" t="s">
        <v>65</v>
      </c>
      <c r="I1769">
        <v>19</v>
      </c>
    </row>
    <row r="1770" spans="1:9" x14ac:dyDescent="0.3">
      <c r="A1770">
        <v>240</v>
      </c>
      <c r="B1770" t="s">
        <v>7</v>
      </c>
      <c r="C1770" t="s">
        <v>22</v>
      </c>
      <c r="D1770">
        <v>0</v>
      </c>
      <c r="E1770">
        <v>4</v>
      </c>
      <c r="F1770">
        <v>0</v>
      </c>
      <c r="G1770">
        <v>1</v>
      </c>
      <c r="H1770" t="s">
        <v>76</v>
      </c>
      <c r="I1770">
        <v>5</v>
      </c>
    </row>
    <row r="1771" spans="1:9" x14ac:dyDescent="0.3">
      <c r="A1771">
        <v>240</v>
      </c>
      <c r="B1771" t="s">
        <v>7</v>
      </c>
      <c r="C1771" t="s">
        <v>25</v>
      </c>
      <c r="D1771">
        <v>3</v>
      </c>
      <c r="E1771">
        <v>4</v>
      </c>
      <c r="F1771">
        <v>0</v>
      </c>
      <c r="G1771">
        <v>3</v>
      </c>
      <c r="H1771" t="s">
        <v>79</v>
      </c>
      <c r="I1771">
        <v>10</v>
      </c>
    </row>
    <row r="1772" spans="1:9" x14ac:dyDescent="0.3">
      <c r="A1772">
        <v>240</v>
      </c>
      <c r="B1772" t="s">
        <v>7</v>
      </c>
      <c r="C1772" t="s">
        <v>26</v>
      </c>
      <c r="D1772">
        <v>4</v>
      </c>
      <c r="E1772">
        <v>4</v>
      </c>
      <c r="F1772">
        <v>0</v>
      </c>
      <c r="G1772">
        <v>4</v>
      </c>
      <c r="H1772" t="s">
        <v>71</v>
      </c>
      <c r="I1772">
        <v>12</v>
      </c>
    </row>
    <row r="1773" spans="1:9" x14ac:dyDescent="0.3">
      <c r="A1773">
        <v>240</v>
      </c>
      <c r="B1773" t="s">
        <v>7</v>
      </c>
      <c r="C1773" t="s">
        <v>27</v>
      </c>
      <c r="D1773">
        <v>9</v>
      </c>
      <c r="E1773">
        <v>0</v>
      </c>
      <c r="F1773">
        <v>0</v>
      </c>
      <c r="G1773">
        <v>10</v>
      </c>
      <c r="H1773" t="s">
        <v>78</v>
      </c>
      <c r="I1773">
        <v>19</v>
      </c>
    </row>
    <row r="1774" spans="1:9" x14ac:dyDescent="0.3">
      <c r="A1774">
        <v>240</v>
      </c>
      <c r="B1774" t="s">
        <v>7</v>
      </c>
      <c r="C1774" t="s">
        <v>29</v>
      </c>
      <c r="D1774">
        <v>7</v>
      </c>
      <c r="E1774">
        <v>2</v>
      </c>
      <c r="F1774">
        <v>0</v>
      </c>
      <c r="G1774">
        <v>3</v>
      </c>
      <c r="H1774" t="s">
        <v>67</v>
      </c>
      <c r="I1774">
        <v>12</v>
      </c>
    </row>
    <row r="1775" spans="1:9" x14ac:dyDescent="0.3">
      <c r="A1775">
        <v>240</v>
      </c>
      <c r="B1775" t="s">
        <v>33</v>
      </c>
      <c r="C1775" t="s">
        <v>9</v>
      </c>
      <c r="D1775">
        <v>0</v>
      </c>
      <c r="E1775">
        <v>0</v>
      </c>
      <c r="F1775">
        <v>20</v>
      </c>
      <c r="G1775">
        <v>0</v>
      </c>
      <c r="H1775" t="s">
        <v>9</v>
      </c>
      <c r="I1775">
        <v>20</v>
      </c>
    </row>
    <row r="1776" spans="1:9" x14ac:dyDescent="0.3">
      <c r="A1776">
        <v>240</v>
      </c>
      <c r="B1776" t="s">
        <v>33</v>
      </c>
      <c r="C1776" t="s">
        <v>11</v>
      </c>
      <c r="D1776">
        <v>3</v>
      </c>
      <c r="E1776">
        <v>0</v>
      </c>
      <c r="F1776">
        <v>0</v>
      </c>
      <c r="G1776">
        <v>2</v>
      </c>
      <c r="H1776" t="s">
        <v>63</v>
      </c>
      <c r="I1776">
        <v>5</v>
      </c>
    </row>
    <row r="1777" spans="1:9" x14ac:dyDescent="0.3">
      <c r="A1777">
        <v>240</v>
      </c>
      <c r="B1777" t="s">
        <v>33</v>
      </c>
      <c r="C1777" t="s">
        <v>12</v>
      </c>
      <c r="D1777">
        <v>5</v>
      </c>
      <c r="E1777">
        <v>0</v>
      </c>
      <c r="F1777">
        <v>0</v>
      </c>
      <c r="G1777">
        <v>2</v>
      </c>
      <c r="H1777" t="s">
        <v>64</v>
      </c>
      <c r="I1777">
        <v>7</v>
      </c>
    </row>
    <row r="1778" spans="1:9" x14ac:dyDescent="0.3">
      <c r="A1778">
        <v>240</v>
      </c>
      <c r="B1778" t="s">
        <v>33</v>
      </c>
      <c r="C1778" t="s">
        <v>14</v>
      </c>
      <c r="D1778">
        <v>5</v>
      </c>
      <c r="E1778">
        <v>0</v>
      </c>
      <c r="F1778">
        <v>0</v>
      </c>
      <c r="G1778">
        <v>2</v>
      </c>
      <c r="H1778" t="s">
        <v>62</v>
      </c>
      <c r="I1778">
        <v>7</v>
      </c>
    </row>
    <row r="1779" spans="1:9" x14ac:dyDescent="0.3">
      <c r="A1779">
        <v>240</v>
      </c>
      <c r="B1779" t="s">
        <v>33</v>
      </c>
      <c r="C1779" t="s">
        <v>22</v>
      </c>
      <c r="D1779">
        <v>23</v>
      </c>
      <c r="E1779">
        <v>0</v>
      </c>
      <c r="F1779">
        <v>0</v>
      </c>
      <c r="G1779">
        <v>11</v>
      </c>
      <c r="H1779" t="s">
        <v>76</v>
      </c>
      <c r="I1779">
        <v>34</v>
      </c>
    </row>
    <row r="1780" spans="1:9" x14ac:dyDescent="0.3">
      <c r="A1780">
        <v>240</v>
      </c>
      <c r="B1780" t="s">
        <v>33</v>
      </c>
      <c r="C1780" t="s">
        <v>25</v>
      </c>
      <c r="D1780">
        <v>14</v>
      </c>
      <c r="E1780">
        <v>0</v>
      </c>
      <c r="F1780">
        <v>0</v>
      </c>
      <c r="G1780">
        <v>9</v>
      </c>
      <c r="H1780" t="s">
        <v>79</v>
      </c>
      <c r="I1780">
        <v>23</v>
      </c>
    </row>
    <row r="1781" spans="1:9" x14ac:dyDescent="0.3">
      <c r="A1781">
        <v>240</v>
      </c>
      <c r="B1781" t="s">
        <v>33</v>
      </c>
      <c r="C1781" t="s">
        <v>26</v>
      </c>
      <c r="D1781">
        <v>16</v>
      </c>
      <c r="E1781">
        <v>0</v>
      </c>
      <c r="F1781">
        <v>0</v>
      </c>
      <c r="G1781">
        <v>8</v>
      </c>
      <c r="H1781" t="s">
        <v>71</v>
      </c>
      <c r="I1781">
        <v>24</v>
      </c>
    </row>
    <row r="1782" spans="1:9" x14ac:dyDescent="0.3">
      <c r="A1782">
        <v>240</v>
      </c>
      <c r="B1782" t="s">
        <v>33</v>
      </c>
      <c r="C1782" t="s">
        <v>27</v>
      </c>
      <c r="D1782">
        <v>7</v>
      </c>
      <c r="E1782">
        <v>0</v>
      </c>
      <c r="F1782">
        <v>0</v>
      </c>
      <c r="G1782">
        <v>3</v>
      </c>
      <c r="H1782" t="s">
        <v>78</v>
      </c>
      <c r="I1782">
        <v>10</v>
      </c>
    </row>
    <row r="1783" spans="1:9" x14ac:dyDescent="0.3">
      <c r="A1783">
        <v>240</v>
      </c>
      <c r="B1783" t="s">
        <v>33</v>
      </c>
      <c r="C1783" t="s">
        <v>29</v>
      </c>
      <c r="D1783">
        <v>70</v>
      </c>
      <c r="E1783">
        <v>3</v>
      </c>
      <c r="F1783">
        <v>0</v>
      </c>
      <c r="G1783">
        <v>29</v>
      </c>
      <c r="H1783" t="s">
        <v>67</v>
      </c>
      <c r="I1783">
        <v>102</v>
      </c>
    </row>
    <row r="1784" spans="1:9" x14ac:dyDescent="0.3">
      <c r="A1784">
        <v>241</v>
      </c>
      <c r="B1784" t="s">
        <v>7</v>
      </c>
      <c r="C1784" t="s">
        <v>10</v>
      </c>
      <c r="D1784">
        <v>0</v>
      </c>
      <c r="E1784">
        <v>0</v>
      </c>
      <c r="F1784">
        <v>0</v>
      </c>
      <c r="G1784">
        <v>1</v>
      </c>
      <c r="H1784" t="s">
        <v>68</v>
      </c>
      <c r="I1784">
        <v>1</v>
      </c>
    </row>
    <row r="1785" spans="1:9" x14ac:dyDescent="0.3">
      <c r="A1785">
        <v>241</v>
      </c>
      <c r="B1785" t="s">
        <v>7</v>
      </c>
      <c r="C1785" t="s">
        <v>11</v>
      </c>
      <c r="D1785">
        <v>13</v>
      </c>
      <c r="E1785">
        <v>0</v>
      </c>
      <c r="F1785">
        <v>0</v>
      </c>
      <c r="G1785">
        <v>16</v>
      </c>
      <c r="H1785" t="s">
        <v>63</v>
      </c>
      <c r="I1785">
        <v>29</v>
      </c>
    </row>
    <row r="1786" spans="1:9" x14ac:dyDescent="0.3">
      <c r="A1786">
        <v>241</v>
      </c>
      <c r="B1786" t="s">
        <v>7</v>
      </c>
      <c r="C1786" t="s">
        <v>14</v>
      </c>
      <c r="D1786">
        <v>12</v>
      </c>
      <c r="E1786">
        <v>0</v>
      </c>
      <c r="F1786">
        <v>0</v>
      </c>
      <c r="G1786">
        <v>11</v>
      </c>
      <c r="H1786" t="s">
        <v>62</v>
      </c>
      <c r="I1786">
        <v>23</v>
      </c>
    </row>
    <row r="1787" spans="1:9" x14ac:dyDescent="0.3">
      <c r="A1787">
        <v>241</v>
      </c>
      <c r="B1787" t="s">
        <v>7</v>
      </c>
      <c r="C1787" t="s">
        <v>15</v>
      </c>
      <c r="D1787">
        <v>30</v>
      </c>
      <c r="E1787">
        <v>16</v>
      </c>
      <c r="F1787">
        <v>0</v>
      </c>
      <c r="G1787">
        <v>17</v>
      </c>
      <c r="H1787" t="s">
        <v>65</v>
      </c>
      <c r="I1787">
        <v>63</v>
      </c>
    </row>
    <row r="1788" spans="1:9" x14ac:dyDescent="0.3">
      <c r="A1788">
        <v>241</v>
      </c>
      <c r="B1788" t="s">
        <v>7</v>
      </c>
      <c r="C1788" t="s">
        <v>22</v>
      </c>
      <c r="D1788">
        <v>9</v>
      </c>
      <c r="E1788">
        <v>0</v>
      </c>
      <c r="F1788">
        <v>0</v>
      </c>
      <c r="G1788">
        <v>10</v>
      </c>
      <c r="H1788" t="s">
        <v>76</v>
      </c>
      <c r="I1788">
        <v>19</v>
      </c>
    </row>
    <row r="1789" spans="1:9" x14ac:dyDescent="0.3">
      <c r="A1789">
        <v>241</v>
      </c>
      <c r="B1789" t="s">
        <v>7</v>
      </c>
      <c r="C1789" t="s">
        <v>25</v>
      </c>
      <c r="D1789">
        <v>2</v>
      </c>
      <c r="E1789">
        <v>5</v>
      </c>
      <c r="F1789">
        <v>0</v>
      </c>
      <c r="G1789">
        <v>9</v>
      </c>
      <c r="H1789" t="s">
        <v>79</v>
      </c>
      <c r="I1789">
        <v>16</v>
      </c>
    </row>
    <row r="1790" spans="1:9" x14ac:dyDescent="0.3">
      <c r="A1790">
        <v>241</v>
      </c>
      <c r="B1790" t="s">
        <v>7</v>
      </c>
      <c r="C1790" t="s">
        <v>26</v>
      </c>
      <c r="D1790">
        <v>9</v>
      </c>
      <c r="E1790">
        <v>1</v>
      </c>
      <c r="F1790">
        <v>0</v>
      </c>
      <c r="G1790">
        <v>5</v>
      </c>
      <c r="H1790" t="s">
        <v>71</v>
      </c>
      <c r="I1790">
        <v>15</v>
      </c>
    </row>
    <row r="1791" spans="1:9" x14ac:dyDescent="0.3">
      <c r="A1791">
        <v>241</v>
      </c>
      <c r="B1791" t="s">
        <v>7</v>
      </c>
      <c r="C1791" t="s">
        <v>27</v>
      </c>
      <c r="D1791">
        <v>9</v>
      </c>
      <c r="E1791">
        <v>0</v>
      </c>
      <c r="F1791">
        <v>0</v>
      </c>
      <c r="G1791">
        <v>13</v>
      </c>
      <c r="H1791" t="s">
        <v>78</v>
      </c>
      <c r="I1791">
        <v>22</v>
      </c>
    </row>
    <row r="1792" spans="1:9" x14ac:dyDescent="0.3">
      <c r="A1792">
        <v>241</v>
      </c>
      <c r="B1792" t="s">
        <v>7</v>
      </c>
      <c r="C1792" t="s">
        <v>29</v>
      </c>
      <c r="D1792">
        <v>15</v>
      </c>
      <c r="E1792">
        <v>4</v>
      </c>
      <c r="F1792">
        <v>0</v>
      </c>
      <c r="G1792">
        <v>13</v>
      </c>
      <c r="H1792" t="s">
        <v>67</v>
      </c>
      <c r="I1792">
        <v>32</v>
      </c>
    </row>
    <row r="1793" spans="1:9" x14ac:dyDescent="0.3">
      <c r="A1793">
        <v>241</v>
      </c>
      <c r="B1793" t="s">
        <v>33</v>
      </c>
      <c r="C1793" t="s">
        <v>8</v>
      </c>
      <c r="D1793">
        <v>0</v>
      </c>
      <c r="E1793">
        <v>0</v>
      </c>
      <c r="F1793">
        <v>2</v>
      </c>
      <c r="G1793">
        <v>0</v>
      </c>
      <c r="H1793" t="s">
        <v>8</v>
      </c>
      <c r="I1793">
        <v>2</v>
      </c>
    </row>
    <row r="1794" spans="1:9" x14ac:dyDescent="0.3">
      <c r="A1794">
        <v>241</v>
      </c>
      <c r="B1794" t="s">
        <v>33</v>
      </c>
      <c r="C1794" t="s">
        <v>9</v>
      </c>
      <c r="D1794">
        <v>0</v>
      </c>
      <c r="E1794">
        <v>0</v>
      </c>
      <c r="F1794">
        <v>28</v>
      </c>
      <c r="G1794">
        <v>0</v>
      </c>
      <c r="H1794" t="s">
        <v>9</v>
      </c>
      <c r="I1794">
        <v>28</v>
      </c>
    </row>
    <row r="1795" spans="1:9" x14ac:dyDescent="0.3">
      <c r="A1795">
        <v>241</v>
      </c>
      <c r="B1795" t="s">
        <v>33</v>
      </c>
      <c r="C1795" t="s">
        <v>13</v>
      </c>
      <c r="D1795">
        <v>0</v>
      </c>
      <c r="E1795">
        <v>0</v>
      </c>
      <c r="F1795">
        <v>0</v>
      </c>
      <c r="G1795">
        <v>5</v>
      </c>
      <c r="H1795" t="s">
        <v>69</v>
      </c>
      <c r="I1795">
        <v>5</v>
      </c>
    </row>
    <row r="1796" spans="1:9" x14ac:dyDescent="0.3">
      <c r="A1796">
        <v>242</v>
      </c>
      <c r="B1796" t="s">
        <v>7</v>
      </c>
      <c r="C1796" t="s">
        <v>11</v>
      </c>
      <c r="D1796">
        <v>27</v>
      </c>
      <c r="E1796">
        <v>2</v>
      </c>
      <c r="F1796">
        <v>0</v>
      </c>
      <c r="G1796">
        <v>22</v>
      </c>
      <c r="H1796" t="s">
        <v>63</v>
      </c>
      <c r="I1796">
        <v>51</v>
      </c>
    </row>
    <row r="1797" spans="1:9" x14ac:dyDescent="0.3">
      <c r="A1797">
        <v>242</v>
      </c>
      <c r="B1797" t="s">
        <v>7</v>
      </c>
      <c r="C1797" t="s">
        <v>12</v>
      </c>
      <c r="D1797">
        <v>59</v>
      </c>
      <c r="E1797">
        <v>3</v>
      </c>
      <c r="F1797">
        <v>0</v>
      </c>
      <c r="G1797">
        <v>39</v>
      </c>
      <c r="H1797" t="s">
        <v>64</v>
      </c>
      <c r="I1797">
        <v>101</v>
      </c>
    </row>
    <row r="1798" spans="1:9" x14ac:dyDescent="0.3">
      <c r="A1798">
        <v>242</v>
      </c>
      <c r="B1798" t="s">
        <v>7</v>
      </c>
      <c r="C1798" t="s">
        <v>13</v>
      </c>
      <c r="D1798">
        <v>63</v>
      </c>
      <c r="E1798">
        <v>31</v>
      </c>
      <c r="F1798">
        <v>0</v>
      </c>
      <c r="G1798">
        <v>48</v>
      </c>
      <c r="H1798" t="s">
        <v>69</v>
      </c>
      <c r="I1798">
        <v>142</v>
      </c>
    </row>
    <row r="1799" spans="1:9" x14ac:dyDescent="0.3">
      <c r="A1799">
        <v>242</v>
      </c>
      <c r="B1799" t="s">
        <v>7</v>
      </c>
      <c r="C1799" t="s">
        <v>14</v>
      </c>
      <c r="D1799">
        <v>32</v>
      </c>
      <c r="E1799">
        <v>20</v>
      </c>
      <c r="F1799">
        <v>0</v>
      </c>
      <c r="G1799">
        <v>32</v>
      </c>
      <c r="H1799" t="s">
        <v>62</v>
      </c>
      <c r="I1799">
        <v>84</v>
      </c>
    </row>
    <row r="1800" spans="1:9" x14ac:dyDescent="0.3">
      <c r="A1800">
        <v>242</v>
      </c>
      <c r="B1800" t="s">
        <v>7</v>
      </c>
      <c r="C1800" t="s">
        <v>15</v>
      </c>
      <c r="D1800">
        <v>22</v>
      </c>
      <c r="E1800">
        <v>0</v>
      </c>
      <c r="F1800">
        <v>0</v>
      </c>
      <c r="G1800">
        <v>27</v>
      </c>
      <c r="H1800" t="s">
        <v>65</v>
      </c>
      <c r="I1800">
        <v>49</v>
      </c>
    </row>
    <row r="1801" spans="1:9" x14ac:dyDescent="0.3">
      <c r="A1801">
        <v>242</v>
      </c>
      <c r="B1801" t="s">
        <v>7</v>
      </c>
      <c r="C1801" t="s">
        <v>18</v>
      </c>
      <c r="D1801">
        <v>32</v>
      </c>
      <c r="E1801">
        <v>0</v>
      </c>
      <c r="F1801">
        <v>0</v>
      </c>
      <c r="G1801">
        <v>24</v>
      </c>
      <c r="H1801" t="s">
        <v>72</v>
      </c>
      <c r="I1801">
        <v>56</v>
      </c>
    </row>
    <row r="1802" spans="1:9" x14ac:dyDescent="0.3">
      <c r="A1802">
        <v>242</v>
      </c>
      <c r="B1802" t="s">
        <v>7</v>
      </c>
      <c r="C1802" t="s">
        <v>22</v>
      </c>
      <c r="D1802">
        <v>41</v>
      </c>
      <c r="E1802">
        <v>4</v>
      </c>
      <c r="F1802">
        <v>0</v>
      </c>
      <c r="G1802">
        <v>23</v>
      </c>
      <c r="H1802" t="s">
        <v>76</v>
      </c>
      <c r="I1802">
        <v>68</v>
      </c>
    </row>
    <row r="1803" spans="1:9" x14ac:dyDescent="0.3">
      <c r="A1803">
        <v>242</v>
      </c>
      <c r="B1803" t="s">
        <v>7</v>
      </c>
      <c r="C1803" t="s">
        <v>25</v>
      </c>
      <c r="D1803">
        <v>19</v>
      </c>
      <c r="E1803">
        <v>0</v>
      </c>
      <c r="F1803">
        <v>0</v>
      </c>
      <c r="G1803">
        <v>16</v>
      </c>
      <c r="H1803" t="s">
        <v>79</v>
      </c>
      <c r="I1803">
        <v>35</v>
      </c>
    </row>
    <row r="1804" spans="1:9" x14ac:dyDescent="0.3">
      <c r="A1804">
        <v>242</v>
      </c>
      <c r="B1804" t="s">
        <v>7</v>
      </c>
      <c r="C1804" t="s">
        <v>26</v>
      </c>
      <c r="D1804">
        <v>34</v>
      </c>
      <c r="E1804">
        <v>1</v>
      </c>
      <c r="F1804">
        <v>0</v>
      </c>
      <c r="G1804">
        <v>20</v>
      </c>
      <c r="H1804" t="s">
        <v>71</v>
      </c>
      <c r="I1804">
        <v>55</v>
      </c>
    </row>
    <row r="1805" spans="1:9" x14ac:dyDescent="0.3">
      <c r="A1805">
        <v>242</v>
      </c>
      <c r="B1805" t="s">
        <v>7</v>
      </c>
      <c r="C1805" t="s">
        <v>27</v>
      </c>
      <c r="D1805">
        <v>8</v>
      </c>
      <c r="E1805">
        <v>0</v>
      </c>
      <c r="F1805">
        <v>0</v>
      </c>
      <c r="G1805">
        <v>14</v>
      </c>
      <c r="H1805" t="s">
        <v>78</v>
      </c>
      <c r="I1805">
        <v>22</v>
      </c>
    </row>
    <row r="1806" spans="1:9" x14ac:dyDescent="0.3">
      <c r="A1806">
        <v>242</v>
      </c>
      <c r="B1806" t="s">
        <v>7</v>
      </c>
      <c r="C1806" t="s">
        <v>29</v>
      </c>
      <c r="D1806">
        <v>19</v>
      </c>
      <c r="E1806">
        <v>10</v>
      </c>
      <c r="F1806">
        <v>0</v>
      </c>
      <c r="G1806">
        <v>14</v>
      </c>
      <c r="H1806" t="s">
        <v>67</v>
      </c>
      <c r="I1806">
        <v>43</v>
      </c>
    </row>
    <row r="1807" spans="1:9" x14ac:dyDescent="0.3">
      <c r="A1807">
        <v>242</v>
      </c>
      <c r="B1807" t="s">
        <v>33</v>
      </c>
      <c r="C1807" t="s">
        <v>8</v>
      </c>
      <c r="D1807">
        <v>0</v>
      </c>
      <c r="E1807">
        <v>0</v>
      </c>
      <c r="F1807">
        <v>1</v>
      </c>
      <c r="G1807">
        <v>0</v>
      </c>
      <c r="H1807" t="s">
        <v>8</v>
      </c>
      <c r="I1807">
        <v>1</v>
      </c>
    </row>
    <row r="1808" spans="1:9" x14ac:dyDescent="0.3">
      <c r="A1808">
        <v>242</v>
      </c>
      <c r="B1808" t="s">
        <v>33</v>
      </c>
      <c r="C1808" t="s">
        <v>9</v>
      </c>
      <c r="D1808">
        <v>0</v>
      </c>
      <c r="E1808">
        <v>0</v>
      </c>
      <c r="F1808">
        <v>35</v>
      </c>
      <c r="G1808">
        <v>0</v>
      </c>
      <c r="H1808" t="s">
        <v>9</v>
      </c>
      <c r="I1808">
        <v>35</v>
      </c>
    </row>
    <row r="1809" spans="1:9" x14ac:dyDescent="0.3">
      <c r="A1809">
        <v>242</v>
      </c>
      <c r="B1809" t="s">
        <v>33</v>
      </c>
      <c r="C1809" t="s">
        <v>25</v>
      </c>
      <c r="D1809">
        <v>5</v>
      </c>
      <c r="E1809">
        <v>0</v>
      </c>
      <c r="F1809">
        <v>0</v>
      </c>
      <c r="G1809">
        <v>3</v>
      </c>
      <c r="H1809" t="s">
        <v>79</v>
      </c>
      <c r="I1809">
        <v>8</v>
      </c>
    </row>
    <row r="1810" spans="1:9" x14ac:dyDescent="0.3">
      <c r="A1810">
        <v>242</v>
      </c>
      <c r="B1810" t="s">
        <v>33</v>
      </c>
      <c r="C1810" t="s">
        <v>29</v>
      </c>
      <c r="D1810">
        <v>12</v>
      </c>
      <c r="E1810">
        <v>0</v>
      </c>
      <c r="F1810">
        <v>0</v>
      </c>
      <c r="G1810">
        <v>13</v>
      </c>
      <c r="H1810" t="s">
        <v>67</v>
      </c>
      <c r="I1810">
        <v>25</v>
      </c>
    </row>
    <row r="1811" spans="1:9" x14ac:dyDescent="0.3">
      <c r="A1811">
        <v>243</v>
      </c>
      <c r="B1811" t="s">
        <v>7</v>
      </c>
      <c r="C1811" t="s">
        <v>11</v>
      </c>
      <c r="D1811">
        <v>41</v>
      </c>
      <c r="E1811">
        <v>3</v>
      </c>
      <c r="F1811">
        <v>0</v>
      </c>
      <c r="G1811">
        <v>38</v>
      </c>
      <c r="H1811" t="s">
        <v>63</v>
      </c>
      <c r="I1811">
        <v>82</v>
      </c>
    </row>
    <row r="1812" spans="1:9" x14ac:dyDescent="0.3">
      <c r="A1812">
        <v>243</v>
      </c>
      <c r="B1812" t="s">
        <v>7</v>
      </c>
      <c r="C1812" t="s">
        <v>12</v>
      </c>
      <c r="D1812">
        <v>65</v>
      </c>
      <c r="E1812">
        <v>0</v>
      </c>
      <c r="F1812">
        <v>1</v>
      </c>
      <c r="G1812">
        <v>45</v>
      </c>
      <c r="H1812" t="s">
        <v>64</v>
      </c>
      <c r="I1812">
        <v>111</v>
      </c>
    </row>
    <row r="1813" spans="1:9" x14ac:dyDescent="0.3">
      <c r="A1813">
        <v>243</v>
      </c>
      <c r="B1813" t="s">
        <v>7</v>
      </c>
      <c r="C1813" t="s">
        <v>13</v>
      </c>
      <c r="D1813">
        <v>50</v>
      </c>
      <c r="E1813">
        <v>0</v>
      </c>
      <c r="F1813">
        <v>0</v>
      </c>
      <c r="G1813">
        <v>30</v>
      </c>
      <c r="H1813" t="s">
        <v>69</v>
      </c>
      <c r="I1813">
        <v>80</v>
      </c>
    </row>
    <row r="1814" spans="1:9" x14ac:dyDescent="0.3">
      <c r="A1814">
        <v>243</v>
      </c>
      <c r="B1814" t="s">
        <v>7</v>
      </c>
      <c r="C1814" t="s">
        <v>14</v>
      </c>
      <c r="D1814">
        <v>58</v>
      </c>
      <c r="E1814">
        <v>3</v>
      </c>
      <c r="F1814">
        <v>0</v>
      </c>
      <c r="G1814">
        <v>43</v>
      </c>
      <c r="H1814" t="s">
        <v>62</v>
      </c>
      <c r="I1814">
        <v>104</v>
      </c>
    </row>
    <row r="1815" spans="1:9" x14ac:dyDescent="0.3">
      <c r="A1815">
        <v>243</v>
      </c>
      <c r="B1815" t="s">
        <v>7</v>
      </c>
      <c r="C1815" t="s">
        <v>15</v>
      </c>
      <c r="D1815">
        <v>6</v>
      </c>
      <c r="E1815">
        <v>0</v>
      </c>
      <c r="F1815">
        <v>0</v>
      </c>
      <c r="G1815">
        <v>5</v>
      </c>
      <c r="H1815" t="s">
        <v>65</v>
      </c>
      <c r="I1815">
        <v>11</v>
      </c>
    </row>
    <row r="1816" spans="1:9" x14ac:dyDescent="0.3">
      <c r="A1816">
        <v>243</v>
      </c>
      <c r="B1816" t="s">
        <v>7</v>
      </c>
      <c r="C1816" t="s">
        <v>18</v>
      </c>
      <c r="D1816">
        <v>2</v>
      </c>
      <c r="E1816">
        <v>0</v>
      </c>
      <c r="F1816">
        <v>0</v>
      </c>
      <c r="G1816">
        <v>12</v>
      </c>
      <c r="H1816" t="s">
        <v>72</v>
      </c>
      <c r="I1816">
        <v>14</v>
      </c>
    </row>
    <row r="1817" spans="1:9" x14ac:dyDescent="0.3">
      <c r="A1817">
        <v>243</v>
      </c>
      <c r="B1817" t="s">
        <v>7</v>
      </c>
      <c r="C1817" t="s">
        <v>22</v>
      </c>
      <c r="D1817">
        <v>14</v>
      </c>
      <c r="E1817">
        <v>0</v>
      </c>
      <c r="F1817">
        <v>0</v>
      </c>
      <c r="G1817">
        <v>9</v>
      </c>
      <c r="H1817" t="s">
        <v>76</v>
      </c>
      <c r="I1817">
        <v>23</v>
      </c>
    </row>
    <row r="1818" spans="1:9" x14ac:dyDescent="0.3">
      <c r="A1818">
        <v>243</v>
      </c>
      <c r="B1818" t="s">
        <v>7</v>
      </c>
      <c r="C1818" t="s">
        <v>25</v>
      </c>
      <c r="D1818">
        <v>14</v>
      </c>
      <c r="E1818">
        <v>0</v>
      </c>
      <c r="F1818">
        <v>0</v>
      </c>
      <c r="G1818">
        <v>6</v>
      </c>
      <c r="H1818" t="s">
        <v>79</v>
      </c>
      <c r="I1818">
        <v>20</v>
      </c>
    </row>
    <row r="1819" spans="1:9" x14ac:dyDescent="0.3">
      <c r="A1819">
        <v>243</v>
      </c>
      <c r="B1819" t="s">
        <v>7</v>
      </c>
      <c r="C1819" t="s">
        <v>26</v>
      </c>
      <c r="D1819">
        <v>18</v>
      </c>
      <c r="E1819">
        <v>4</v>
      </c>
      <c r="F1819">
        <v>0</v>
      </c>
      <c r="G1819">
        <v>10</v>
      </c>
      <c r="H1819" t="s">
        <v>71</v>
      </c>
      <c r="I1819">
        <v>32</v>
      </c>
    </row>
    <row r="1820" spans="1:9" x14ac:dyDescent="0.3">
      <c r="A1820">
        <v>243</v>
      </c>
      <c r="B1820" t="s">
        <v>7</v>
      </c>
      <c r="C1820" t="s">
        <v>27</v>
      </c>
      <c r="D1820">
        <v>51</v>
      </c>
      <c r="E1820">
        <v>0</v>
      </c>
      <c r="F1820">
        <v>0</v>
      </c>
      <c r="G1820">
        <v>35</v>
      </c>
      <c r="H1820" t="s">
        <v>78</v>
      </c>
      <c r="I1820">
        <v>86</v>
      </c>
    </row>
    <row r="1821" spans="1:9" x14ac:dyDescent="0.3">
      <c r="A1821">
        <v>243</v>
      </c>
      <c r="B1821" t="s">
        <v>33</v>
      </c>
      <c r="C1821" t="s">
        <v>8</v>
      </c>
      <c r="D1821">
        <v>0</v>
      </c>
      <c r="E1821">
        <v>0</v>
      </c>
      <c r="F1821">
        <v>2</v>
      </c>
      <c r="G1821">
        <v>0</v>
      </c>
      <c r="H1821" t="s">
        <v>8</v>
      </c>
      <c r="I1821">
        <v>2</v>
      </c>
    </row>
    <row r="1822" spans="1:9" x14ac:dyDescent="0.3">
      <c r="A1822">
        <v>243</v>
      </c>
      <c r="B1822" t="s">
        <v>33</v>
      </c>
      <c r="C1822" t="s">
        <v>9</v>
      </c>
      <c r="D1822">
        <v>0</v>
      </c>
      <c r="E1822">
        <v>0</v>
      </c>
      <c r="F1822">
        <v>13</v>
      </c>
      <c r="G1822">
        <v>0</v>
      </c>
      <c r="H1822" t="s">
        <v>9</v>
      </c>
      <c r="I1822">
        <v>13</v>
      </c>
    </row>
    <row r="1823" spans="1:9" x14ac:dyDescent="0.3">
      <c r="A1823">
        <v>243</v>
      </c>
      <c r="B1823" t="s">
        <v>33</v>
      </c>
      <c r="C1823" t="s">
        <v>12</v>
      </c>
      <c r="D1823">
        <v>0</v>
      </c>
      <c r="E1823">
        <v>0</v>
      </c>
      <c r="F1823">
        <v>0</v>
      </c>
      <c r="G1823">
        <v>4</v>
      </c>
      <c r="H1823" t="s">
        <v>64</v>
      </c>
      <c r="I1823">
        <v>4</v>
      </c>
    </row>
    <row r="1824" spans="1:9" x14ac:dyDescent="0.3">
      <c r="A1824">
        <v>243</v>
      </c>
      <c r="B1824" t="s">
        <v>33</v>
      </c>
      <c r="C1824" t="s">
        <v>29</v>
      </c>
      <c r="D1824">
        <v>6</v>
      </c>
      <c r="E1824">
        <v>0</v>
      </c>
      <c r="F1824">
        <v>0</v>
      </c>
      <c r="G1824">
        <v>10</v>
      </c>
      <c r="H1824" t="s">
        <v>67</v>
      </c>
      <c r="I1824">
        <v>16</v>
      </c>
    </row>
    <row r="1825" spans="1:9" x14ac:dyDescent="0.3">
      <c r="A1825">
        <v>244</v>
      </c>
      <c r="B1825" t="s">
        <v>7</v>
      </c>
      <c r="C1825" t="s">
        <v>15</v>
      </c>
      <c r="D1825">
        <v>4</v>
      </c>
      <c r="E1825">
        <v>0</v>
      </c>
      <c r="F1825">
        <v>0</v>
      </c>
      <c r="G1825">
        <v>3</v>
      </c>
      <c r="H1825" t="s">
        <v>65</v>
      </c>
      <c r="I1825">
        <v>7</v>
      </c>
    </row>
    <row r="1826" spans="1:9" x14ac:dyDescent="0.3">
      <c r="A1826">
        <v>244</v>
      </c>
      <c r="B1826" t="s">
        <v>7</v>
      </c>
      <c r="C1826" t="s">
        <v>24</v>
      </c>
      <c r="D1826">
        <v>36</v>
      </c>
      <c r="E1826">
        <v>0</v>
      </c>
      <c r="F1826">
        <v>0</v>
      </c>
      <c r="G1826">
        <v>18</v>
      </c>
      <c r="H1826" t="s">
        <v>75</v>
      </c>
      <c r="I1826">
        <v>54</v>
      </c>
    </row>
    <row r="1827" spans="1:9" x14ac:dyDescent="0.3">
      <c r="A1827">
        <v>244</v>
      </c>
      <c r="B1827" t="s">
        <v>33</v>
      </c>
      <c r="C1827" t="s">
        <v>9</v>
      </c>
      <c r="D1827">
        <v>0</v>
      </c>
      <c r="E1827">
        <v>0</v>
      </c>
      <c r="F1827">
        <v>21</v>
      </c>
      <c r="G1827">
        <v>0</v>
      </c>
      <c r="H1827" t="s">
        <v>9</v>
      </c>
      <c r="I1827">
        <v>21</v>
      </c>
    </row>
    <row r="1828" spans="1:9" x14ac:dyDescent="0.3">
      <c r="A1828">
        <v>244</v>
      </c>
      <c r="B1828" t="s">
        <v>33</v>
      </c>
      <c r="C1828" t="s">
        <v>14</v>
      </c>
      <c r="D1828">
        <v>40</v>
      </c>
      <c r="E1828">
        <v>10</v>
      </c>
      <c r="F1828">
        <v>0</v>
      </c>
      <c r="G1828">
        <v>36</v>
      </c>
      <c r="H1828" t="s">
        <v>62</v>
      </c>
      <c r="I1828">
        <v>86</v>
      </c>
    </row>
    <row r="1829" spans="1:9" x14ac:dyDescent="0.3">
      <c r="A1829">
        <v>244</v>
      </c>
      <c r="B1829" t="s">
        <v>33</v>
      </c>
      <c r="C1829" t="s">
        <v>24</v>
      </c>
      <c r="D1829">
        <v>24</v>
      </c>
      <c r="E1829">
        <v>0</v>
      </c>
      <c r="F1829">
        <v>0</v>
      </c>
      <c r="G1829">
        <v>23</v>
      </c>
      <c r="H1829" t="s">
        <v>75</v>
      </c>
      <c r="I1829">
        <v>47</v>
      </c>
    </row>
    <row r="1830" spans="1:9" x14ac:dyDescent="0.3">
      <c r="A1830">
        <v>244</v>
      </c>
      <c r="B1830" t="s">
        <v>33</v>
      </c>
      <c r="C1830" t="s">
        <v>26</v>
      </c>
      <c r="D1830">
        <v>70</v>
      </c>
      <c r="E1830">
        <v>4</v>
      </c>
      <c r="F1830">
        <v>0</v>
      </c>
      <c r="G1830">
        <v>35</v>
      </c>
      <c r="H1830" t="s">
        <v>71</v>
      </c>
      <c r="I1830">
        <v>109</v>
      </c>
    </row>
    <row r="1831" spans="1:9" x14ac:dyDescent="0.3">
      <c r="A1831">
        <v>244</v>
      </c>
      <c r="B1831" t="s">
        <v>33</v>
      </c>
      <c r="C1831" t="s">
        <v>27</v>
      </c>
      <c r="D1831">
        <v>38</v>
      </c>
      <c r="E1831">
        <v>1</v>
      </c>
      <c r="F1831">
        <v>1</v>
      </c>
      <c r="G1831">
        <v>36</v>
      </c>
      <c r="H1831" t="s">
        <v>78</v>
      </c>
      <c r="I1831">
        <v>76</v>
      </c>
    </row>
    <row r="1832" spans="1:9" x14ac:dyDescent="0.3">
      <c r="A1832">
        <v>244</v>
      </c>
      <c r="B1832" t="s">
        <v>33</v>
      </c>
      <c r="C1832" t="s">
        <v>30</v>
      </c>
      <c r="D1832">
        <v>75</v>
      </c>
      <c r="E1832">
        <v>16</v>
      </c>
      <c r="F1832">
        <v>0</v>
      </c>
      <c r="G1832">
        <v>36</v>
      </c>
      <c r="H1832" t="s">
        <v>80</v>
      </c>
      <c r="I1832">
        <v>127</v>
      </c>
    </row>
    <row r="1833" spans="1:9" x14ac:dyDescent="0.3">
      <c r="A1833">
        <v>245</v>
      </c>
      <c r="B1833" t="s">
        <v>7</v>
      </c>
      <c r="C1833" t="s">
        <v>11</v>
      </c>
      <c r="D1833">
        <v>15</v>
      </c>
      <c r="E1833">
        <v>0</v>
      </c>
      <c r="F1833">
        <v>0</v>
      </c>
      <c r="G1833">
        <v>12</v>
      </c>
      <c r="H1833" t="s">
        <v>63</v>
      </c>
      <c r="I1833">
        <v>27</v>
      </c>
    </row>
    <row r="1834" spans="1:9" x14ac:dyDescent="0.3">
      <c r="A1834">
        <v>245</v>
      </c>
      <c r="B1834" t="s">
        <v>7</v>
      </c>
      <c r="C1834" t="s">
        <v>14</v>
      </c>
      <c r="D1834">
        <v>23</v>
      </c>
      <c r="E1834">
        <v>0</v>
      </c>
      <c r="F1834">
        <v>0</v>
      </c>
      <c r="G1834">
        <v>9</v>
      </c>
      <c r="H1834" t="s">
        <v>62</v>
      </c>
      <c r="I1834">
        <v>32</v>
      </c>
    </row>
    <row r="1835" spans="1:9" x14ac:dyDescent="0.3">
      <c r="A1835">
        <v>245</v>
      </c>
      <c r="B1835" t="s">
        <v>7</v>
      </c>
      <c r="C1835" t="s">
        <v>22</v>
      </c>
      <c r="D1835">
        <v>3</v>
      </c>
      <c r="E1835">
        <v>0</v>
      </c>
      <c r="F1835">
        <v>0</v>
      </c>
      <c r="G1835">
        <v>2</v>
      </c>
      <c r="H1835" t="s">
        <v>76</v>
      </c>
      <c r="I1835">
        <v>5</v>
      </c>
    </row>
    <row r="1836" spans="1:9" x14ac:dyDescent="0.3">
      <c r="A1836">
        <v>245</v>
      </c>
      <c r="B1836" t="s">
        <v>33</v>
      </c>
      <c r="C1836" t="s">
        <v>8</v>
      </c>
      <c r="D1836">
        <v>0</v>
      </c>
      <c r="E1836">
        <v>0</v>
      </c>
      <c r="F1836">
        <v>1</v>
      </c>
      <c r="G1836">
        <v>0</v>
      </c>
      <c r="H1836" t="s">
        <v>8</v>
      </c>
      <c r="I1836">
        <v>1</v>
      </c>
    </row>
    <row r="1837" spans="1:9" x14ac:dyDescent="0.3">
      <c r="A1837">
        <v>245</v>
      </c>
      <c r="B1837" t="s">
        <v>33</v>
      </c>
      <c r="C1837" t="s">
        <v>9</v>
      </c>
      <c r="D1837">
        <v>0</v>
      </c>
      <c r="E1837">
        <v>0</v>
      </c>
      <c r="F1837">
        <v>18</v>
      </c>
      <c r="G1837">
        <v>0</v>
      </c>
      <c r="H1837" t="s">
        <v>9</v>
      </c>
      <c r="I1837">
        <v>18</v>
      </c>
    </row>
    <row r="1838" spans="1:9" x14ac:dyDescent="0.3">
      <c r="A1838">
        <v>245</v>
      </c>
      <c r="B1838" t="s">
        <v>33</v>
      </c>
      <c r="C1838" t="s">
        <v>11</v>
      </c>
      <c r="D1838">
        <v>51</v>
      </c>
      <c r="E1838">
        <v>0</v>
      </c>
      <c r="F1838">
        <v>2</v>
      </c>
      <c r="G1838">
        <v>24</v>
      </c>
      <c r="H1838" t="s">
        <v>63</v>
      </c>
      <c r="I1838">
        <v>77</v>
      </c>
    </row>
    <row r="1839" spans="1:9" x14ac:dyDescent="0.3">
      <c r="A1839">
        <v>245</v>
      </c>
      <c r="B1839" t="s">
        <v>33</v>
      </c>
      <c r="C1839" t="s">
        <v>14</v>
      </c>
      <c r="D1839">
        <v>6</v>
      </c>
      <c r="E1839">
        <v>0</v>
      </c>
      <c r="F1839">
        <v>0</v>
      </c>
      <c r="G1839">
        <v>6</v>
      </c>
      <c r="H1839" t="s">
        <v>62</v>
      </c>
      <c r="I1839">
        <v>12</v>
      </c>
    </row>
    <row r="1840" spans="1:9" x14ac:dyDescent="0.3">
      <c r="A1840">
        <v>245</v>
      </c>
      <c r="B1840" t="s">
        <v>33</v>
      </c>
      <c r="C1840" t="s">
        <v>15</v>
      </c>
      <c r="D1840">
        <v>31</v>
      </c>
      <c r="E1840">
        <v>0</v>
      </c>
      <c r="F1840">
        <v>0</v>
      </c>
      <c r="G1840">
        <v>27</v>
      </c>
      <c r="H1840" t="s">
        <v>65</v>
      </c>
      <c r="I1840">
        <v>58</v>
      </c>
    </row>
    <row r="1841" spans="1:9" x14ac:dyDescent="0.3">
      <c r="A1841">
        <v>245</v>
      </c>
      <c r="B1841" t="s">
        <v>33</v>
      </c>
      <c r="C1841" t="s">
        <v>22</v>
      </c>
      <c r="D1841">
        <v>0</v>
      </c>
      <c r="E1841">
        <v>0</v>
      </c>
      <c r="F1841">
        <v>0</v>
      </c>
      <c r="G1841">
        <v>1</v>
      </c>
      <c r="H1841" t="s">
        <v>76</v>
      </c>
      <c r="I1841">
        <v>1</v>
      </c>
    </row>
    <row r="1842" spans="1:9" x14ac:dyDescent="0.3">
      <c r="A1842">
        <v>245</v>
      </c>
      <c r="B1842" t="s">
        <v>33</v>
      </c>
      <c r="C1842" t="s">
        <v>25</v>
      </c>
      <c r="D1842">
        <v>25</v>
      </c>
      <c r="E1842">
        <v>0</v>
      </c>
      <c r="F1842">
        <v>0</v>
      </c>
      <c r="G1842">
        <v>27</v>
      </c>
      <c r="H1842" t="s">
        <v>79</v>
      </c>
      <c r="I1842">
        <v>52</v>
      </c>
    </row>
    <row r="1843" spans="1:9" x14ac:dyDescent="0.3">
      <c r="A1843">
        <v>245</v>
      </c>
      <c r="B1843" t="s">
        <v>33</v>
      </c>
      <c r="C1843" t="s">
        <v>26</v>
      </c>
      <c r="D1843">
        <v>15</v>
      </c>
      <c r="E1843">
        <v>5</v>
      </c>
      <c r="F1843">
        <v>0</v>
      </c>
      <c r="G1843">
        <v>9</v>
      </c>
      <c r="H1843" t="s">
        <v>71</v>
      </c>
      <c r="I1843">
        <v>29</v>
      </c>
    </row>
    <row r="1844" spans="1:9" x14ac:dyDescent="0.3">
      <c r="A1844">
        <v>245</v>
      </c>
      <c r="B1844" t="s">
        <v>33</v>
      </c>
      <c r="C1844" t="s">
        <v>29</v>
      </c>
      <c r="D1844">
        <v>53</v>
      </c>
      <c r="E1844">
        <v>12</v>
      </c>
      <c r="F1844">
        <v>0</v>
      </c>
      <c r="G1844">
        <v>35</v>
      </c>
      <c r="H1844" t="s">
        <v>67</v>
      </c>
      <c r="I1844">
        <v>100</v>
      </c>
    </row>
    <row r="1845" spans="1:9" x14ac:dyDescent="0.3">
      <c r="A1845">
        <v>246</v>
      </c>
      <c r="B1845" t="s">
        <v>7</v>
      </c>
      <c r="C1845" t="s">
        <v>15</v>
      </c>
      <c r="D1845">
        <v>14</v>
      </c>
      <c r="E1845">
        <v>0</v>
      </c>
      <c r="F1845">
        <v>0</v>
      </c>
      <c r="G1845">
        <v>8</v>
      </c>
      <c r="H1845" t="s">
        <v>65</v>
      </c>
      <c r="I1845">
        <v>22</v>
      </c>
    </row>
    <row r="1846" spans="1:9" x14ac:dyDescent="0.3">
      <c r="A1846">
        <v>246</v>
      </c>
      <c r="B1846" t="s">
        <v>7</v>
      </c>
      <c r="C1846" t="s">
        <v>24</v>
      </c>
      <c r="D1846">
        <v>9</v>
      </c>
      <c r="E1846">
        <v>30</v>
      </c>
      <c r="F1846">
        <v>0</v>
      </c>
      <c r="G1846">
        <v>12</v>
      </c>
      <c r="H1846" t="s">
        <v>75</v>
      </c>
      <c r="I1846">
        <v>51</v>
      </c>
    </row>
    <row r="1847" spans="1:9" x14ac:dyDescent="0.3">
      <c r="A1847">
        <v>246</v>
      </c>
      <c r="B1847" t="s">
        <v>7</v>
      </c>
      <c r="C1847" t="s">
        <v>25</v>
      </c>
      <c r="D1847">
        <v>6</v>
      </c>
      <c r="E1847">
        <v>0</v>
      </c>
      <c r="F1847">
        <v>0</v>
      </c>
      <c r="G1847">
        <v>7</v>
      </c>
      <c r="H1847" t="s">
        <v>79</v>
      </c>
      <c r="I1847">
        <v>13</v>
      </c>
    </row>
    <row r="1848" spans="1:9" x14ac:dyDescent="0.3">
      <c r="A1848">
        <v>246</v>
      </c>
      <c r="B1848" t="s">
        <v>7</v>
      </c>
      <c r="C1848" t="s">
        <v>26</v>
      </c>
      <c r="D1848">
        <v>11</v>
      </c>
      <c r="E1848">
        <v>0</v>
      </c>
      <c r="F1848">
        <v>0</v>
      </c>
      <c r="G1848">
        <v>6</v>
      </c>
      <c r="H1848" t="s">
        <v>71</v>
      </c>
      <c r="I1848">
        <v>17</v>
      </c>
    </row>
    <row r="1849" spans="1:9" x14ac:dyDescent="0.3">
      <c r="A1849">
        <v>246</v>
      </c>
      <c r="B1849" t="s">
        <v>7</v>
      </c>
      <c r="C1849" t="s">
        <v>29</v>
      </c>
      <c r="D1849">
        <v>12</v>
      </c>
      <c r="E1849">
        <v>11</v>
      </c>
      <c r="F1849">
        <v>0</v>
      </c>
      <c r="G1849">
        <v>10</v>
      </c>
      <c r="H1849" t="s">
        <v>67</v>
      </c>
      <c r="I1849">
        <v>33</v>
      </c>
    </row>
    <row r="1850" spans="1:9" x14ac:dyDescent="0.3">
      <c r="A1850">
        <v>246</v>
      </c>
      <c r="B1850" t="s">
        <v>33</v>
      </c>
      <c r="C1850" t="s">
        <v>9</v>
      </c>
      <c r="D1850">
        <v>0</v>
      </c>
      <c r="E1850">
        <v>0</v>
      </c>
      <c r="F1850">
        <v>27</v>
      </c>
      <c r="G1850">
        <v>0</v>
      </c>
      <c r="H1850" t="s">
        <v>9</v>
      </c>
      <c r="I1850">
        <v>27</v>
      </c>
    </row>
    <row r="1851" spans="1:9" x14ac:dyDescent="0.3">
      <c r="A1851">
        <v>246</v>
      </c>
      <c r="B1851" t="s">
        <v>33</v>
      </c>
      <c r="C1851" t="s">
        <v>11</v>
      </c>
      <c r="D1851">
        <v>23</v>
      </c>
      <c r="E1851">
        <v>0</v>
      </c>
      <c r="F1851">
        <v>0</v>
      </c>
      <c r="G1851">
        <v>12</v>
      </c>
      <c r="H1851" t="s">
        <v>63</v>
      </c>
      <c r="I1851">
        <v>35</v>
      </c>
    </row>
    <row r="1852" spans="1:9" x14ac:dyDescent="0.3">
      <c r="A1852">
        <v>246</v>
      </c>
      <c r="B1852" t="s">
        <v>33</v>
      </c>
      <c r="C1852" t="s">
        <v>14</v>
      </c>
      <c r="D1852">
        <v>13</v>
      </c>
      <c r="E1852">
        <v>0</v>
      </c>
      <c r="F1852">
        <v>0</v>
      </c>
      <c r="G1852">
        <v>8</v>
      </c>
      <c r="H1852" t="s">
        <v>62</v>
      </c>
      <c r="I1852">
        <v>21</v>
      </c>
    </row>
    <row r="1853" spans="1:9" x14ac:dyDescent="0.3">
      <c r="A1853">
        <v>246</v>
      </c>
      <c r="B1853" t="s">
        <v>33</v>
      </c>
      <c r="C1853" t="s">
        <v>24</v>
      </c>
      <c r="D1853">
        <v>52</v>
      </c>
      <c r="E1853">
        <v>6</v>
      </c>
      <c r="F1853">
        <v>0</v>
      </c>
      <c r="G1853">
        <v>24</v>
      </c>
      <c r="H1853" t="s">
        <v>75</v>
      </c>
      <c r="I1853">
        <v>82</v>
      </c>
    </row>
    <row r="1854" spans="1:9" x14ac:dyDescent="0.3">
      <c r="A1854">
        <v>246</v>
      </c>
      <c r="B1854" t="s">
        <v>33</v>
      </c>
      <c r="C1854" t="s">
        <v>26</v>
      </c>
      <c r="D1854">
        <v>17</v>
      </c>
      <c r="E1854">
        <v>36</v>
      </c>
      <c r="F1854">
        <v>0</v>
      </c>
      <c r="G1854">
        <v>18</v>
      </c>
      <c r="H1854" t="s">
        <v>71</v>
      </c>
      <c r="I1854">
        <v>71</v>
      </c>
    </row>
    <row r="1855" spans="1:9" x14ac:dyDescent="0.3">
      <c r="A1855">
        <v>246</v>
      </c>
      <c r="B1855" t="s">
        <v>33</v>
      </c>
      <c r="C1855" t="s">
        <v>27</v>
      </c>
      <c r="D1855">
        <v>32</v>
      </c>
      <c r="E1855">
        <v>0</v>
      </c>
      <c r="F1855">
        <v>0</v>
      </c>
      <c r="G1855">
        <v>13</v>
      </c>
      <c r="H1855" t="s">
        <v>78</v>
      </c>
      <c r="I1855">
        <v>45</v>
      </c>
    </row>
    <row r="1856" spans="1:9" x14ac:dyDescent="0.3">
      <c r="A1856">
        <v>247</v>
      </c>
      <c r="B1856" t="s">
        <v>7</v>
      </c>
      <c r="C1856" t="s">
        <v>14</v>
      </c>
      <c r="D1856">
        <v>19</v>
      </c>
      <c r="E1856">
        <v>9</v>
      </c>
      <c r="F1856">
        <v>0</v>
      </c>
      <c r="G1856">
        <v>18</v>
      </c>
      <c r="H1856" t="s">
        <v>62</v>
      </c>
      <c r="I1856">
        <v>46</v>
      </c>
    </row>
    <row r="1857" spans="1:9" x14ac:dyDescent="0.3">
      <c r="A1857">
        <v>247</v>
      </c>
      <c r="B1857" t="s">
        <v>7</v>
      </c>
      <c r="C1857" t="s">
        <v>15</v>
      </c>
      <c r="D1857">
        <v>19</v>
      </c>
      <c r="E1857">
        <v>4</v>
      </c>
      <c r="F1857">
        <v>0</v>
      </c>
      <c r="G1857">
        <v>20</v>
      </c>
      <c r="H1857" t="s">
        <v>65</v>
      </c>
      <c r="I1857">
        <v>43</v>
      </c>
    </row>
    <row r="1858" spans="1:9" x14ac:dyDescent="0.3">
      <c r="A1858">
        <v>247</v>
      </c>
      <c r="B1858" t="s">
        <v>7</v>
      </c>
      <c r="C1858" t="s">
        <v>25</v>
      </c>
      <c r="D1858">
        <v>9</v>
      </c>
      <c r="E1858">
        <v>0</v>
      </c>
      <c r="F1858">
        <v>0</v>
      </c>
      <c r="G1858">
        <v>18</v>
      </c>
      <c r="H1858" t="s">
        <v>79</v>
      </c>
      <c r="I1858">
        <v>27</v>
      </c>
    </row>
    <row r="1859" spans="1:9" x14ac:dyDescent="0.3">
      <c r="A1859">
        <v>247</v>
      </c>
      <c r="B1859" t="s">
        <v>7</v>
      </c>
      <c r="C1859" t="s">
        <v>26</v>
      </c>
      <c r="D1859">
        <v>41</v>
      </c>
      <c r="E1859">
        <v>6</v>
      </c>
      <c r="F1859">
        <v>0</v>
      </c>
      <c r="G1859">
        <v>27</v>
      </c>
      <c r="H1859" t="s">
        <v>71</v>
      </c>
      <c r="I1859">
        <v>74</v>
      </c>
    </row>
    <row r="1860" spans="1:9" x14ac:dyDescent="0.3">
      <c r="A1860">
        <v>247</v>
      </c>
      <c r="B1860" t="s">
        <v>7</v>
      </c>
      <c r="C1860" t="s">
        <v>27</v>
      </c>
      <c r="D1860">
        <v>23</v>
      </c>
      <c r="E1860">
        <v>0</v>
      </c>
      <c r="F1860">
        <v>0</v>
      </c>
      <c r="G1860">
        <v>20</v>
      </c>
      <c r="H1860" t="s">
        <v>78</v>
      </c>
      <c r="I1860">
        <v>43</v>
      </c>
    </row>
    <row r="1861" spans="1:9" x14ac:dyDescent="0.3">
      <c r="A1861">
        <v>247</v>
      </c>
      <c r="B1861" t="s">
        <v>7</v>
      </c>
      <c r="C1861" t="s">
        <v>29</v>
      </c>
      <c r="D1861">
        <v>21</v>
      </c>
      <c r="E1861">
        <v>3</v>
      </c>
      <c r="F1861">
        <v>0</v>
      </c>
      <c r="G1861">
        <v>17</v>
      </c>
      <c r="H1861" t="s">
        <v>67</v>
      </c>
      <c r="I1861">
        <v>41</v>
      </c>
    </row>
    <row r="1862" spans="1:9" x14ac:dyDescent="0.3">
      <c r="A1862">
        <v>247</v>
      </c>
      <c r="B1862" t="s">
        <v>33</v>
      </c>
      <c r="C1862" t="s">
        <v>8</v>
      </c>
      <c r="D1862">
        <v>0</v>
      </c>
      <c r="E1862">
        <v>0</v>
      </c>
      <c r="F1862">
        <v>3</v>
      </c>
      <c r="G1862">
        <v>0</v>
      </c>
      <c r="H1862" t="s">
        <v>8</v>
      </c>
      <c r="I1862">
        <v>3</v>
      </c>
    </row>
    <row r="1863" spans="1:9" x14ac:dyDescent="0.3">
      <c r="A1863">
        <v>247</v>
      </c>
      <c r="B1863" t="s">
        <v>33</v>
      </c>
      <c r="C1863" t="s">
        <v>9</v>
      </c>
      <c r="D1863">
        <v>0</v>
      </c>
      <c r="E1863">
        <v>0</v>
      </c>
      <c r="F1863">
        <v>7</v>
      </c>
      <c r="G1863">
        <v>0</v>
      </c>
      <c r="H1863" t="s">
        <v>9</v>
      </c>
      <c r="I1863">
        <v>7</v>
      </c>
    </row>
    <row r="1864" spans="1:9" x14ac:dyDescent="0.3">
      <c r="A1864">
        <v>247</v>
      </c>
      <c r="B1864" t="s">
        <v>33</v>
      </c>
      <c r="C1864" t="s">
        <v>15</v>
      </c>
      <c r="D1864">
        <v>0</v>
      </c>
      <c r="E1864">
        <v>0</v>
      </c>
      <c r="F1864">
        <v>0</v>
      </c>
      <c r="G1864">
        <v>2</v>
      </c>
      <c r="H1864" t="s">
        <v>65</v>
      </c>
      <c r="I1864">
        <v>2</v>
      </c>
    </row>
    <row r="1865" spans="1:9" x14ac:dyDescent="0.3">
      <c r="A1865">
        <v>247</v>
      </c>
      <c r="B1865" t="s">
        <v>33</v>
      </c>
      <c r="C1865" t="s">
        <v>22</v>
      </c>
      <c r="D1865">
        <v>51</v>
      </c>
      <c r="E1865">
        <v>16</v>
      </c>
      <c r="F1865">
        <v>0</v>
      </c>
      <c r="G1865">
        <v>26</v>
      </c>
      <c r="H1865" t="s">
        <v>76</v>
      </c>
      <c r="I1865">
        <v>93</v>
      </c>
    </row>
    <row r="1866" spans="1:9" x14ac:dyDescent="0.3">
      <c r="A1866">
        <v>247</v>
      </c>
      <c r="B1866" t="s">
        <v>33</v>
      </c>
      <c r="C1866" t="s">
        <v>30</v>
      </c>
      <c r="D1866">
        <v>65</v>
      </c>
      <c r="E1866">
        <v>0</v>
      </c>
      <c r="F1866">
        <v>0</v>
      </c>
      <c r="G1866">
        <v>13</v>
      </c>
      <c r="H1866" t="s">
        <v>80</v>
      </c>
      <c r="I1866">
        <v>78</v>
      </c>
    </row>
    <row r="1867" spans="1:9" x14ac:dyDescent="0.3">
      <c r="A1867">
        <v>248</v>
      </c>
      <c r="B1867" t="s">
        <v>7</v>
      </c>
      <c r="C1867" t="s">
        <v>14</v>
      </c>
      <c r="D1867">
        <v>36</v>
      </c>
      <c r="E1867">
        <v>16</v>
      </c>
      <c r="F1867">
        <v>0</v>
      </c>
      <c r="G1867">
        <v>25</v>
      </c>
      <c r="H1867" t="s">
        <v>62</v>
      </c>
      <c r="I1867">
        <v>77</v>
      </c>
    </row>
    <row r="1868" spans="1:9" x14ac:dyDescent="0.3">
      <c r="A1868">
        <v>248</v>
      </c>
      <c r="B1868" t="s">
        <v>7</v>
      </c>
      <c r="C1868" t="s">
        <v>15</v>
      </c>
      <c r="D1868">
        <v>20</v>
      </c>
      <c r="E1868">
        <v>9</v>
      </c>
      <c r="F1868">
        <v>0</v>
      </c>
      <c r="G1868">
        <v>25</v>
      </c>
      <c r="H1868" t="s">
        <v>65</v>
      </c>
      <c r="I1868">
        <v>54</v>
      </c>
    </row>
    <row r="1869" spans="1:9" x14ac:dyDescent="0.3">
      <c r="A1869">
        <v>248</v>
      </c>
      <c r="B1869" t="s">
        <v>33</v>
      </c>
      <c r="C1869" t="s">
        <v>8</v>
      </c>
      <c r="D1869">
        <v>0</v>
      </c>
      <c r="E1869">
        <v>0</v>
      </c>
      <c r="F1869">
        <v>1</v>
      </c>
      <c r="G1869">
        <v>0</v>
      </c>
      <c r="H1869" t="s">
        <v>8</v>
      </c>
      <c r="I1869">
        <v>1</v>
      </c>
    </row>
    <row r="1870" spans="1:9" x14ac:dyDescent="0.3">
      <c r="A1870">
        <v>248</v>
      </c>
      <c r="B1870" t="s">
        <v>33</v>
      </c>
      <c r="C1870" t="s">
        <v>9</v>
      </c>
      <c r="D1870">
        <v>0</v>
      </c>
      <c r="E1870">
        <v>0</v>
      </c>
      <c r="F1870">
        <v>18</v>
      </c>
      <c r="G1870">
        <v>0</v>
      </c>
      <c r="H1870" t="s">
        <v>9</v>
      </c>
      <c r="I1870">
        <v>18</v>
      </c>
    </row>
    <row r="1871" spans="1:9" x14ac:dyDescent="0.3">
      <c r="A1871">
        <v>248</v>
      </c>
      <c r="B1871" t="s">
        <v>33</v>
      </c>
      <c r="C1871" t="s">
        <v>25</v>
      </c>
      <c r="D1871">
        <v>55</v>
      </c>
      <c r="E1871">
        <v>0</v>
      </c>
      <c r="F1871">
        <v>0</v>
      </c>
      <c r="G1871">
        <v>27</v>
      </c>
      <c r="H1871" t="s">
        <v>79</v>
      </c>
      <c r="I1871">
        <v>82</v>
      </c>
    </row>
    <row r="1872" spans="1:9" x14ac:dyDescent="0.3">
      <c r="A1872">
        <v>248</v>
      </c>
      <c r="B1872" t="s">
        <v>33</v>
      </c>
      <c r="C1872" t="s">
        <v>26</v>
      </c>
      <c r="D1872">
        <v>18</v>
      </c>
      <c r="E1872">
        <v>0</v>
      </c>
      <c r="F1872">
        <v>0</v>
      </c>
      <c r="G1872">
        <v>15</v>
      </c>
      <c r="H1872" t="s">
        <v>71</v>
      </c>
      <c r="I1872">
        <v>33</v>
      </c>
    </row>
    <row r="1873" spans="1:9" x14ac:dyDescent="0.3">
      <c r="A1873">
        <v>248</v>
      </c>
      <c r="B1873" t="s">
        <v>33</v>
      </c>
      <c r="C1873" t="s">
        <v>27</v>
      </c>
      <c r="D1873">
        <v>18</v>
      </c>
      <c r="E1873">
        <v>1</v>
      </c>
      <c r="F1873">
        <v>0</v>
      </c>
      <c r="G1873">
        <v>7</v>
      </c>
      <c r="H1873" t="s">
        <v>78</v>
      </c>
      <c r="I1873">
        <v>26</v>
      </c>
    </row>
    <row r="1874" spans="1:9" x14ac:dyDescent="0.3">
      <c r="A1874">
        <v>248</v>
      </c>
      <c r="B1874" t="s">
        <v>33</v>
      </c>
      <c r="C1874" t="s">
        <v>29</v>
      </c>
      <c r="D1874">
        <v>22</v>
      </c>
      <c r="E1874">
        <v>5</v>
      </c>
      <c r="F1874">
        <v>0</v>
      </c>
      <c r="G1874">
        <v>18</v>
      </c>
      <c r="H1874" t="s">
        <v>67</v>
      </c>
      <c r="I1874">
        <v>45</v>
      </c>
    </row>
    <row r="1875" spans="1:9" x14ac:dyDescent="0.3">
      <c r="A1875">
        <v>248</v>
      </c>
      <c r="B1875" t="s">
        <v>33</v>
      </c>
      <c r="C1875" t="s">
        <v>30</v>
      </c>
      <c r="D1875">
        <v>11</v>
      </c>
      <c r="E1875">
        <v>0</v>
      </c>
      <c r="F1875">
        <v>0</v>
      </c>
      <c r="G1875">
        <v>6</v>
      </c>
      <c r="H1875" t="s">
        <v>80</v>
      </c>
      <c r="I1875">
        <v>17</v>
      </c>
    </row>
    <row r="1876" spans="1:9" x14ac:dyDescent="0.3">
      <c r="A1876">
        <v>249</v>
      </c>
      <c r="B1876" t="s">
        <v>7</v>
      </c>
      <c r="C1876" t="s">
        <v>14</v>
      </c>
      <c r="D1876">
        <v>0</v>
      </c>
      <c r="E1876">
        <v>0</v>
      </c>
      <c r="F1876">
        <v>0</v>
      </c>
      <c r="G1876">
        <v>1</v>
      </c>
      <c r="H1876" t="s">
        <v>62</v>
      </c>
      <c r="I1876">
        <v>1</v>
      </c>
    </row>
    <row r="1877" spans="1:9" x14ac:dyDescent="0.3">
      <c r="A1877">
        <v>249</v>
      </c>
      <c r="B1877" t="s">
        <v>7</v>
      </c>
      <c r="C1877" t="s">
        <v>15</v>
      </c>
      <c r="D1877">
        <v>17</v>
      </c>
      <c r="E1877">
        <v>1</v>
      </c>
      <c r="F1877">
        <v>0</v>
      </c>
      <c r="G1877">
        <v>33</v>
      </c>
      <c r="H1877" t="s">
        <v>65</v>
      </c>
      <c r="I1877">
        <v>51</v>
      </c>
    </row>
    <row r="1878" spans="1:9" x14ac:dyDescent="0.3">
      <c r="A1878">
        <v>249</v>
      </c>
      <c r="B1878" t="s">
        <v>7</v>
      </c>
      <c r="C1878" t="s">
        <v>26</v>
      </c>
      <c r="D1878">
        <v>19</v>
      </c>
      <c r="E1878">
        <v>7</v>
      </c>
      <c r="F1878">
        <v>0</v>
      </c>
      <c r="G1878">
        <v>18</v>
      </c>
      <c r="H1878" t="s">
        <v>71</v>
      </c>
      <c r="I1878">
        <v>44</v>
      </c>
    </row>
    <row r="1879" spans="1:9" x14ac:dyDescent="0.3">
      <c r="A1879">
        <v>249</v>
      </c>
      <c r="B1879" t="s">
        <v>7</v>
      </c>
      <c r="C1879" t="s">
        <v>27</v>
      </c>
      <c r="D1879">
        <v>33</v>
      </c>
      <c r="E1879">
        <v>0</v>
      </c>
      <c r="F1879">
        <v>0</v>
      </c>
      <c r="G1879">
        <v>23</v>
      </c>
      <c r="H1879" t="s">
        <v>78</v>
      </c>
      <c r="I1879">
        <v>56</v>
      </c>
    </row>
    <row r="1880" spans="1:9" x14ac:dyDescent="0.3">
      <c r="A1880">
        <v>249</v>
      </c>
      <c r="B1880" t="s">
        <v>7</v>
      </c>
      <c r="C1880" t="s">
        <v>29</v>
      </c>
      <c r="D1880">
        <v>82</v>
      </c>
      <c r="E1880">
        <v>0</v>
      </c>
      <c r="F1880">
        <v>0</v>
      </c>
      <c r="G1880">
        <v>28</v>
      </c>
      <c r="H1880" t="s">
        <v>67</v>
      </c>
      <c r="I1880">
        <v>110</v>
      </c>
    </row>
    <row r="1881" spans="1:9" x14ac:dyDescent="0.3">
      <c r="A1881">
        <v>249</v>
      </c>
      <c r="B1881" t="s">
        <v>33</v>
      </c>
      <c r="C1881" t="s">
        <v>8</v>
      </c>
      <c r="D1881">
        <v>0</v>
      </c>
      <c r="E1881">
        <v>0</v>
      </c>
      <c r="F1881">
        <v>1</v>
      </c>
      <c r="G1881">
        <v>0</v>
      </c>
      <c r="H1881" t="s">
        <v>8</v>
      </c>
      <c r="I1881">
        <v>1</v>
      </c>
    </row>
    <row r="1882" spans="1:9" x14ac:dyDescent="0.3">
      <c r="A1882">
        <v>249</v>
      </c>
      <c r="B1882" t="s">
        <v>33</v>
      </c>
      <c r="C1882" t="s">
        <v>9</v>
      </c>
      <c r="D1882">
        <v>0</v>
      </c>
      <c r="E1882">
        <v>0</v>
      </c>
      <c r="F1882">
        <v>12</v>
      </c>
      <c r="G1882">
        <v>0</v>
      </c>
      <c r="H1882" t="s">
        <v>9</v>
      </c>
      <c r="I1882">
        <v>12</v>
      </c>
    </row>
    <row r="1883" spans="1:9" x14ac:dyDescent="0.3">
      <c r="A1883">
        <v>249</v>
      </c>
      <c r="B1883" t="s">
        <v>33</v>
      </c>
      <c r="C1883" t="s">
        <v>26</v>
      </c>
      <c r="D1883">
        <v>0</v>
      </c>
      <c r="E1883">
        <v>0</v>
      </c>
      <c r="F1883">
        <v>0</v>
      </c>
      <c r="G1883">
        <v>2</v>
      </c>
      <c r="H1883" t="s">
        <v>71</v>
      </c>
      <c r="I1883">
        <v>2</v>
      </c>
    </row>
    <row r="1884" spans="1:9" x14ac:dyDescent="0.3">
      <c r="A1884">
        <v>249</v>
      </c>
      <c r="B1884" t="s">
        <v>33</v>
      </c>
      <c r="C1884" t="s">
        <v>27</v>
      </c>
      <c r="D1884">
        <v>23</v>
      </c>
      <c r="E1884">
        <v>0</v>
      </c>
      <c r="F1884">
        <v>0</v>
      </c>
      <c r="G1884">
        <v>12</v>
      </c>
      <c r="H1884" t="s">
        <v>78</v>
      </c>
      <c r="I1884">
        <v>35</v>
      </c>
    </row>
    <row r="1885" spans="1:9" x14ac:dyDescent="0.3">
      <c r="A1885">
        <v>249</v>
      </c>
      <c r="B1885" t="s">
        <v>33</v>
      </c>
      <c r="C1885" t="s">
        <v>29</v>
      </c>
      <c r="D1885">
        <v>34</v>
      </c>
      <c r="E1885">
        <v>4</v>
      </c>
      <c r="F1885">
        <v>0</v>
      </c>
      <c r="G1885">
        <v>18</v>
      </c>
      <c r="H1885" t="s">
        <v>67</v>
      </c>
      <c r="I1885">
        <v>56</v>
      </c>
    </row>
    <row r="1886" spans="1:9" x14ac:dyDescent="0.3">
      <c r="A1886">
        <v>250</v>
      </c>
      <c r="B1886" t="s">
        <v>7</v>
      </c>
      <c r="C1886" t="s">
        <v>15</v>
      </c>
      <c r="D1886">
        <v>27</v>
      </c>
      <c r="E1886">
        <v>10</v>
      </c>
      <c r="F1886">
        <v>0</v>
      </c>
      <c r="G1886">
        <v>24</v>
      </c>
      <c r="H1886" t="s">
        <v>65</v>
      </c>
      <c r="I1886">
        <v>61</v>
      </c>
    </row>
    <row r="1887" spans="1:9" x14ac:dyDescent="0.3">
      <c r="A1887">
        <v>250</v>
      </c>
      <c r="B1887" t="s">
        <v>7</v>
      </c>
      <c r="C1887" t="s">
        <v>26</v>
      </c>
      <c r="D1887">
        <v>26</v>
      </c>
      <c r="E1887">
        <v>8</v>
      </c>
      <c r="F1887">
        <v>0</v>
      </c>
      <c r="G1887">
        <v>20</v>
      </c>
      <c r="H1887" t="s">
        <v>71</v>
      </c>
      <c r="I1887">
        <v>54</v>
      </c>
    </row>
    <row r="1888" spans="1:9" x14ac:dyDescent="0.3">
      <c r="A1888">
        <v>250</v>
      </c>
      <c r="B1888" t="s">
        <v>7</v>
      </c>
      <c r="C1888" t="s">
        <v>27</v>
      </c>
      <c r="D1888">
        <v>62</v>
      </c>
      <c r="E1888">
        <v>7</v>
      </c>
      <c r="F1888">
        <v>0</v>
      </c>
      <c r="G1888">
        <v>23</v>
      </c>
      <c r="H1888" t="s">
        <v>78</v>
      </c>
      <c r="I1888">
        <v>92</v>
      </c>
    </row>
    <row r="1889" spans="1:9" x14ac:dyDescent="0.3">
      <c r="A1889">
        <v>250</v>
      </c>
      <c r="B1889" t="s">
        <v>33</v>
      </c>
      <c r="C1889" t="s">
        <v>8</v>
      </c>
      <c r="D1889">
        <v>0</v>
      </c>
      <c r="E1889">
        <v>0</v>
      </c>
      <c r="F1889">
        <v>1</v>
      </c>
      <c r="G1889">
        <v>0</v>
      </c>
      <c r="H1889" t="s">
        <v>8</v>
      </c>
      <c r="I1889">
        <v>1</v>
      </c>
    </row>
    <row r="1890" spans="1:9" x14ac:dyDescent="0.3">
      <c r="A1890">
        <v>250</v>
      </c>
      <c r="B1890" t="s">
        <v>33</v>
      </c>
      <c r="C1890" t="s">
        <v>9</v>
      </c>
      <c r="D1890">
        <v>0</v>
      </c>
      <c r="E1890">
        <v>0</v>
      </c>
      <c r="F1890">
        <v>39</v>
      </c>
      <c r="G1890">
        <v>0</v>
      </c>
      <c r="H1890" t="s">
        <v>9</v>
      </c>
      <c r="I1890">
        <v>39</v>
      </c>
    </row>
    <row r="1891" spans="1:9" x14ac:dyDescent="0.3">
      <c r="A1891">
        <v>250</v>
      </c>
      <c r="B1891" t="s">
        <v>33</v>
      </c>
      <c r="C1891" t="s">
        <v>27</v>
      </c>
      <c r="D1891">
        <v>6</v>
      </c>
      <c r="E1891">
        <v>15</v>
      </c>
      <c r="F1891">
        <v>0</v>
      </c>
      <c r="G1891">
        <v>9</v>
      </c>
      <c r="H1891" t="s">
        <v>78</v>
      </c>
      <c r="I1891">
        <v>30</v>
      </c>
    </row>
    <row r="1892" spans="1:9" x14ac:dyDescent="0.3">
      <c r="A1892">
        <v>250</v>
      </c>
      <c r="B1892" t="s">
        <v>33</v>
      </c>
      <c r="C1892" t="s">
        <v>29</v>
      </c>
      <c r="D1892">
        <v>16</v>
      </c>
      <c r="E1892">
        <v>25</v>
      </c>
      <c r="F1892">
        <v>0</v>
      </c>
      <c r="G1892">
        <v>28</v>
      </c>
      <c r="H1892" t="s">
        <v>67</v>
      </c>
      <c r="I1892">
        <v>69</v>
      </c>
    </row>
    <row r="1893" spans="1:9" x14ac:dyDescent="0.3">
      <c r="A1893">
        <v>251</v>
      </c>
      <c r="B1893" t="s">
        <v>7</v>
      </c>
      <c r="C1893" t="s">
        <v>15</v>
      </c>
      <c r="D1893">
        <v>6</v>
      </c>
      <c r="E1893">
        <v>0</v>
      </c>
      <c r="F1893">
        <v>0</v>
      </c>
      <c r="G1893">
        <v>7</v>
      </c>
      <c r="H1893" t="s">
        <v>65</v>
      </c>
      <c r="I1893">
        <v>13</v>
      </c>
    </row>
    <row r="1894" spans="1:9" x14ac:dyDescent="0.3">
      <c r="A1894">
        <v>251</v>
      </c>
      <c r="B1894" t="s">
        <v>7</v>
      </c>
      <c r="C1894" t="s">
        <v>26</v>
      </c>
      <c r="D1894">
        <v>8</v>
      </c>
      <c r="E1894">
        <v>0</v>
      </c>
      <c r="F1894">
        <v>0</v>
      </c>
      <c r="G1894">
        <v>4</v>
      </c>
      <c r="H1894" t="s">
        <v>71</v>
      </c>
      <c r="I1894">
        <v>12</v>
      </c>
    </row>
    <row r="1895" spans="1:9" x14ac:dyDescent="0.3">
      <c r="A1895">
        <v>251</v>
      </c>
      <c r="B1895" t="s">
        <v>7</v>
      </c>
      <c r="C1895" t="s">
        <v>27</v>
      </c>
      <c r="D1895">
        <v>17</v>
      </c>
      <c r="E1895">
        <v>0</v>
      </c>
      <c r="F1895">
        <v>0</v>
      </c>
      <c r="G1895">
        <v>17</v>
      </c>
      <c r="H1895" t="s">
        <v>78</v>
      </c>
      <c r="I1895">
        <v>34</v>
      </c>
    </row>
    <row r="1896" spans="1:9" x14ac:dyDescent="0.3">
      <c r="A1896">
        <v>251</v>
      </c>
      <c r="B1896" t="s">
        <v>33</v>
      </c>
      <c r="C1896" t="s">
        <v>11</v>
      </c>
      <c r="D1896">
        <v>65</v>
      </c>
      <c r="E1896">
        <v>0</v>
      </c>
      <c r="F1896">
        <v>48</v>
      </c>
      <c r="G1896">
        <v>63</v>
      </c>
      <c r="H1896" t="s">
        <v>63</v>
      </c>
      <c r="I1896">
        <v>176</v>
      </c>
    </row>
    <row r="1897" spans="1:9" x14ac:dyDescent="0.3">
      <c r="A1897">
        <v>251</v>
      </c>
      <c r="B1897" t="s">
        <v>33</v>
      </c>
      <c r="C1897" t="s">
        <v>29</v>
      </c>
      <c r="D1897">
        <v>37</v>
      </c>
      <c r="E1897">
        <v>0</v>
      </c>
      <c r="F1897">
        <v>0</v>
      </c>
      <c r="G1897">
        <v>7</v>
      </c>
      <c r="H1897" t="s">
        <v>67</v>
      </c>
      <c r="I1897">
        <v>44</v>
      </c>
    </row>
    <row r="1898" spans="1:9" x14ac:dyDescent="0.3">
      <c r="A1898">
        <v>251</v>
      </c>
      <c r="B1898" t="s">
        <v>33</v>
      </c>
      <c r="C1898" t="s">
        <v>30</v>
      </c>
      <c r="D1898">
        <v>1</v>
      </c>
      <c r="E1898">
        <v>39</v>
      </c>
      <c r="F1898">
        <v>0</v>
      </c>
      <c r="G1898">
        <v>13</v>
      </c>
      <c r="H1898" t="s">
        <v>80</v>
      </c>
      <c r="I1898">
        <v>53</v>
      </c>
    </row>
    <row r="1899" spans="1:9" x14ac:dyDescent="0.3">
      <c r="A1899">
        <v>252</v>
      </c>
      <c r="B1899" t="s">
        <v>33</v>
      </c>
      <c r="C1899" t="s">
        <v>9</v>
      </c>
      <c r="D1899">
        <v>0</v>
      </c>
      <c r="E1899">
        <v>0</v>
      </c>
      <c r="F1899">
        <v>6</v>
      </c>
      <c r="G1899">
        <v>0</v>
      </c>
      <c r="H1899" t="s">
        <v>9</v>
      </c>
      <c r="I1899">
        <v>6</v>
      </c>
    </row>
    <row r="1900" spans="1:9" x14ac:dyDescent="0.3">
      <c r="A1900">
        <v>252</v>
      </c>
      <c r="B1900" t="s">
        <v>33</v>
      </c>
      <c r="C1900" t="s">
        <v>11</v>
      </c>
      <c r="D1900">
        <v>45</v>
      </c>
      <c r="E1900">
        <v>0</v>
      </c>
      <c r="F1900">
        <v>0</v>
      </c>
      <c r="G1900">
        <v>37</v>
      </c>
      <c r="H1900" t="s">
        <v>63</v>
      </c>
      <c r="I1900">
        <v>82</v>
      </c>
    </row>
    <row r="1901" spans="1:9" x14ac:dyDescent="0.3">
      <c r="A1901">
        <v>252</v>
      </c>
      <c r="B1901" t="s">
        <v>33</v>
      </c>
      <c r="C1901" t="s">
        <v>30</v>
      </c>
      <c r="D1901">
        <v>89</v>
      </c>
      <c r="E1901">
        <v>48</v>
      </c>
      <c r="F1901">
        <v>0</v>
      </c>
      <c r="G1901">
        <v>40</v>
      </c>
      <c r="H1901" t="s">
        <v>80</v>
      </c>
      <c r="I1901">
        <v>177</v>
      </c>
    </row>
    <row r="1902" spans="1:9" x14ac:dyDescent="0.3">
      <c r="A1902">
        <v>253</v>
      </c>
      <c r="B1902" t="s">
        <v>7</v>
      </c>
      <c r="C1902" t="s">
        <v>17</v>
      </c>
      <c r="D1902">
        <v>0</v>
      </c>
      <c r="E1902">
        <v>0</v>
      </c>
      <c r="F1902">
        <v>0</v>
      </c>
      <c r="G1902">
        <v>3</v>
      </c>
      <c r="H1902" t="s">
        <v>66</v>
      </c>
      <c r="I1902">
        <v>3</v>
      </c>
    </row>
    <row r="1903" spans="1:9" x14ac:dyDescent="0.3">
      <c r="A1903">
        <v>253</v>
      </c>
      <c r="B1903" t="s">
        <v>7</v>
      </c>
      <c r="C1903" t="s">
        <v>20</v>
      </c>
      <c r="D1903">
        <v>39</v>
      </c>
      <c r="E1903">
        <v>0</v>
      </c>
      <c r="F1903">
        <v>0</v>
      </c>
      <c r="G1903">
        <v>15</v>
      </c>
      <c r="H1903" t="s">
        <v>60</v>
      </c>
      <c r="I1903">
        <v>54</v>
      </c>
    </row>
    <row r="1904" spans="1:9" x14ac:dyDescent="0.3">
      <c r="A1904">
        <v>253</v>
      </c>
      <c r="B1904" t="s">
        <v>33</v>
      </c>
      <c r="C1904" t="s">
        <v>8</v>
      </c>
      <c r="D1904">
        <v>0</v>
      </c>
      <c r="E1904">
        <v>0</v>
      </c>
      <c r="F1904">
        <v>4</v>
      </c>
      <c r="G1904">
        <v>0</v>
      </c>
      <c r="H1904" t="s">
        <v>8</v>
      </c>
      <c r="I1904">
        <v>4</v>
      </c>
    </row>
    <row r="1905" spans="1:9" x14ac:dyDescent="0.3">
      <c r="A1905">
        <v>253</v>
      </c>
      <c r="B1905" t="s">
        <v>33</v>
      </c>
      <c r="C1905" t="s">
        <v>9</v>
      </c>
      <c r="D1905">
        <v>0</v>
      </c>
      <c r="E1905">
        <v>0</v>
      </c>
      <c r="F1905">
        <v>36</v>
      </c>
      <c r="G1905">
        <v>0</v>
      </c>
      <c r="H1905" t="s">
        <v>9</v>
      </c>
      <c r="I1905">
        <v>36</v>
      </c>
    </row>
    <row r="1906" spans="1:9" x14ac:dyDescent="0.3">
      <c r="A1906">
        <v>253</v>
      </c>
      <c r="B1906" t="s">
        <v>33</v>
      </c>
      <c r="C1906" t="s">
        <v>11</v>
      </c>
      <c r="D1906">
        <v>0</v>
      </c>
      <c r="E1906">
        <v>0</v>
      </c>
      <c r="F1906">
        <v>0</v>
      </c>
      <c r="G1906">
        <v>1</v>
      </c>
      <c r="H1906" t="s">
        <v>63</v>
      </c>
      <c r="I1906">
        <v>1</v>
      </c>
    </row>
    <row r="1907" spans="1:9" x14ac:dyDescent="0.3">
      <c r="A1907">
        <v>253</v>
      </c>
      <c r="B1907" t="s">
        <v>33</v>
      </c>
      <c r="C1907" t="s">
        <v>14</v>
      </c>
      <c r="D1907">
        <v>0</v>
      </c>
      <c r="E1907">
        <v>0</v>
      </c>
      <c r="F1907">
        <v>0</v>
      </c>
      <c r="G1907">
        <v>19</v>
      </c>
      <c r="H1907" t="s">
        <v>62</v>
      </c>
      <c r="I1907">
        <v>19</v>
      </c>
    </row>
    <row r="1908" spans="1:9" x14ac:dyDescent="0.3">
      <c r="A1908">
        <v>253</v>
      </c>
      <c r="B1908" t="s">
        <v>33</v>
      </c>
      <c r="C1908" t="s">
        <v>17</v>
      </c>
      <c r="D1908">
        <v>22</v>
      </c>
      <c r="E1908">
        <v>0</v>
      </c>
      <c r="F1908">
        <v>0</v>
      </c>
      <c r="G1908">
        <v>13</v>
      </c>
      <c r="H1908" t="s">
        <v>66</v>
      </c>
      <c r="I1908">
        <v>35</v>
      </c>
    </row>
    <row r="1909" spans="1:9" x14ac:dyDescent="0.3">
      <c r="A1909">
        <v>253</v>
      </c>
      <c r="B1909" t="s">
        <v>33</v>
      </c>
      <c r="C1909" t="s">
        <v>28</v>
      </c>
      <c r="D1909">
        <v>36</v>
      </c>
      <c r="E1909">
        <v>0</v>
      </c>
      <c r="F1909">
        <v>0</v>
      </c>
      <c r="G1909">
        <v>19</v>
      </c>
      <c r="H1909" t="s">
        <v>28</v>
      </c>
      <c r="I1909">
        <v>55</v>
      </c>
    </row>
    <row r="1910" spans="1:9" x14ac:dyDescent="0.3">
      <c r="A1910">
        <v>253</v>
      </c>
      <c r="B1910" t="s">
        <v>33</v>
      </c>
      <c r="C1910" t="s">
        <v>30</v>
      </c>
      <c r="D1910">
        <v>0</v>
      </c>
      <c r="E1910">
        <v>0</v>
      </c>
      <c r="F1910">
        <v>0</v>
      </c>
      <c r="G1910">
        <v>1</v>
      </c>
      <c r="H1910" t="s">
        <v>80</v>
      </c>
      <c r="I1910">
        <v>1</v>
      </c>
    </row>
    <row r="1911" spans="1:9" x14ac:dyDescent="0.3">
      <c r="A1911">
        <v>253</v>
      </c>
      <c r="B1911" t="s">
        <v>33</v>
      </c>
      <c r="C1911" t="s">
        <v>31</v>
      </c>
      <c r="D1911">
        <v>3</v>
      </c>
      <c r="E1911">
        <v>21</v>
      </c>
      <c r="F1911">
        <v>0</v>
      </c>
      <c r="G1911">
        <v>11</v>
      </c>
      <c r="H1911" t="s">
        <v>77</v>
      </c>
      <c r="I1911">
        <v>35</v>
      </c>
    </row>
    <row r="1912" spans="1:9" x14ac:dyDescent="0.3">
      <c r="A1912">
        <v>254</v>
      </c>
      <c r="B1912" t="s">
        <v>7</v>
      </c>
      <c r="C1912" t="s">
        <v>23</v>
      </c>
      <c r="D1912">
        <v>12</v>
      </c>
      <c r="E1912">
        <v>0</v>
      </c>
      <c r="F1912">
        <v>0</v>
      </c>
      <c r="G1912">
        <v>5</v>
      </c>
      <c r="H1912" t="s">
        <v>73</v>
      </c>
      <c r="I1912">
        <v>17</v>
      </c>
    </row>
    <row r="1913" spans="1:9" x14ac:dyDescent="0.3">
      <c r="A1913">
        <v>254</v>
      </c>
      <c r="B1913" t="s">
        <v>7</v>
      </c>
      <c r="C1913" t="s">
        <v>28</v>
      </c>
      <c r="D1913">
        <v>8</v>
      </c>
      <c r="E1913">
        <v>0</v>
      </c>
      <c r="F1913">
        <v>0</v>
      </c>
      <c r="G1913">
        <v>6</v>
      </c>
      <c r="H1913" t="s">
        <v>28</v>
      </c>
      <c r="I1913">
        <v>14</v>
      </c>
    </row>
    <row r="1914" spans="1:9" x14ac:dyDescent="0.3">
      <c r="A1914">
        <v>254</v>
      </c>
      <c r="B1914" t="s">
        <v>7</v>
      </c>
      <c r="C1914" t="s">
        <v>31</v>
      </c>
      <c r="D1914">
        <v>4</v>
      </c>
      <c r="E1914">
        <v>0</v>
      </c>
      <c r="F1914">
        <v>0</v>
      </c>
      <c r="G1914">
        <v>3</v>
      </c>
      <c r="H1914" t="s">
        <v>77</v>
      </c>
      <c r="I1914">
        <v>7</v>
      </c>
    </row>
    <row r="1915" spans="1:9" x14ac:dyDescent="0.3">
      <c r="A1915">
        <v>254</v>
      </c>
      <c r="B1915" t="s">
        <v>33</v>
      </c>
      <c r="C1915" t="s">
        <v>8</v>
      </c>
      <c r="D1915">
        <v>0</v>
      </c>
      <c r="E1915">
        <v>0</v>
      </c>
      <c r="F1915">
        <v>2</v>
      </c>
      <c r="G1915">
        <v>0</v>
      </c>
      <c r="H1915" t="s">
        <v>8</v>
      </c>
      <c r="I1915">
        <v>2</v>
      </c>
    </row>
    <row r="1916" spans="1:9" x14ac:dyDescent="0.3">
      <c r="A1916">
        <v>254</v>
      </c>
      <c r="B1916" t="s">
        <v>33</v>
      </c>
      <c r="C1916" t="s">
        <v>9</v>
      </c>
      <c r="D1916">
        <v>0</v>
      </c>
      <c r="E1916">
        <v>0</v>
      </c>
      <c r="F1916">
        <v>31</v>
      </c>
      <c r="G1916">
        <v>0</v>
      </c>
      <c r="H1916" t="s">
        <v>9</v>
      </c>
      <c r="I1916">
        <v>31</v>
      </c>
    </row>
    <row r="1917" spans="1:9" x14ac:dyDescent="0.3">
      <c r="A1917">
        <v>254</v>
      </c>
      <c r="B1917" t="s">
        <v>33</v>
      </c>
      <c r="C1917" t="s">
        <v>17</v>
      </c>
      <c r="D1917">
        <v>22</v>
      </c>
      <c r="E1917">
        <v>5</v>
      </c>
      <c r="F1917">
        <v>0</v>
      </c>
      <c r="G1917">
        <v>20</v>
      </c>
      <c r="H1917" t="s">
        <v>66</v>
      </c>
      <c r="I1917">
        <v>47</v>
      </c>
    </row>
    <row r="1918" spans="1:9" x14ac:dyDescent="0.3">
      <c r="A1918">
        <v>254</v>
      </c>
      <c r="B1918" t="s">
        <v>33</v>
      </c>
      <c r="C1918" t="s">
        <v>23</v>
      </c>
      <c r="D1918">
        <v>11</v>
      </c>
      <c r="E1918">
        <v>0</v>
      </c>
      <c r="F1918">
        <v>0</v>
      </c>
      <c r="G1918">
        <v>3</v>
      </c>
      <c r="H1918" t="s">
        <v>73</v>
      </c>
      <c r="I1918">
        <v>14</v>
      </c>
    </row>
    <row r="1919" spans="1:9" x14ac:dyDescent="0.3">
      <c r="A1919">
        <v>254</v>
      </c>
      <c r="B1919" t="s">
        <v>33</v>
      </c>
      <c r="C1919" t="s">
        <v>28</v>
      </c>
      <c r="D1919">
        <v>31</v>
      </c>
      <c r="E1919">
        <v>0</v>
      </c>
      <c r="F1919">
        <v>0</v>
      </c>
      <c r="G1919">
        <v>11</v>
      </c>
      <c r="H1919" t="s">
        <v>28</v>
      </c>
      <c r="I1919">
        <v>42</v>
      </c>
    </row>
    <row r="1920" spans="1:9" x14ac:dyDescent="0.3">
      <c r="A1920">
        <v>255</v>
      </c>
      <c r="B1920" t="s">
        <v>7</v>
      </c>
      <c r="C1920" t="s">
        <v>14</v>
      </c>
      <c r="D1920">
        <v>0</v>
      </c>
      <c r="E1920">
        <v>13</v>
      </c>
      <c r="F1920">
        <v>0</v>
      </c>
      <c r="G1920">
        <v>7</v>
      </c>
      <c r="H1920" t="s">
        <v>62</v>
      </c>
      <c r="I1920">
        <v>20</v>
      </c>
    </row>
    <row r="1921" spans="1:9" x14ac:dyDescent="0.3">
      <c r="A1921">
        <v>255</v>
      </c>
      <c r="B1921" t="s">
        <v>7</v>
      </c>
      <c r="C1921" t="s">
        <v>17</v>
      </c>
      <c r="D1921">
        <v>14</v>
      </c>
      <c r="E1921">
        <v>14</v>
      </c>
      <c r="F1921">
        <v>0</v>
      </c>
      <c r="G1921">
        <v>16</v>
      </c>
      <c r="H1921" t="s">
        <v>66</v>
      </c>
      <c r="I1921">
        <v>44</v>
      </c>
    </row>
    <row r="1922" spans="1:9" x14ac:dyDescent="0.3">
      <c r="A1922">
        <v>255</v>
      </c>
      <c r="B1922" t="s">
        <v>7</v>
      </c>
      <c r="C1922" t="s">
        <v>23</v>
      </c>
      <c r="D1922">
        <v>42</v>
      </c>
      <c r="E1922">
        <v>9</v>
      </c>
      <c r="F1922">
        <v>0</v>
      </c>
      <c r="G1922">
        <v>28</v>
      </c>
      <c r="H1922" t="s">
        <v>73</v>
      </c>
      <c r="I1922">
        <v>79</v>
      </c>
    </row>
    <row r="1923" spans="1:9" x14ac:dyDescent="0.3">
      <c r="A1923">
        <v>255</v>
      </c>
      <c r="B1923" t="s">
        <v>7</v>
      </c>
      <c r="C1923" t="s">
        <v>31</v>
      </c>
      <c r="D1923">
        <v>24</v>
      </c>
      <c r="E1923">
        <v>2</v>
      </c>
      <c r="F1923">
        <v>0</v>
      </c>
      <c r="G1923">
        <v>16</v>
      </c>
      <c r="H1923" t="s">
        <v>77</v>
      </c>
      <c r="I1923">
        <v>42</v>
      </c>
    </row>
    <row r="1924" spans="1:9" x14ac:dyDescent="0.3">
      <c r="A1924">
        <v>255</v>
      </c>
      <c r="B1924" t="s">
        <v>33</v>
      </c>
      <c r="C1924" t="s">
        <v>8</v>
      </c>
      <c r="D1924">
        <v>0</v>
      </c>
      <c r="E1924">
        <v>0</v>
      </c>
      <c r="F1924">
        <v>2</v>
      </c>
      <c r="G1924">
        <v>0</v>
      </c>
      <c r="H1924" t="s">
        <v>8</v>
      </c>
      <c r="I1924">
        <v>2</v>
      </c>
    </row>
    <row r="1925" spans="1:9" x14ac:dyDescent="0.3">
      <c r="A1925">
        <v>255</v>
      </c>
      <c r="B1925" t="s">
        <v>33</v>
      </c>
      <c r="C1925" t="s">
        <v>9</v>
      </c>
      <c r="D1925">
        <v>0</v>
      </c>
      <c r="E1925">
        <v>0</v>
      </c>
      <c r="F1925">
        <v>10</v>
      </c>
      <c r="G1925">
        <v>0</v>
      </c>
      <c r="H1925" t="s">
        <v>9</v>
      </c>
      <c r="I1925">
        <v>10</v>
      </c>
    </row>
    <row r="1926" spans="1:9" x14ac:dyDescent="0.3">
      <c r="A1926">
        <v>255</v>
      </c>
      <c r="B1926" t="s">
        <v>33</v>
      </c>
      <c r="C1926" t="s">
        <v>27</v>
      </c>
      <c r="D1926">
        <v>0</v>
      </c>
      <c r="E1926">
        <v>0</v>
      </c>
      <c r="F1926">
        <v>0</v>
      </c>
      <c r="G1926">
        <v>2</v>
      </c>
      <c r="H1926" t="s">
        <v>78</v>
      </c>
      <c r="I1926">
        <v>2</v>
      </c>
    </row>
    <row r="1927" spans="1:9" x14ac:dyDescent="0.3">
      <c r="A1927">
        <v>255</v>
      </c>
      <c r="B1927" t="s">
        <v>33</v>
      </c>
      <c r="C1927" t="s">
        <v>31</v>
      </c>
      <c r="D1927">
        <v>8</v>
      </c>
      <c r="E1927">
        <v>0</v>
      </c>
      <c r="F1927">
        <v>0</v>
      </c>
      <c r="G1927">
        <v>7</v>
      </c>
      <c r="H1927" t="s">
        <v>77</v>
      </c>
      <c r="I1927">
        <v>15</v>
      </c>
    </row>
    <row r="1928" spans="1:9" x14ac:dyDescent="0.3">
      <c r="A1928">
        <v>256</v>
      </c>
      <c r="B1928" t="s">
        <v>7</v>
      </c>
      <c r="C1928" t="s">
        <v>27</v>
      </c>
      <c r="D1928">
        <v>72</v>
      </c>
      <c r="E1928">
        <v>4</v>
      </c>
      <c r="F1928">
        <v>2</v>
      </c>
      <c r="G1928">
        <v>37</v>
      </c>
      <c r="H1928" t="s">
        <v>78</v>
      </c>
      <c r="I1928">
        <v>115</v>
      </c>
    </row>
    <row r="1929" spans="1:9" x14ac:dyDescent="0.3">
      <c r="A1929">
        <v>256</v>
      </c>
      <c r="B1929" t="s">
        <v>33</v>
      </c>
      <c r="C1929" t="s">
        <v>8</v>
      </c>
      <c r="D1929">
        <v>0</v>
      </c>
      <c r="E1929">
        <v>0</v>
      </c>
      <c r="F1929">
        <v>1</v>
      </c>
      <c r="G1929">
        <v>0</v>
      </c>
      <c r="H1929" t="s">
        <v>8</v>
      </c>
      <c r="I1929">
        <v>1</v>
      </c>
    </row>
    <row r="1930" spans="1:9" x14ac:dyDescent="0.3">
      <c r="A1930">
        <v>256</v>
      </c>
      <c r="B1930" t="s">
        <v>33</v>
      </c>
      <c r="C1930" t="s">
        <v>9</v>
      </c>
      <c r="D1930">
        <v>0</v>
      </c>
      <c r="E1930">
        <v>0</v>
      </c>
      <c r="F1930">
        <v>11</v>
      </c>
      <c r="G1930">
        <v>0</v>
      </c>
      <c r="H1930" t="s">
        <v>9</v>
      </c>
      <c r="I1930">
        <v>11</v>
      </c>
    </row>
    <row r="1931" spans="1:9" x14ac:dyDescent="0.3">
      <c r="A1931">
        <v>256</v>
      </c>
      <c r="B1931" t="s">
        <v>33</v>
      </c>
      <c r="C1931" t="s">
        <v>27</v>
      </c>
      <c r="D1931">
        <v>109</v>
      </c>
      <c r="E1931">
        <v>0</v>
      </c>
      <c r="F1931">
        <v>9</v>
      </c>
      <c r="G1931">
        <v>51</v>
      </c>
      <c r="H1931" t="s">
        <v>78</v>
      </c>
      <c r="I1931">
        <v>169</v>
      </c>
    </row>
    <row r="1932" spans="1:9" x14ac:dyDescent="0.3">
      <c r="A1932">
        <v>257</v>
      </c>
      <c r="B1932" t="s">
        <v>7</v>
      </c>
      <c r="C1932" t="s">
        <v>11</v>
      </c>
      <c r="D1932">
        <v>18</v>
      </c>
      <c r="E1932">
        <v>7</v>
      </c>
      <c r="F1932">
        <v>0</v>
      </c>
      <c r="G1932">
        <v>16</v>
      </c>
      <c r="H1932" t="s">
        <v>63</v>
      </c>
      <c r="I1932">
        <v>41</v>
      </c>
    </row>
    <row r="1933" spans="1:9" x14ac:dyDescent="0.3">
      <c r="A1933">
        <v>257</v>
      </c>
      <c r="B1933" t="s">
        <v>7</v>
      </c>
      <c r="C1933" t="s">
        <v>17</v>
      </c>
      <c r="D1933">
        <v>5</v>
      </c>
      <c r="E1933">
        <v>1</v>
      </c>
      <c r="F1933">
        <v>0</v>
      </c>
      <c r="G1933">
        <v>4</v>
      </c>
      <c r="H1933" t="s">
        <v>66</v>
      </c>
      <c r="I1933">
        <v>10</v>
      </c>
    </row>
    <row r="1934" spans="1:9" x14ac:dyDescent="0.3">
      <c r="A1934">
        <v>257</v>
      </c>
      <c r="B1934" t="s">
        <v>7</v>
      </c>
      <c r="C1934" t="s">
        <v>27</v>
      </c>
      <c r="D1934">
        <v>45</v>
      </c>
      <c r="E1934">
        <v>0</v>
      </c>
      <c r="F1934">
        <v>1</v>
      </c>
      <c r="G1934">
        <v>25</v>
      </c>
      <c r="H1934" t="s">
        <v>78</v>
      </c>
      <c r="I1934">
        <v>71</v>
      </c>
    </row>
    <row r="1935" spans="1:9" x14ac:dyDescent="0.3">
      <c r="A1935">
        <v>257</v>
      </c>
      <c r="B1935" t="s">
        <v>7</v>
      </c>
      <c r="C1935" t="s">
        <v>28</v>
      </c>
      <c r="D1935">
        <v>2</v>
      </c>
      <c r="E1935">
        <v>0</v>
      </c>
      <c r="F1935">
        <v>0</v>
      </c>
      <c r="G1935">
        <v>2</v>
      </c>
      <c r="H1935" t="s">
        <v>28</v>
      </c>
      <c r="I1935">
        <v>4</v>
      </c>
    </row>
    <row r="1936" spans="1:9" x14ac:dyDescent="0.3">
      <c r="A1936">
        <v>257</v>
      </c>
      <c r="B1936" t="s">
        <v>33</v>
      </c>
      <c r="C1936" t="s">
        <v>8</v>
      </c>
      <c r="D1936">
        <v>0</v>
      </c>
      <c r="E1936">
        <v>0</v>
      </c>
      <c r="F1936">
        <v>2</v>
      </c>
      <c r="G1936">
        <v>0</v>
      </c>
      <c r="H1936" t="s">
        <v>8</v>
      </c>
      <c r="I1936">
        <v>2</v>
      </c>
    </row>
    <row r="1937" spans="1:9" x14ac:dyDescent="0.3">
      <c r="A1937">
        <v>257</v>
      </c>
      <c r="B1937" t="s">
        <v>33</v>
      </c>
      <c r="C1937" t="s">
        <v>9</v>
      </c>
      <c r="D1937">
        <v>0</v>
      </c>
      <c r="E1937">
        <v>0</v>
      </c>
      <c r="F1937">
        <v>15</v>
      </c>
      <c r="G1937">
        <v>0</v>
      </c>
      <c r="H1937" t="s">
        <v>9</v>
      </c>
      <c r="I1937">
        <v>15</v>
      </c>
    </row>
    <row r="1938" spans="1:9" x14ac:dyDescent="0.3">
      <c r="A1938">
        <v>257</v>
      </c>
      <c r="B1938" t="s">
        <v>33</v>
      </c>
      <c r="C1938" t="s">
        <v>11</v>
      </c>
      <c r="D1938">
        <v>40</v>
      </c>
      <c r="E1938">
        <v>11</v>
      </c>
      <c r="F1938">
        <v>0</v>
      </c>
      <c r="G1938">
        <v>22</v>
      </c>
      <c r="H1938" t="s">
        <v>63</v>
      </c>
      <c r="I1938">
        <v>73</v>
      </c>
    </row>
    <row r="1939" spans="1:9" x14ac:dyDescent="0.3">
      <c r="A1939">
        <v>257</v>
      </c>
      <c r="B1939" t="s">
        <v>33</v>
      </c>
      <c r="C1939" t="s">
        <v>14</v>
      </c>
      <c r="D1939">
        <v>7</v>
      </c>
      <c r="E1939">
        <v>8</v>
      </c>
      <c r="F1939">
        <v>0</v>
      </c>
      <c r="G1939">
        <v>5</v>
      </c>
      <c r="H1939" t="s">
        <v>62</v>
      </c>
      <c r="I1939">
        <v>20</v>
      </c>
    </row>
    <row r="1940" spans="1:9" x14ac:dyDescent="0.3">
      <c r="A1940">
        <v>257</v>
      </c>
      <c r="B1940" t="s">
        <v>33</v>
      </c>
      <c r="C1940" t="s">
        <v>27</v>
      </c>
      <c r="D1940">
        <v>4</v>
      </c>
      <c r="E1940">
        <v>0</v>
      </c>
      <c r="F1940">
        <v>0</v>
      </c>
      <c r="G1940">
        <v>3</v>
      </c>
      <c r="H1940" t="s">
        <v>78</v>
      </c>
      <c r="I1940">
        <v>7</v>
      </c>
    </row>
    <row r="1941" spans="1:9" x14ac:dyDescent="0.3">
      <c r="A1941">
        <v>257</v>
      </c>
      <c r="B1941" t="s">
        <v>33</v>
      </c>
      <c r="C1941" t="s">
        <v>30</v>
      </c>
      <c r="D1941">
        <v>33</v>
      </c>
      <c r="E1941">
        <v>16</v>
      </c>
      <c r="F1941">
        <v>0</v>
      </c>
      <c r="G1941">
        <v>27</v>
      </c>
      <c r="H1941" t="s">
        <v>80</v>
      </c>
      <c r="I1941">
        <v>76</v>
      </c>
    </row>
    <row r="1942" spans="1:9" x14ac:dyDescent="0.3">
      <c r="A1942">
        <v>257</v>
      </c>
      <c r="B1942" t="s">
        <v>33</v>
      </c>
      <c r="C1942" t="s">
        <v>31</v>
      </c>
      <c r="D1942">
        <v>7</v>
      </c>
      <c r="E1942">
        <v>0</v>
      </c>
      <c r="F1942">
        <v>0</v>
      </c>
      <c r="G1942">
        <v>4</v>
      </c>
      <c r="H1942" t="s">
        <v>77</v>
      </c>
      <c r="I1942">
        <v>11</v>
      </c>
    </row>
    <row r="1943" spans="1:9" x14ac:dyDescent="0.3">
      <c r="A1943">
        <v>258</v>
      </c>
      <c r="B1943" t="s">
        <v>7</v>
      </c>
      <c r="C1943" t="s">
        <v>17</v>
      </c>
      <c r="D1943">
        <v>7</v>
      </c>
      <c r="E1943">
        <v>12</v>
      </c>
      <c r="F1943">
        <v>0</v>
      </c>
      <c r="G1943">
        <v>9</v>
      </c>
      <c r="H1943" t="s">
        <v>66</v>
      </c>
      <c r="I1943">
        <v>28</v>
      </c>
    </row>
    <row r="1944" spans="1:9" x14ac:dyDescent="0.3">
      <c r="A1944">
        <v>258</v>
      </c>
      <c r="B1944" t="s">
        <v>7</v>
      </c>
      <c r="C1944" t="s">
        <v>27</v>
      </c>
      <c r="D1944">
        <v>47</v>
      </c>
      <c r="E1944">
        <v>0</v>
      </c>
      <c r="F1944">
        <v>0</v>
      </c>
      <c r="G1944">
        <v>28</v>
      </c>
      <c r="H1944" t="s">
        <v>78</v>
      </c>
      <c r="I1944">
        <v>75</v>
      </c>
    </row>
    <row r="1945" spans="1:9" x14ac:dyDescent="0.3">
      <c r="A1945">
        <v>258</v>
      </c>
      <c r="B1945" t="s">
        <v>7</v>
      </c>
      <c r="C1945" t="s">
        <v>28</v>
      </c>
      <c r="D1945">
        <v>1</v>
      </c>
      <c r="E1945">
        <v>0</v>
      </c>
      <c r="F1945">
        <v>0</v>
      </c>
      <c r="G1945">
        <v>3</v>
      </c>
      <c r="H1945" t="s">
        <v>28</v>
      </c>
      <c r="I1945">
        <v>4</v>
      </c>
    </row>
    <row r="1946" spans="1:9" x14ac:dyDescent="0.3">
      <c r="A1946">
        <v>258</v>
      </c>
      <c r="B1946" t="s">
        <v>7</v>
      </c>
      <c r="C1946" t="s">
        <v>31</v>
      </c>
      <c r="D1946">
        <v>6</v>
      </c>
      <c r="E1946">
        <v>0</v>
      </c>
      <c r="F1946">
        <v>0</v>
      </c>
      <c r="G1946">
        <v>4</v>
      </c>
      <c r="H1946" t="s">
        <v>77</v>
      </c>
      <c r="I1946">
        <v>10</v>
      </c>
    </row>
    <row r="1947" spans="1:9" x14ac:dyDescent="0.3">
      <c r="A1947">
        <v>258</v>
      </c>
      <c r="B1947" t="s">
        <v>33</v>
      </c>
      <c r="C1947" t="s">
        <v>8</v>
      </c>
      <c r="D1947">
        <v>0</v>
      </c>
      <c r="E1947">
        <v>0</v>
      </c>
      <c r="F1947">
        <v>1</v>
      </c>
      <c r="G1947">
        <v>0</v>
      </c>
      <c r="H1947" t="s">
        <v>8</v>
      </c>
      <c r="I1947">
        <v>1</v>
      </c>
    </row>
    <row r="1948" spans="1:9" x14ac:dyDescent="0.3">
      <c r="A1948">
        <v>258</v>
      </c>
      <c r="B1948" t="s">
        <v>33</v>
      </c>
      <c r="C1948" t="s">
        <v>9</v>
      </c>
      <c r="D1948">
        <v>0</v>
      </c>
      <c r="E1948">
        <v>0</v>
      </c>
      <c r="F1948">
        <v>16</v>
      </c>
      <c r="G1948">
        <v>0</v>
      </c>
      <c r="H1948" t="s">
        <v>9</v>
      </c>
      <c r="I1948">
        <v>16</v>
      </c>
    </row>
    <row r="1949" spans="1:9" x14ac:dyDescent="0.3">
      <c r="A1949">
        <v>258</v>
      </c>
      <c r="B1949" t="s">
        <v>33</v>
      </c>
      <c r="C1949" t="s">
        <v>11</v>
      </c>
      <c r="D1949">
        <v>42</v>
      </c>
      <c r="E1949">
        <v>5</v>
      </c>
      <c r="F1949">
        <v>8</v>
      </c>
      <c r="G1949">
        <v>51</v>
      </c>
      <c r="H1949" t="s">
        <v>63</v>
      </c>
      <c r="I1949">
        <v>106</v>
      </c>
    </row>
    <row r="1950" spans="1:9" x14ac:dyDescent="0.3">
      <c r="A1950">
        <v>258</v>
      </c>
      <c r="B1950" t="s">
        <v>33</v>
      </c>
      <c r="C1950" t="s">
        <v>27</v>
      </c>
      <c r="D1950">
        <v>14</v>
      </c>
      <c r="E1950">
        <v>0</v>
      </c>
      <c r="F1950">
        <v>0</v>
      </c>
      <c r="G1950">
        <v>14</v>
      </c>
      <c r="H1950" t="s">
        <v>78</v>
      </c>
      <c r="I1950">
        <v>28</v>
      </c>
    </row>
    <row r="1951" spans="1:9" x14ac:dyDescent="0.3">
      <c r="A1951">
        <v>258</v>
      </c>
      <c r="B1951" t="s">
        <v>33</v>
      </c>
      <c r="C1951" t="s">
        <v>30</v>
      </c>
      <c r="D1951">
        <v>54</v>
      </c>
      <c r="E1951">
        <v>10</v>
      </c>
      <c r="F1951">
        <v>0</v>
      </c>
      <c r="G1951">
        <v>43</v>
      </c>
      <c r="H1951" t="s">
        <v>80</v>
      </c>
      <c r="I1951">
        <v>107</v>
      </c>
    </row>
    <row r="1952" spans="1:9" x14ac:dyDescent="0.3">
      <c r="A1952">
        <v>259</v>
      </c>
      <c r="B1952" t="s">
        <v>33</v>
      </c>
      <c r="C1952" t="s">
        <v>9</v>
      </c>
      <c r="D1952">
        <v>0</v>
      </c>
      <c r="E1952">
        <v>0</v>
      </c>
      <c r="F1952">
        <v>28</v>
      </c>
      <c r="G1952">
        <v>0</v>
      </c>
      <c r="H1952" t="s">
        <v>9</v>
      </c>
      <c r="I1952">
        <v>28</v>
      </c>
    </row>
    <row r="1953" spans="1:9" x14ac:dyDescent="0.3">
      <c r="A1953">
        <v>259</v>
      </c>
      <c r="B1953" t="s">
        <v>33</v>
      </c>
      <c r="C1953" t="s">
        <v>15</v>
      </c>
      <c r="D1953">
        <v>41</v>
      </c>
      <c r="E1953">
        <v>9</v>
      </c>
      <c r="F1953">
        <v>0</v>
      </c>
      <c r="G1953">
        <v>32</v>
      </c>
      <c r="H1953" t="s">
        <v>65</v>
      </c>
      <c r="I1953">
        <v>82</v>
      </c>
    </row>
    <row r="1954" spans="1:9" x14ac:dyDescent="0.3">
      <c r="A1954">
        <v>259</v>
      </c>
      <c r="B1954" t="s">
        <v>33</v>
      </c>
      <c r="C1954" t="s">
        <v>26</v>
      </c>
      <c r="D1954">
        <v>34</v>
      </c>
      <c r="E1954">
        <v>1</v>
      </c>
      <c r="F1954">
        <v>0</v>
      </c>
      <c r="G1954">
        <v>36</v>
      </c>
      <c r="H1954" t="s">
        <v>71</v>
      </c>
      <c r="I1954">
        <v>71</v>
      </c>
    </row>
    <row r="1955" spans="1:9" x14ac:dyDescent="0.3">
      <c r="A1955">
        <v>260</v>
      </c>
      <c r="B1955" t="s">
        <v>33</v>
      </c>
      <c r="C1955" t="s">
        <v>9</v>
      </c>
      <c r="D1955">
        <v>0</v>
      </c>
      <c r="E1955">
        <v>0</v>
      </c>
      <c r="F1955">
        <v>9</v>
      </c>
      <c r="G1955">
        <v>0</v>
      </c>
      <c r="H1955" t="s">
        <v>9</v>
      </c>
      <c r="I1955">
        <v>9</v>
      </c>
    </row>
    <row r="1956" spans="1:9" x14ac:dyDescent="0.3">
      <c r="A1956">
        <v>260</v>
      </c>
      <c r="B1956" t="s">
        <v>33</v>
      </c>
      <c r="C1956" t="s">
        <v>15</v>
      </c>
      <c r="D1956">
        <v>14</v>
      </c>
      <c r="E1956">
        <v>10</v>
      </c>
      <c r="F1956">
        <v>1</v>
      </c>
      <c r="G1956">
        <v>10</v>
      </c>
      <c r="H1956" t="s">
        <v>65</v>
      </c>
      <c r="I1956">
        <v>35</v>
      </c>
    </row>
    <row r="1957" spans="1:9" x14ac:dyDescent="0.3">
      <c r="A1957">
        <v>260</v>
      </c>
      <c r="B1957" t="s">
        <v>33</v>
      </c>
      <c r="C1957" t="s">
        <v>17</v>
      </c>
      <c r="D1957">
        <v>34</v>
      </c>
      <c r="E1957">
        <v>0</v>
      </c>
      <c r="F1957">
        <v>0</v>
      </c>
      <c r="G1957">
        <v>10</v>
      </c>
      <c r="H1957" t="s">
        <v>66</v>
      </c>
      <c r="I1957">
        <v>44</v>
      </c>
    </row>
    <row r="1958" spans="1:9" x14ac:dyDescent="0.3">
      <c r="A1958">
        <v>260</v>
      </c>
      <c r="B1958" t="s">
        <v>33</v>
      </c>
      <c r="C1958" t="s">
        <v>26</v>
      </c>
      <c r="D1958">
        <v>34</v>
      </c>
      <c r="E1958">
        <v>73</v>
      </c>
      <c r="F1958">
        <v>0</v>
      </c>
      <c r="G1958">
        <v>55</v>
      </c>
      <c r="H1958" t="s">
        <v>71</v>
      </c>
      <c r="I1958">
        <v>162</v>
      </c>
    </row>
    <row r="1959" spans="1:9" x14ac:dyDescent="0.3">
      <c r="A1959">
        <v>260</v>
      </c>
      <c r="B1959" t="s">
        <v>33</v>
      </c>
      <c r="C1959" t="s">
        <v>31</v>
      </c>
      <c r="D1959">
        <v>15</v>
      </c>
      <c r="E1959">
        <v>0</v>
      </c>
      <c r="F1959">
        <v>0</v>
      </c>
      <c r="G1959">
        <v>9</v>
      </c>
      <c r="H1959" t="s">
        <v>77</v>
      </c>
      <c r="I1959">
        <v>24</v>
      </c>
    </row>
    <row r="1960" spans="1:9" x14ac:dyDescent="0.3">
      <c r="A1960">
        <v>261</v>
      </c>
      <c r="B1960" t="s">
        <v>7</v>
      </c>
      <c r="C1960" t="s">
        <v>11</v>
      </c>
      <c r="D1960">
        <v>17</v>
      </c>
      <c r="E1960">
        <v>2</v>
      </c>
      <c r="F1960">
        <v>0</v>
      </c>
      <c r="G1960">
        <v>6</v>
      </c>
      <c r="H1960" t="s">
        <v>63</v>
      </c>
      <c r="I1960">
        <v>25</v>
      </c>
    </row>
    <row r="1961" spans="1:9" x14ac:dyDescent="0.3">
      <c r="A1961">
        <v>261</v>
      </c>
      <c r="B1961" t="s">
        <v>7</v>
      </c>
      <c r="C1961" t="s">
        <v>17</v>
      </c>
      <c r="D1961">
        <v>28</v>
      </c>
      <c r="E1961">
        <v>0</v>
      </c>
      <c r="F1961">
        <v>1</v>
      </c>
      <c r="G1961">
        <v>9</v>
      </c>
      <c r="H1961" t="s">
        <v>66</v>
      </c>
      <c r="I1961">
        <v>38</v>
      </c>
    </row>
    <row r="1962" spans="1:9" x14ac:dyDescent="0.3">
      <c r="A1962">
        <v>261</v>
      </c>
      <c r="B1962" t="s">
        <v>7</v>
      </c>
      <c r="C1962" t="s">
        <v>27</v>
      </c>
      <c r="D1962">
        <v>13</v>
      </c>
      <c r="E1962">
        <v>6</v>
      </c>
      <c r="F1962">
        <v>0</v>
      </c>
      <c r="G1962">
        <v>19</v>
      </c>
      <c r="H1962" t="s">
        <v>78</v>
      </c>
      <c r="I1962">
        <v>38</v>
      </c>
    </row>
    <row r="1963" spans="1:9" x14ac:dyDescent="0.3">
      <c r="A1963">
        <v>261</v>
      </c>
      <c r="B1963" t="s">
        <v>7</v>
      </c>
      <c r="C1963" t="s">
        <v>31</v>
      </c>
      <c r="D1963">
        <v>19</v>
      </c>
      <c r="E1963">
        <v>0</v>
      </c>
      <c r="F1963">
        <v>1</v>
      </c>
      <c r="G1963">
        <v>7</v>
      </c>
      <c r="H1963" t="s">
        <v>77</v>
      </c>
      <c r="I1963">
        <v>27</v>
      </c>
    </row>
    <row r="1964" spans="1:9" x14ac:dyDescent="0.3">
      <c r="A1964">
        <v>261</v>
      </c>
      <c r="B1964" t="s">
        <v>33</v>
      </c>
      <c r="C1964" t="s">
        <v>8</v>
      </c>
      <c r="D1964">
        <v>0</v>
      </c>
      <c r="E1964">
        <v>0</v>
      </c>
      <c r="F1964">
        <v>1</v>
      </c>
      <c r="G1964">
        <v>0</v>
      </c>
      <c r="H1964" t="s">
        <v>8</v>
      </c>
      <c r="I1964">
        <v>1</v>
      </c>
    </row>
    <row r="1965" spans="1:9" x14ac:dyDescent="0.3">
      <c r="A1965">
        <v>261</v>
      </c>
      <c r="B1965" t="s">
        <v>33</v>
      </c>
      <c r="C1965" t="s">
        <v>9</v>
      </c>
      <c r="D1965">
        <v>0</v>
      </c>
      <c r="E1965">
        <v>0</v>
      </c>
      <c r="F1965">
        <v>17</v>
      </c>
      <c r="G1965">
        <v>0</v>
      </c>
      <c r="H1965" t="s">
        <v>9</v>
      </c>
      <c r="I1965">
        <v>17</v>
      </c>
    </row>
    <row r="1966" spans="1:9" x14ac:dyDescent="0.3">
      <c r="A1966">
        <v>261</v>
      </c>
      <c r="B1966" t="s">
        <v>33</v>
      </c>
      <c r="C1966" t="s">
        <v>11</v>
      </c>
      <c r="D1966">
        <v>15</v>
      </c>
      <c r="E1966">
        <v>4</v>
      </c>
      <c r="F1966">
        <v>0</v>
      </c>
      <c r="G1966">
        <v>10</v>
      </c>
      <c r="H1966" t="s">
        <v>63</v>
      </c>
      <c r="I1966">
        <v>29</v>
      </c>
    </row>
    <row r="1967" spans="1:9" x14ac:dyDescent="0.3">
      <c r="A1967">
        <v>261</v>
      </c>
      <c r="B1967" t="s">
        <v>33</v>
      </c>
      <c r="C1967" t="s">
        <v>13</v>
      </c>
      <c r="D1967">
        <v>5</v>
      </c>
      <c r="E1967">
        <v>29</v>
      </c>
      <c r="F1967">
        <v>0</v>
      </c>
      <c r="G1967">
        <v>14</v>
      </c>
      <c r="H1967" t="s">
        <v>69</v>
      </c>
      <c r="I1967">
        <v>48</v>
      </c>
    </row>
    <row r="1968" spans="1:9" x14ac:dyDescent="0.3">
      <c r="A1968">
        <v>261</v>
      </c>
      <c r="B1968" t="s">
        <v>33</v>
      </c>
      <c r="C1968" t="s">
        <v>27</v>
      </c>
      <c r="D1968">
        <v>20</v>
      </c>
      <c r="E1968">
        <v>1</v>
      </c>
      <c r="F1968">
        <v>1</v>
      </c>
      <c r="G1968">
        <v>14</v>
      </c>
      <c r="H1968" t="s">
        <v>78</v>
      </c>
      <c r="I1968">
        <v>36</v>
      </c>
    </row>
    <row r="1969" spans="1:9" x14ac:dyDescent="0.3">
      <c r="A1969">
        <v>261</v>
      </c>
      <c r="B1969" t="s">
        <v>33</v>
      </c>
      <c r="C1969" t="s">
        <v>30</v>
      </c>
      <c r="D1969">
        <v>103</v>
      </c>
      <c r="E1969">
        <v>19</v>
      </c>
      <c r="F1969">
        <v>0</v>
      </c>
      <c r="G1969">
        <v>51</v>
      </c>
      <c r="H1969" t="s">
        <v>80</v>
      </c>
      <c r="I1969">
        <v>173</v>
      </c>
    </row>
    <row r="1970" spans="1:9" x14ac:dyDescent="0.3">
      <c r="A1970">
        <v>262</v>
      </c>
      <c r="B1970" t="s">
        <v>7</v>
      </c>
      <c r="C1970" t="s">
        <v>13</v>
      </c>
      <c r="D1970">
        <v>40</v>
      </c>
      <c r="E1970">
        <v>0</v>
      </c>
      <c r="F1970">
        <v>0</v>
      </c>
      <c r="G1970">
        <v>24</v>
      </c>
      <c r="H1970" t="s">
        <v>69</v>
      </c>
      <c r="I1970">
        <v>64</v>
      </c>
    </row>
    <row r="1971" spans="1:9" x14ac:dyDescent="0.3">
      <c r="A1971">
        <v>262</v>
      </c>
      <c r="B1971" t="s">
        <v>7</v>
      </c>
      <c r="C1971" t="s">
        <v>17</v>
      </c>
      <c r="D1971">
        <v>40</v>
      </c>
      <c r="E1971">
        <v>0</v>
      </c>
      <c r="F1971">
        <v>0</v>
      </c>
      <c r="G1971">
        <v>29</v>
      </c>
      <c r="H1971" t="s">
        <v>66</v>
      </c>
      <c r="I1971">
        <v>69</v>
      </c>
    </row>
    <row r="1972" spans="1:9" x14ac:dyDescent="0.3">
      <c r="A1972">
        <v>262</v>
      </c>
      <c r="B1972" t="s">
        <v>7</v>
      </c>
      <c r="C1972" t="s">
        <v>31</v>
      </c>
      <c r="D1972">
        <v>63</v>
      </c>
      <c r="E1972">
        <v>50</v>
      </c>
      <c r="F1972">
        <v>39</v>
      </c>
      <c r="G1972">
        <v>55</v>
      </c>
      <c r="H1972" t="s">
        <v>77</v>
      </c>
      <c r="I1972">
        <v>207</v>
      </c>
    </row>
    <row r="1973" spans="1:9" x14ac:dyDescent="0.3">
      <c r="A1973">
        <v>262</v>
      </c>
      <c r="B1973" t="s">
        <v>33</v>
      </c>
      <c r="C1973" t="s">
        <v>9</v>
      </c>
      <c r="D1973">
        <v>0</v>
      </c>
      <c r="E1973">
        <v>0</v>
      </c>
      <c r="F1973">
        <v>28</v>
      </c>
      <c r="G1973">
        <v>0</v>
      </c>
      <c r="H1973" t="s">
        <v>9</v>
      </c>
      <c r="I1973">
        <v>28</v>
      </c>
    </row>
    <row r="1974" spans="1:9" x14ac:dyDescent="0.3">
      <c r="A1974">
        <v>262</v>
      </c>
      <c r="B1974" t="s">
        <v>33</v>
      </c>
      <c r="C1974" t="s">
        <v>13</v>
      </c>
      <c r="D1974">
        <v>0</v>
      </c>
      <c r="E1974">
        <v>0</v>
      </c>
      <c r="F1974">
        <v>0</v>
      </c>
      <c r="G1974">
        <v>4</v>
      </c>
      <c r="H1974" t="s">
        <v>69</v>
      </c>
      <c r="I1974">
        <v>4</v>
      </c>
    </row>
    <row r="1975" spans="1:9" x14ac:dyDescent="0.3">
      <c r="A1975">
        <v>262</v>
      </c>
      <c r="B1975" t="s">
        <v>33</v>
      </c>
      <c r="C1975" t="s">
        <v>15</v>
      </c>
      <c r="D1975">
        <v>21</v>
      </c>
      <c r="E1975">
        <v>5</v>
      </c>
      <c r="F1975">
        <v>0</v>
      </c>
      <c r="G1975">
        <v>15</v>
      </c>
      <c r="H1975" t="s">
        <v>65</v>
      </c>
      <c r="I1975">
        <v>41</v>
      </c>
    </row>
    <row r="1976" spans="1:9" x14ac:dyDescent="0.3">
      <c r="A1976">
        <v>262</v>
      </c>
      <c r="B1976" t="s">
        <v>33</v>
      </c>
      <c r="C1976" t="s">
        <v>31</v>
      </c>
      <c r="D1976">
        <v>9</v>
      </c>
      <c r="E1976">
        <v>0</v>
      </c>
      <c r="F1976">
        <v>0</v>
      </c>
      <c r="G1976">
        <v>12</v>
      </c>
      <c r="H1976" t="s">
        <v>77</v>
      </c>
      <c r="I1976">
        <v>21</v>
      </c>
    </row>
    <row r="1977" spans="1:9" x14ac:dyDescent="0.3">
      <c r="A1977">
        <v>263</v>
      </c>
      <c r="B1977" t="s">
        <v>7</v>
      </c>
      <c r="C1977" t="s">
        <v>13</v>
      </c>
      <c r="D1977">
        <v>45</v>
      </c>
      <c r="E1977">
        <v>0</v>
      </c>
      <c r="F1977">
        <v>1</v>
      </c>
      <c r="G1977">
        <v>33</v>
      </c>
      <c r="H1977" t="s">
        <v>69</v>
      </c>
      <c r="I1977">
        <v>79</v>
      </c>
    </row>
    <row r="1978" spans="1:9" x14ac:dyDescent="0.3">
      <c r="A1978">
        <v>263</v>
      </c>
      <c r="B1978" t="s">
        <v>7</v>
      </c>
      <c r="C1978" t="s">
        <v>15</v>
      </c>
      <c r="D1978">
        <v>14</v>
      </c>
      <c r="E1978">
        <v>11</v>
      </c>
      <c r="F1978">
        <v>0</v>
      </c>
      <c r="G1978">
        <v>31</v>
      </c>
      <c r="H1978" t="s">
        <v>65</v>
      </c>
      <c r="I1978">
        <v>56</v>
      </c>
    </row>
    <row r="1979" spans="1:9" x14ac:dyDescent="0.3">
      <c r="A1979">
        <v>263</v>
      </c>
      <c r="B1979" t="s">
        <v>7</v>
      </c>
      <c r="C1979" t="s">
        <v>17</v>
      </c>
      <c r="D1979">
        <v>14</v>
      </c>
      <c r="E1979">
        <v>0</v>
      </c>
      <c r="F1979">
        <v>0</v>
      </c>
      <c r="G1979">
        <v>8</v>
      </c>
      <c r="H1979" t="s">
        <v>66</v>
      </c>
      <c r="I1979">
        <v>22</v>
      </c>
    </row>
    <row r="1980" spans="1:9" x14ac:dyDescent="0.3">
      <c r="A1980">
        <v>263</v>
      </c>
      <c r="B1980" t="s">
        <v>7</v>
      </c>
      <c r="C1980" t="s">
        <v>31</v>
      </c>
      <c r="D1980">
        <v>34</v>
      </c>
      <c r="E1980">
        <v>3</v>
      </c>
      <c r="F1980">
        <v>67</v>
      </c>
      <c r="G1980">
        <v>35</v>
      </c>
      <c r="H1980" t="s">
        <v>77</v>
      </c>
      <c r="I1980">
        <v>139</v>
      </c>
    </row>
    <row r="1981" spans="1:9" x14ac:dyDescent="0.3">
      <c r="A1981">
        <v>263</v>
      </c>
      <c r="B1981" t="s">
        <v>33</v>
      </c>
      <c r="C1981" t="s">
        <v>8</v>
      </c>
      <c r="D1981">
        <v>0</v>
      </c>
      <c r="E1981">
        <v>0</v>
      </c>
      <c r="F1981">
        <v>2</v>
      </c>
      <c r="G1981">
        <v>0</v>
      </c>
      <c r="H1981" t="s">
        <v>8</v>
      </c>
      <c r="I1981">
        <v>2</v>
      </c>
    </row>
    <row r="1982" spans="1:9" x14ac:dyDescent="0.3">
      <c r="A1982">
        <v>263</v>
      </c>
      <c r="B1982" t="s">
        <v>33</v>
      </c>
      <c r="C1982" t="s">
        <v>9</v>
      </c>
      <c r="D1982">
        <v>0</v>
      </c>
      <c r="E1982">
        <v>0</v>
      </c>
      <c r="F1982">
        <v>10</v>
      </c>
      <c r="G1982">
        <v>0</v>
      </c>
      <c r="H1982" t="s">
        <v>9</v>
      </c>
      <c r="I1982">
        <v>10</v>
      </c>
    </row>
    <row r="1983" spans="1:9" x14ac:dyDescent="0.3">
      <c r="A1983">
        <v>263</v>
      </c>
      <c r="B1983" t="s">
        <v>33</v>
      </c>
      <c r="C1983" t="s">
        <v>15</v>
      </c>
      <c r="D1983">
        <v>5</v>
      </c>
      <c r="E1983">
        <v>0</v>
      </c>
      <c r="F1983">
        <v>0</v>
      </c>
      <c r="G1983">
        <v>9</v>
      </c>
      <c r="H1983" t="s">
        <v>65</v>
      </c>
      <c r="I1983">
        <v>14</v>
      </c>
    </row>
    <row r="1984" spans="1:9" x14ac:dyDescent="0.3">
      <c r="A1984">
        <v>263</v>
      </c>
      <c r="B1984" t="s">
        <v>33</v>
      </c>
      <c r="C1984" t="s">
        <v>31</v>
      </c>
      <c r="D1984">
        <v>19</v>
      </c>
      <c r="E1984">
        <v>0</v>
      </c>
      <c r="F1984">
        <v>0</v>
      </c>
      <c r="G1984">
        <v>11</v>
      </c>
      <c r="H1984" t="s">
        <v>77</v>
      </c>
      <c r="I1984">
        <v>30</v>
      </c>
    </row>
    <row r="1985" spans="1:9" x14ac:dyDescent="0.3">
      <c r="A1985">
        <v>264</v>
      </c>
      <c r="B1985" t="s">
        <v>7</v>
      </c>
      <c r="C1985" t="s">
        <v>13</v>
      </c>
      <c r="D1985">
        <v>27</v>
      </c>
      <c r="E1985">
        <v>0</v>
      </c>
      <c r="F1985">
        <v>0</v>
      </c>
      <c r="G1985">
        <v>29</v>
      </c>
      <c r="H1985" t="s">
        <v>69</v>
      </c>
      <c r="I1985">
        <v>56</v>
      </c>
    </row>
    <row r="1986" spans="1:9" x14ac:dyDescent="0.3">
      <c r="A1986">
        <v>264</v>
      </c>
      <c r="B1986" t="s">
        <v>7</v>
      </c>
      <c r="C1986" t="s">
        <v>17</v>
      </c>
      <c r="D1986">
        <v>20</v>
      </c>
      <c r="E1986">
        <v>2</v>
      </c>
      <c r="F1986">
        <v>0</v>
      </c>
      <c r="G1986">
        <v>15</v>
      </c>
      <c r="H1986" t="s">
        <v>66</v>
      </c>
      <c r="I1986">
        <v>37</v>
      </c>
    </row>
    <row r="1987" spans="1:9" x14ac:dyDescent="0.3">
      <c r="A1987">
        <v>264</v>
      </c>
      <c r="B1987" t="s">
        <v>7</v>
      </c>
      <c r="C1987" t="s">
        <v>31</v>
      </c>
      <c r="D1987">
        <v>38</v>
      </c>
      <c r="E1987">
        <v>0</v>
      </c>
      <c r="F1987">
        <v>0</v>
      </c>
      <c r="G1987">
        <v>28</v>
      </c>
      <c r="H1987" t="s">
        <v>77</v>
      </c>
      <c r="I1987">
        <v>66</v>
      </c>
    </row>
    <row r="1988" spans="1:9" x14ac:dyDescent="0.3">
      <c r="A1988">
        <v>264</v>
      </c>
      <c r="B1988" t="s">
        <v>33</v>
      </c>
      <c r="C1988" t="s">
        <v>8</v>
      </c>
      <c r="D1988">
        <v>0</v>
      </c>
      <c r="E1988">
        <v>0</v>
      </c>
      <c r="F1988">
        <v>1</v>
      </c>
      <c r="G1988">
        <v>0</v>
      </c>
      <c r="H1988" t="s">
        <v>8</v>
      </c>
      <c r="I1988">
        <v>1</v>
      </c>
    </row>
    <row r="1989" spans="1:9" x14ac:dyDescent="0.3">
      <c r="A1989">
        <v>264</v>
      </c>
      <c r="B1989" t="s">
        <v>33</v>
      </c>
      <c r="C1989" t="s">
        <v>9</v>
      </c>
      <c r="D1989">
        <v>0</v>
      </c>
      <c r="E1989">
        <v>0</v>
      </c>
      <c r="F1989">
        <v>72</v>
      </c>
      <c r="G1989">
        <v>0</v>
      </c>
      <c r="H1989" t="s">
        <v>9</v>
      </c>
      <c r="I1989">
        <v>72</v>
      </c>
    </row>
    <row r="1990" spans="1:9" x14ac:dyDescent="0.3">
      <c r="A1990">
        <v>264</v>
      </c>
      <c r="B1990" t="s">
        <v>33</v>
      </c>
      <c r="C1990" t="s">
        <v>15</v>
      </c>
      <c r="D1990">
        <v>5</v>
      </c>
      <c r="E1990">
        <v>0</v>
      </c>
      <c r="F1990">
        <v>0</v>
      </c>
      <c r="G1990">
        <v>14</v>
      </c>
      <c r="H1990" t="s">
        <v>65</v>
      </c>
      <c r="I1990">
        <v>19</v>
      </c>
    </row>
    <row r="1991" spans="1:9" x14ac:dyDescent="0.3">
      <c r="A1991">
        <v>264</v>
      </c>
      <c r="B1991" t="s">
        <v>33</v>
      </c>
      <c r="C1991" t="s">
        <v>31</v>
      </c>
      <c r="D1991">
        <v>36</v>
      </c>
      <c r="E1991">
        <v>0</v>
      </c>
      <c r="F1991">
        <v>0</v>
      </c>
      <c r="G1991">
        <v>29</v>
      </c>
      <c r="H1991" t="s">
        <v>77</v>
      </c>
      <c r="I1991">
        <v>65</v>
      </c>
    </row>
    <row r="1992" spans="1:9" x14ac:dyDescent="0.3">
      <c r="A1992">
        <v>265</v>
      </c>
      <c r="B1992" t="s">
        <v>33</v>
      </c>
      <c r="C1992" t="s">
        <v>8</v>
      </c>
      <c r="D1992">
        <v>0</v>
      </c>
      <c r="E1992">
        <v>0</v>
      </c>
      <c r="F1992">
        <v>1</v>
      </c>
      <c r="G1992">
        <v>0</v>
      </c>
      <c r="H1992" t="s">
        <v>8</v>
      </c>
      <c r="I1992">
        <v>1</v>
      </c>
    </row>
    <row r="1993" spans="1:9" x14ac:dyDescent="0.3">
      <c r="A1993">
        <v>265</v>
      </c>
      <c r="B1993" t="s">
        <v>33</v>
      </c>
      <c r="C1993" t="s">
        <v>9</v>
      </c>
      <c r="D1993">
        <v>0</v>
      </c>
      <c r="E1993">
        <v>0</v>
      </c>
      <c r="F1993">
        <v>42</v>
      </c>
      <c r="G1993">
        <v>0</v>
      </c>
      <c r="H1993" t="s">
        <v>9</v>
      </c>
      <c r="I1993">
        <v>42</v>
      </c>
    </row>
    <row r="1994" spans="1:9" x14ac:dyDescent="0.3">
      <c r="A1994">
        <v>265</v>
      </c>
      <c r="B1994" t="s">
        <v>33</v>
      </c>
      <c r="C1994" t="s">
        <v>14</v>
      </c>
      <c r="D1994">
        <v>25</v>
      </c>
      <c r="E1994">
        <v>114</v>
      </c>
      <c r="F1994">
        <v>0</v>
      </c>
      <c r="G1994">
        <v>47</v>
      </c>
      <c r="H1994" t="s">
        <v>62</v>
      </c>
      <c r="I1994">
        <v>186</v>
      </c>
    </row>
    <row r="1995" spans="1:9" x14ac:dyDescent="0.3">
      <c r="A1995">
        <v>266</v>
      </c>
      <c r="B1995" t="s">
        <v>7</v>
      </c>
      <c r="C1995" t="s">
        <v>23</v>
      </c>
      <c r="D1995">
        <v>15</v>
      </c>
      <c r="E1995">
        <v>0</v>
      </c>
      <c r="F1995">
        <v>0</v>
      </c>
      <c r="G1995">
        <v>12</v>
      </c>
      <c r="H1995" t="s">
        <v>73</v>
      </c>
      <c r="I1995">
        <v>27</v>
      </c>
    </row>
    <row r="1996" spans="1:9" x14ac:dyDescent="0.3">
      <c r="A1996">
        <v>266</v>
      </c>
      <c r="B1996" t="s">
        <v>7</v>
      </c>
      <c r="C1996" t="s">
        <v>32</v>
      </c>
      <c r="D1996">
        <v>95</v>
      </c>
      <c r="E1996">
        <v>0</v>
      </c>
      <c r="F1996">
        <v>0</v>
      </c>
      <c r="G1996">
        <v>52</v>
      </c>
      <c r="H1996" t="s">
        <v>59</v>
      </c>
      <c r="I1996">
        <v>147</v>
      </c>
    </row>
    <row r="1997" spans="1:9" x14ac:dyDescent="0.3">
      <c r="A1997">
        <v>266</v>
      </c>
      <c r="B1997" t="s">
        <v>33</v>
      </c>
      <c r="C1997" t="s">
        <v>9</v>
      </c>
      <c r="D1997">
        <v>0</v>
      </c>
      <c r="E1997">
        <v>0</v>
      </c>
      <c r="F1997">
        <v>15</v>
      </c>
      <c r="G1997">
        <v>0</v>
      </c>
      <c r="H1997" t="s">
        <v>9</v>
      </c>
      <c r="I1997">
        <v>15</v>
      </c>
    </row>
    <row r="1998" spans="1:9" x14ac:dyDescent="0.3">
      <c r="A1998">
        <v>266</v>
      </c>
      <c r="B1998" t="s">
        <v>33</v>
      </c>
      <c r="C1998" t="s">
        <v>14</v>
      </c>
      <c r="D1998">
        <v>51</v>
      </c>
      <c r="E1998">
        <v>82</v>
      </c>
      <c r="F1998">
        <v>0</v>
      </c>
      <c r="G1998">
        <v>66</v>
      </c>
      <c r="H1998" t="s">
        <v>62</v>
      </c>
      <c r="I1998">
        <v>199</v>
      </c>
    </row>
    <row r="1999" spans="1:9" x14ac:dyDescent="0.3">
      <c r="A1999">
        <v>267</v>
      </c>
      <c r="B1999" t="s">
        <v>7</v>
      </c>
      <c r="C1999" t="s">
        <v>14</v>
      </c>
      <c r="D1999">
        <v>5</v>
      </c>
      <c r="E1999">
        <v>2</v>
      </c>
      <c r="F1999">
        <v>0</v>
      </c>
      <c r="G1999">
        <v>4</v>
      </c>
      <c r="H1999" t="s">
        <v>62</v>
      </c>
      <c r="I1999">
        <v>11</v>
      </c>
    </row>
    <row r="2000" spans="1:9" x14ac:dyDescent="0.3">
      <c r="A2000">
        <v>267</v>
      </c>
      <c r="B2000" t="s">
        <v>7</v>
      </c>
      <c r="C2000" t="s">
        <v>32</v>
      </c>
      <c r="D2000">
        <v>98</v>
      </c>
      <c r="E2000">
        <v>9</v>
      </c>
      <c r="F2000">
        <v>0</v>
      </c>
      <c r="G2000">
        <v>55</v>
      </c>
      <c r="H2000" t="s">
        <v>59</v>
      </c>
      <c r="I2000">
        <v>162</v>
      </c>
    </row>
    <row r="2001" spans="1:9" x14ac:dyDescent="0.3">
      <c r="A2001">
        <v>267</v>
      </c>
      <c r="B2001" t="s">
        <v>33</v>
      </c>
      <c r="C2001" t="s">
        <v>9</v>
      </c>
      <c r="D2001">
        <v>0</v>
      </c>
      <c r="E2001">
        <v>0</v>
      </c>
      <c r="F2001">
        <v>42</v>
      </c>
      <c r="G2001">
        <v>0</v>
      </c>
      <c r="H2001" t="s">
        <v>9</v>
      </c>
      <c r="I2001">
        <v>42</v>
      </c>
    </row>
    <row r="2002" spans="1:9" x14ac:dyDescent="0.3">
      <c r="A2002">
        <v>267</v>
      </c>
      <c r="B2002" t="s">
        <v>33</v>
      </c>
      <c r="C2002" t="s">
        <v>14</v>
      </c>
      <c r="D2002">
        <v>70</v>
      </c>
      <c r="E2002">
        <v>38</v>
      </c>
      <c r="F2002">
        <v>0</v>
      </c>
      <c r="G2002">
        <v>57</v>
      </c>
      <c r="H2002" t="s">
        <v>62</v>
      </c>
      <c r="I2002">
        <v>165</v>
      </c>
    </row>
    <row r="2003" spans="1:9" x14ac:dyDescent="0.3">
      <c r="A2003">
        <v>267</v>
      </c>
      <c r="B2003" t="s">
        <v>33</v>
      </c>
      <c r="C2003" t="s">
        <v>32</v>
      </c>
      <c r="D2003">
        <v>4</v>
      </c>
      <c r="E2003">
        <v>0</v>
      </c>
      <c r="F2003">
        <v>0</v>
      </c>
      <c r="G2003">
        <v>4</v>
      </c>
      <c r="H2003" t="s">
        <v>59</v>
      </c>
      <c r="I2003">
        <v>8</v>
      </c>
    </row>
    <row r="2004" spans="1:9" x14ac:dyDescent="0.3">
      <c r="A2004">
        <v>268</v>
      </c>
      <c r="B2004" t="s">
        <v>7</v>
      </c>
      <c r="C2004" t="s">
        <v>11</v>
      </c>
      <c r="D2004">
        <v>50</v>
      </c>
      <c r="E2004">
        <v>0</v>
      </c>
      <c r="F2004">
        <v>0</v>
      </c>
      <c r="G2004">
        <v>25</v>
      </c>
      <c r="H2004" t="s">
        <v>63</v>
      </c>
      <c r="I2004">
        <v>75</v>
      </c>
    </row>
    <row r="2005" spans="1:9" x14ac:dyDescent="0.3">
      <c r="A2005">
        <v>268</v>
      </c>
      <c r="B2005" t="s">
        <v>7</v>
      </c>
      <c r="C2005" t="s">
        <v>27</v>
      </c>
      <c r="D2005">
        <v>9</v>
      </c>
      <c r="E2005">
        <v>0</v>
      </c>
      <c r="F2005">
        <v>0</v>
      </c>
      <c r="G2005">
        <v>13</v>
      </c>
      <c r="H2005" t="s">
        <v>78</v>
      </c>
      <c r="I2005">
        <v>22</v>
      </c>
    </row>
    <row r="2006" spans="1:9" x14ac:dyDescent="0.3">
      <c r="A2006">
        <v>268</v>
      </c>
      <c r="B2006" t="s">
        <v>7</v>
      </c>
      <c r="C2006" t="s">
        <v>30</v>
      </c>
      <c r="D2006">
        <v>19</v>
      </c>
      <c r="E2006">
        <v>3</v>
      </c>
      <c r="F2006">
        <v>0</v>
      </c>
      <c r="G2006">
        <v>16</v>
      </c>
      <c r="H2006" t="s">
        <v>80</v>
      </c>
      <c r="I2006">
        <v>38</v>
      </c>
    </row>
    <row r="2007" spans="1:9" x14ac:dyDescent="0.3">
      <c r="A2007">
        <v>268</v>
      </c>
      <c r="B2007" t="s">
        <v>33</v>
      </c>
      <c r="C2007" t="s">
        <v>8</v>
      </c>
      <c r="D2007">
        <v>0</v>
      </c>
      <c r="E2007">
        <v>0</v>
      </c>
      <c r="F2007">
        <v>2</v>
      </c>
      <c r="G2007">
        <v>0</v>
      </c>
      <c r="H2007" t="s">
        <v>8</v>
      </c>
      <c r="I2007">
        <v>2</v>
      </c>
    </row>
    <row r="2008" spans="1:9" x14ac:dyDescent="0.3">
      <c r="A2008">
        <v>268</v>
      </c>
      <c r="B2008" t="s">
        <v>33</v>
      </c>
      <c r="C2008" t="s">
        <v>9</v>
      </c>
      <c r="D2008">
        <v>0</v>
      </c>
      <c r="E2008">
        <v>0</v>
      </c>
      <c r="F2008">
        <v>37</v>
      </c>
      <c r="G2008">
        <v>0</v>
      </c>
      <c r="H2008" t="s">
        <v>9</v>
      </c>
      <c r="I2008">
        <v>37</v>
      </c>
    </row>
    <row r="2009" spans="1:9" x14ac:dyDescent="0.3">
      <c r="A2009">
        <v>268</v>
      </c>
      <c r="B2009" t="s">
        <v>33</v>
      </c>
      <c r="C2009" t="s">
        <v>11</v>
      </c>
      <c r="D2009">
        <v>68</v>
      </c>
      <c r="E2009">
        <v>0</v>
      </c>
      <c r="F2009">
        <v>0</v>
      </c>
      <c r="G2009">
        <v>37</v>
      </c>
      <c r="H2009" t="s">
        <v>63</v>
      </c>
      <c r="I2009">
        <v>105</v>
      </c>
    </row>
    <row r="2010" spans="1:9" x14ac:dyDescent="0.3">
      <c r="A2010">
        <v>268</v>
      </c>
      <c r="B2010" t="s">
        <v>33</v>
      </c>
      <c r="C2010" t="s">
        <v>30</v>
      </c>
      <c r="D2010">
        <v>5</v>
      </c>
      <c r="E2010">
        <v>2</v>
      </c>
      <c r="F2010">
        <v>1</v>
      </c>
      <c r="G2010">
        <v>3</v>
      </c>
      <c r="H2010" t="s">
        <v>80</v>
      </c>
      <c r="I2010">
        <v>11</v>
      </c>
    </row>
    <row r="2011" spans="1:9" x14ac:dyDescent="0.3">
      <c r="A2011">
        <v>269</v>
      </c>
      <c r="B2011" t="s">
        <v>7</v>
      </c>
      <c r="C2011" t="s">
        <v>20</v>
      </c>
      <c r="D2011">
        <v>6</v>
      </c>
      <c r="E2011">
        <v>0</v>
      </c>
      <c r="F2011">
        <v>0</v>
      </c>
      <c r="G2011">
        <v>5</v>
      </c>
      <c r="H2011" t="s">
        <v>60</v>
      </c>
      <c r="I2011">
        <v>11</v>
      </c>
    </row>
    <row r="2012" spans="1:9" x14ac:dyDescent="0.3">
      <c r="A2012">
        <v>269</v>
      </c>
      <c r="B2012" t="s">
        <v>7</v>
      </c>
      <c r="C2012" t="s">
        <v>24</v>
      </c>
      <c r="D2012">
        <v>35</v>
      </c>
      <c r="E2012">
        <v>1</v>
      </c>
      <c r="F2012">
        <v>0</v>
      </c>
      <c r="G2012">
        <v>25</v>
      </c>
      <c r="H2012" t="s">
        <v>75</v>
      </c>
      <c r="I2012">
        <v>61</v>
      </c>
    </row>
    <row r="2013" spans="1:9" x14ac:dyDescent="0.3">
      <c r="A2013">
        <v>269</v>
      </c>
      <c r="B2013" t="s">
        <v>7</v>
      </c>
      <c r="C2013" t="s">
        <v>28</v>
      </c>
      <c r="D2013">
        <v>4</v>
      </c>
      <c r="E2013">
        <v>0</v>
      </c>
      <c r="F2013">
        <v>0</v>
      </c>
      <c r="G2013">
        <v>3</v>
      </c>
      <c r="H2013" t="s">
        <v>28</v>
      </c>
      <c r="I2013">
        <v>7</v>
      </c>
    </row>
    <row r="2014" spans="1:9" x14ac:dyDescent="0.3">
      <c r="A2014">
        <v>269</v>
      </c>
      <c r="B2014" t="s">
        <v>33</v>
      </c>
      <c r="C2014" t="s">
        <v>8</v>
      </c>
      <c r="D2014">
        <v>0</v>
      </c>
      <c r="E2014">
        <v>0</v>
      </c>
      <c r="F2014">
        <v>2</v>
      </c>
      <c r="G2014">
        <v>0</v>
      </c>
      <c r="H2014" t="s">
        <v>8</v>
      </c>
      <c r="I2014">
        <v>2</v>
      </c>
    </row>
    <row r="2015" spans="1:9" x14ac:dyDescent="0.3">
      <c r="A2015">
        <v>269</v>
      </c>
      <c r="B2015" t="s">
        <v>33</v>
      </c>
      <c r="C2015" t="s">
        <v>9</v>
      </c>
      <c r="D2015">
        <v>0</v>
      </c>
      <c r="E2015">
        <v>0</v>
      </c>
      <c r="F2015">
        <v>43</v>
      </c>
      <c r="G2015">
        <v>0</v>
      </c>
      <c r="H2015" t="s">
        <v>9</v>
      </c>
      <c r="I2015">
        <v>43</v>
      </c>
    </row>
    <row r="2016" spans="1:9" x14ac:dyDescent="0.3">
      <c r="A2016">
        <v>269</v>
      </c>
      <c r="B2016" t="s">
        <v>33</v>
      </c>
      <c r="C2016" t="s">
        <v>22</v>
      </c>
      <c r="D2016">
        <v>103</v>
      </c>
      <c r="E2016">
        <v>42</v>
      </c>
      <c r="F2016">
        <v>1</v>
      </c>
      <c r="G2016">
        <v>54</v>
      </c>
      <c r="H2016" t="s">
        <v>76</v>
      </c>
      <c r="I2016">
        <v>200</v>
      </c>
    </row>
    <row r="2017" spans="1:9" x14ac:dyDescent="0.3">
      <c r="A2017">
        <v>270</v>
      </c>
      <c r="B2017" t="s">
        <v>7</v>
      </c>
      <c r="C2017" t="s">
        <v>13</v>
      </c>
      <c r="D2017">
        <v>14</v>
      </c>
      <c r="E2017">
        <v>0</v>
      </c>
      <c r="F2017">
        <v>0</v>
      </c>
      <c r="G2017">
        <v>18</v>
      </c>
      <c r="H2017" t="s">
        <v>69</v>
      </c>
      <c r="I2017">
        <v>32</v>
      </c>
    </row>
    <row r="2018" spans="1:9" x14ac:dyDescent="0.3">
      <c r="A2018">
        <v>270</v>
      </c>
      <c r="B2018" t="s">
        <v>7</v>
      </c>
      <c r="C2018" t="s">
        <v>14</v>
      </c>
      <c r="D2018">
        <v>27</v>
      </c>
      <c r="E2018">
        <v>0</v>
      </c>
      <c r="F2018">
        <v>0</v>
      </c>
      <c r="G2018">
        <v>21</v>
      </c>
      <c r="H2018" t="s">
        <v>62</v>
      </c>
      <c r="I2018">
        <v>48</v>
      </c>
    </row>
    <row r="2019" spans="1:9" x14ac:dyDescent="0.3">
      <c r="A2019">
        <v>270</v>
      </c>
      <c r="B2019" t="s">
        <v>7</v>
      </c>
      <c r="C2019" t="s">
        <v>17</v>
      </c>
      <c r="D2019">
        <v>20</v>
      </c>
      <c r="E2019">
        <v>0</v>
      </c>
      <c r="F2019">
        <v>0</v>
      </c>
      <c r="G2019">
        <v>17</v>
      </c>
      <c r="H2019" t="s">
        <v>66</v>
      </c>
      <c r="I2019">
        <v>37</v>
      </c>
    </row>
    <row r="2020" spans="1:9" x14ac:dyDescent="0.3">
      <c r="A2020">
        <v>270</v>
      </c>
      <c r="B2020" t="s">
        <v>7</v>
      </c>
      <c r="C2020" t="s">
        <v>31</v>
      </c>
      <c r="D2020">
        <v>14</v>
      </c>
      <c r="E2020">
        <v>0</v>
      </c>
      <c r="F2020">
        <v>0</v>
      </c>
      <c r="G2020">
        <v>19</v>
      </c>
      <c r="H2020" t="s">
        <v>77</v>
      </c>
      <c r="I2020">
        <v>33</v>
      </c>
    </row>
    <row r="2021" spans="1:9" x14ac:dyDescent="0.3">
      <c r="A2021">
        <v>270</v>
      </c>
      <c r="B2021" t="s">
        <v>7</v>
      </c>
      <c r="C2021" t="s">
        <v>32</v>
      </c>
      <c r="D2021">
        <v>0</v>
      </c>
      <c r="E2021">
        <v>0</v>
      </c>
      <c r="F2021">
        <v>0</v>
      </c>
      <c r="G2021">
        <v>3</v>
      </c>
      <c r="H2021" t="s">
        <v>59</v>
      </c>
      <c r="I2021">
        <v>3</v>
      </c>
    </row>
    <row r="2022" spans="1:9" x14ac:dyDescent="0.3">
      <c r="A2022">
        <v>270</v>
      </c>
      <c r="B2022" t="s">
        <v>33</v>
      </c>
      <c r="C2022" t="s">
        <v>8</v>
      </c>
      <c r="D2022">
        <v>0</v>
      </c>
      <c r="E2022">
        <v>0</v>
      </c>
      <c r="F2022">
        <v>2</v>
      </c>
      <c r="G2022">
        <v>0</v>
      </c>
      <c r="H2022" t="s">
        <v>8</v>
      </c>
      <c r="I2022">
        <v>2</v>
      </c>
    </row>
    <row r="2023" spans="1:9" x14ac:dyDescent="0.3">
      <c r="A2023">
        <v>270</v>
      </c>
      <c r="B2023" t="s">
        <v>33</v>
      </c>
      <c r="C2023" t="s">
        <v>9</v>
      </c>
      <c r="D2023">
        <v>0</v>
      </c>
      <c r="E2023">
        <v>0</v>
      </c>
      <c r="F2023">
        <v>21</v>
      </c>
      <c r="G2023">
        <v>0</v>
      </c>
      <c r="H2023" t="s">
        <v>9</v>
      </c>
      <c r="I2023">
        <v>21</v>
      </c>
    </row>
    <row r="2024" spans="1:9" x14ac:dyDescent="0.3">
      <c r="A2024">
        <v>270</v>
      </c>
      <c r="B2024" t="s">
        <v>33</v>
      </c>
      <c r="C2024" t="s">
        <v>13</v>
      </c>
      <c r="D2024">
        <v>24</v>
      </c>
      <c r="E2024">
        <v>0</v>
      </c>
      <c r="F2024">
        <v>0</v>
      </c>
      <c r="G2024">
        <v>11</v>
      </c>
      <c r="H2024" t="s">
        <v>69</v>
      </c>
      <c r="I2024">
        <v>35</v>
      </c>
    </row>
    <row r="2025" spans="1:9" x14ac:dyDescent="0.3">
      <c r="A2025">
        <v>270</v>
      </c>
      <c r="B2025" t="s">
        <v>33</v>
      </c>
      <c r="C2025" t="s">
        <v>14</v>
      </c>
      <c r="D2025">
        <v>60</v>
      </c>
      <c r="E2025">
        <v>0</v>
      </c>
      <c r="F2025">
        <v>0</v>
      </c>
      <c r="G2025">
        <v>32</v>
      </c>
      <c r="H2025" t="s">
        <v>62</v>
      </c>
      <c r="I2025">
        <v>92</v>
      </c>
    </row>
    <row r="2026" spans="1:9" x14ac:dyDescent="0.3">
      <c r="A2026">
        <v>270</v>
      </c>
      <c r="B2026" t="s">
        <v>33</v>
      </c>
      <c r="C2026" t="s">
        <v>29</v>
      </c>
      <c r="D2026">
        <v>3</v>
      </c>
      <c r="E2026">
        <v>0</v>
      </c>
      <c r="F2026">
        <v>0</v>
      </c>
      <c r="G2026">
        <v>2</v>
      </c>
      <c r="H2026" t="s">
        <v>67</v>
      </c>
      <c r="I2026">
        <v>5</v>
      </c>
    </row>
    <row r="2027" spans="1:9" x14ac:dyDescent="0.3">
      <c r="A2027">
        <v>271</v>
      </c>
      <c r="B2027" t="s">
        <v>7</v>
      </c>
      <c r="C2027" t="s">
        <v>11</v>
      </c>
      <c r="D2027">
        <v>40</v>
      </c>
      <c r="E2027">
        <v>0</v>
      </c>
      <c r="F2027">
        <v>0</v>
      </c>
      <c r="G2027">
        <v>29</v>
      </c>
      <c r="H2027" t="s">
        <v>63</v>
      </c>
      <c r="I2027">
        <v>69</v>
      </c>
    </row>
    <row r="2028" spans="1:9" x14ac:dyDescent="0.3">
      <c r="A2028">
        <v>271</v>
      </c>
      <c r="B2028" t="s">
        <v>7</v>
      </c>
      <c r="C2028" t="s">
        <v>27</v>
      </c>
      <c r="D2028">
        <v>24</v>
      </c>
      <c r="E2028">
        <v>4</v>
      </c>
      <c r="F2028">
        <v>0</v>
      </c>
      <c r="G2028">
        <v>28</v>
      </c>
      <c r="H2028" t="s">
        <v>78</v>
      </c>
      <c r="I2028">
        <v>56</v>
      </c>
    </row>
    <row r="2029" spans="1:9" x14ac:dyDescent="0.3">
      <c r="A2029">
        <v>271</v>
      </c>
      <c r="B2029" t="s">
        <v>7</v>
      </c>
      <c r="C2029" t="s">
        <v>30</v>
      </c>
      <c r="D2029">
        <v>23</v>
      </c>
      <c r="E2029">
        <v>0</v>
      </c>
      <c r="F2029">
        <v>0</v>
      </c>
      <c r="G2029">
        <v>13</v>
      </c>
      <c r="H2029" t="s">
        <v>80</v>
      </c>
      <c r="I2029">
        <v>36</v>
      </c>
    </row>
    <row r="2030" spans="1:9" x14ac:dyDescent="0.3">
      <c r="A2030">
        <v>271</v>
      </c>
      <c r="B2030" t="s">
        <v>33</v>
      </c>
      <c r="C2030" t="s">
        <v>8</v>
      </c>
      <c r="D2030">
        <v>0</v>
      </c>
      <c r="E2030">
        <v>0</v>
      </c>
      <c r="F2030">
        <v>3</v>
      </c>
      <c r="G2030">
        <v>0</v>
      </c>
      <c r="H2030" t="s">
        <v>8</v>
      </c>
      <c r="I2030">
        <v>3</v>
      </c>
    </row>
    <row r="2031" spans="1:9" x14ac:dyDescent="0.3">
      <c r="A2031">
        <v>271</v>
      </c>
      <c r="B2031" t="s">
        <v>33</v>
      </c>
      <c r="C2031" t="s">
        <v>9</v>
      </c>
      <c r="D2031">
        <v>0</v>
      </c>
      <c r="E2031">
        <v>0</v>
      </c>
      <c r="F2031">
        <v>30</v>
      </c>
      <c r="G2031">
        <v>0</v>
      </c>
      <c r="H2031" t="s">
        <v>9</v>
      </c>
      <c r="I2031">
        <v>30</v>
      </c>
    </row>
    <row r="2032" spans="1:9" x14ac:dyDescent="0.3">
      <c r="A2032">
        <v>271</v>
      </c>
      <c r="B2032" t="s">
        <v>33</v>
      </c>
      <c r="C2032" t="s">
        <v>11</v>
      </c>
      <c r="D2032">
        <v>31</v>
      </c>
      <c r="E2032">
        <v>5</v>
      </c>
      <c r="F2032">
        <v>0</v>
      </c>
      <c r="G2032">
        <v>11</v>
      </c>
      <c r="H2032" t="s">
        <v>63</v>
      </c>
      <c r="I2032">
        <v>47</v>
      </c>
    </row>
    <row r="2033" spans="1:9" x14ac:dyDescent="0.3">
      <c r="A2033">
        <v>271</v>
      </c>
      <c r="B2033" t="s">
        <v>33</v>
      </c>
      <c r="C2033" t="s">
        <v>14</v>
      </c>
      <c r="D2033">
        <v>6</v>
      </c>
      <c r="E2033">
        <v>0</v>
      </c>
      <c r="F2033">
        <v>0</v>
      </c>
      <c r="G2033">
        <v>10</v>
      </c>
      <c r="H2033" t="s">
        <v>62</v>
      </c>
      <c r="I2033">
        <v>16</v>
      </c>
    </row>
    <row r="2034" spans="1:9" x14ac:dyDescent="0.3">
      <c r="A2034">
        <v>271</v>
      </c>
      <c r="B2034" t="s">
        <v>33</v>
      </c>
      <c r="C2034" t="s">
        <v>27</v>
      </c>
      <c r="D2034">
        <v>26</v>
      </c>
      <c r="E2034">
        <v>0</v>
      </c>
      <c r="F2034">
        <v>0</v>
      </c>
      <c r="G2034">
        <v>10</v>
      </c>
      <c r="H2034" t="s">
        <v>78</v>
      </c>
      <c r="I2034">
        <v>36</v>
      </c>
    </row>
    <row r="2035" spans="1:9" x14ac:dyDescent="0.3">
      <c r="A2035">
        <v>272</v>
      </c>
      <c r="B2035" t="s">
        <v>7</v>
      </c>
      <c r="C2035" t="s">
        <v>11</v>
      </c>
      <c r="D2035">
        <v>15</v>
      </c>
      <c r="E2035">
        <v>18</v>
      </c>
      <c r="F2035">
        <v>0</v>
      </c>
      <c r="G2035">
        <v>27</v>
      </c>
      <c r="H2035" t="s">
        <v>63</v>
      </c>
      <c r="I2035">
        <v>60</v>
      </c>
    </row>
    <row r="2036" spans="1:9" x14ac:dyDescent="0.3">
      <c r="A2036">
        <v>272</v>
      </c>
      <c r="B2036" t="s">
        <v>7</v>
      </c>
      <c r="C2036" t="s">
        <v>12</v>
      </c>
      <c r="D2036">
        <v>21</v>
      </c>
      <c r="E2036">
        <v>8</v>
      </c>
      <c r="F2036">
        <v>0</v>
      </c>
      <c r="G2036">
        <v>19</v>
      </c>
      <c r="H2036" t="s">
        <v>64</v>
      </c>
      <c r="I2036">
        <v>48</v>
      </c>
    </row>
    <row r="2037" spans="1:9" x14ac:dyDescent="0.3">
      <c r="A2037">
        <v>272</v>
      </c>
      <c r="B2037" t="s">
        <v>7</v>
      </c>
      <c r="C2037" t="s">
        <v>13</v>
      </c>
      <c r="D2037">
        <v>26</v>
      </c>
      <c r="E2037">
        <v>0</v>
      </c>
      <c r="F2037">
        <v>0</v>
      </c>
      <c r="G2037">
        <v>18</v>
      </c>
      <c r="H2037" t="s">
        <v>69</v>
      </c>
      <c r="I2037">
        <v>44</v>
      </c>
    </row>
    <row r="2038" spans="1:9" x14ac:dyDescent="0.3">
      <c r="A2038">
        <v>272</v>
      </c>
      <c r="B2038" t="s">
        <v>7</v>
      </c>
      <c r="C2038" t="s">
        <v>17</v>
      </c>
      <c r="D2038">
        <v>4</v>
      </c>
      <c r="E2038">
        <v>0</v>
      </c>
      <c r="F2038">
        <v>0</v>
      </c>
      <c r="G2038">
        <v>7</v>
      </c>
      <c r="H2038" t="s">
        <v>66</v>
      </c>
      <c r="I2038">
        <v>11</v>
      </c>
    </row>
    <row r="2039" spans="1:9" x14ac:dyDescent="0.3">
      <c r="A2039">
        <v>272</v>
      </c>
      <c r="B2039" t="s">
        <v>7</v>
      </c>
      <c r="C2039" t="s">
        <v>18</v>
      </c>
      <c r="D2039">
        <v>3</v>
      </c>
      <c r="E2039">
        <v>0</v>
      </c>
      <c r="F2039">
        <v>0</v>
      </c>
      <c r="G2039">
        <v>16</v>
      </c>
      <c r="H2039" t="s">
        <v>72</v>
      </c>
      <c r="I2039">
        <v>19</v>
      </c>
    </row>
    <row r="2040" spans="1:9" x14ac:dyDescent="0.3">
      <c r="A2040">
        <v>272</v>
      </c>
      <c r="B2040" t="s">
        <v>7</v>
      </c>
      <c r="C2040" t="s">
        <v>27</v>
      </c>
      <c r="D2040">
        <v>28</v>
      </c>
      <c r="E2040">
        <v>0</v>
      </c>
      <c r="F2040">
        <v>0</v>
      </c>
      <c r="G2040">
        <v>25</v>
      </c>
      <c r="H2040" t="s">
        <v>78</v>
      </c>
      <c r="I2040">
        <v>53</v>
      </c>
    </row>
    <row r="2041" spans="1:9" x14ac:dyDescent="0.3">
      <c r="A2041">
        <v>272</v>
      </c>
      <c r="B2041" t="s">
        <v>7</v>
      </c>
      <c r="C2041" t="s">
        <v>32</v>
      </c>
      <c r="D2041">
        <v>14</v>
      </c>
      <c r="E2041">
        <v>0</v>
      </c>
      <c r="F2041">
        <v>0</v>
      </c>
      <c r="G2041">
        <v>21</v>
      </c>
      <c r="H2041" t="s">
        <v>59</v>
      </c>
      <c r="I2041">
        <v>35</v>
      </c>
    </row>
    <row r="2042" spans="1:9" x14ac:dyDescent="0.3">
      <c r="A2042">
        <v>272</v>
      </c>
      <c r="B2042" t="s">
        <v>33</v>
      </c>
      <c r="C2042" t="s">
        <v>8</v>
      </c>
      <c r="D2042">
        <v>0</v>
      </c>
      <c r="E2042">
        <v>0</v>
      </c>
      <c r="F2042">
        <v>2</v>
      </c>
      <c r="G2042">
        <v>0</v>
      </c>
      <c r="H2042" t="s">
        <v>8</v>
      </c>
      <c r="I2042">
        <v>2</v>
      </c>
    </row>
    <row r="2043" spans="1:9" x14ac:dyDescent="0.3">
      <c r="A2043">
        <v>272</v>
      </c>
      <c r="B2043" t="s">
        <v>33</v>
      </c>
      <c r="C2043" t="s">
        <v>9</v>
      </c>
      <c r="D2043">
        <v>0</v>
      </c>
      <c r="E2043">
        <v>0</v>
      </c>
      <c r="F2043">
        <v>17</v>
      </c>
      <c r="G2043">
        <v>0</v>
      </c>
      <c r="H2043" t="s">
        <v>9</v>
      </c>
      <c r="I2043">
        <v>17</v>
      </c>
    </row>
    <row r="2044" spans="1:9" x14ac:dyDescent="0.3">
      <c r="A2044">
        <v>272</v>
      </c>
      <c r="B2044" t="s">
        <v>33</v>
      </c>
      <c r="C2044" t="s">
        <v>14</v>
      </c>
      <c r="D2044">
        <v>6</v>
      </c>
      <c r="E2044">
        <v>0</v>
      </c>
      <c r="F2044">
        <v>0</v>
      </c>
      <c r="G2044">
        <v>14</v>
      </c>
      <c r="H2044" t="s">
        <v>62</v>
      </c>
      <c r="I2044">
        <v>20</v>
      </c>
    </row>
    <row r="2045" spans="1:9" x14ac:dyDescent="0.3">
      <c r="A2045">
        <v>272</v>
      </c>
      <c r="B2045" t="s">
        <v>33</v>
      </c>
      <c r="C2045" t="s">
        <v>29</v>
      </c>
      <c r="D2045">
        <v>16</v>
      </c>
      <c r="E2045">
        <v>1</v>
      </c>
      <c r="F2045">
        <v>0</v>
      </c>
      <c r="G2045">
        <v>8</v>
      </c>
      <c r="H2045" t="s">
        <v>67</v>
      </c>
      <c r="I2045">
        <v>25</v>
      </c>
    </row>
    <row r="2046" spans="1:9" x14ac:dyDescent="0.3">
      <c r="A2046">
        <v>272</v>
      </c>
      <c r="B2046" t="s">
        <v>33</v>
      </c>
      <c r="C2046" t="s">
        <v>30</v>
      </c>
      <c r="D2046">
        <v>7</v>
      </c>
      <c r="E2046">
        <v>0</v>
      </c>
      <c r="F2046">
        <v>0</v>
      </c>
      <c r="G2046">
        <v>4</v>
      </c>
      <c r="H2046" t="s">
        <v>80</v>
      </c>
      <c r="I2046">
        <v>11</v>
      </c>
    </row>
    <row r="2047" spans="1:9" x14ac:dyDescent="0.3">
      <c r="A2047">
        <v>272</v>
      </c>
      <c r="B2047" t="s">
        <v>33</v>
      </c>
      <c r="C2047" t="s">
        <v>31</v>
      </c>
      <c r="D2047">
        <v>0</v>
      </c>
      <c r="E2047">
        <v>0</v>
      </c>
      <c r="F2047">
        <v>0</v>
      </c>
      <c r="G2047">
        <v>1</v>
      </c>
      <c r="H2047" t="s">
        <v>77</v>
      </c>
      <c r="I2047">
        <v>1</v>
      </c>
    </row>
    <row r="2048" spans="1:9" x14ac:dyDescent="0.3">
      <c r="A2048">
        <v>273</v>
      </c>
      <c r="B2048" t="s">
        <v>7</v>
      </c>
      <c r="C2048" t="s">
        <v>11</v>
      </c>
      <c r="D2048">
        <v>13</v>
      </c>
      <c r="E2048">
        <v>3</v>
      </c>
      <c r="F2048">
        <v>0</v>
      </c>
      <c r="G2048">
        <v>15</v>
      </c>
      <c r="H2048" t="s">
        <v>63</v>
      </c>
      <c r="I2048">
        <v>31</v>
      </c>
    </row>
    <row r="2049" spans="1:9" x14ac:dyDescent="0.3">
      <c r="A2049">
        <v>273</v>
      </c>
      <c r="B2049" t="s">
        <v>7</v>
      </c>
      <c r="C2049" t="s">
        <v>12</v>
      </c>
      <c r="D2049">
        <v>30</v>
      </c>
      <c r="E2049">
        <v>0</v>
      </c>
      <c r="F2049">
        <v>0</v>
      </c>
      <c r="G2049">
        <v>18</v>
      </c>
      <c r="H2049" t="s">
        <v>64</v>
      </c>
      <c r="I2049">
        <v>48</v>
      </c>
    </row>
    <row r="2050" spans="1:9" x14ac:dyDescent="0.3">
      <c r="A2050">
        <v>273</v>
      </c>
      <c r="B2050" t="s">
        <v>7</v>
      </c>
      <c r="C2050" t="s">
        <v>13</v>
      </c>
      <c r="D2050">
        <v>35</v>
      </c>
      <c r="E2050">
        <v>0</v>
      </c>
      <c r="F2050">
        <v>0</v>
      </c>
      <c r="G2050">
        <v>30</v>
      </c>
      <c r="H2050" t="s">
        <v>69</v>
      </c>
      <c r="I2050">
        <v>65</v>
      </c>
    </row>
    <row r="2051" spans="1:9" x14ac:dyDescent="0.3">
      <c r="A2051">
        <v>273</v>
      </c>
      <c r="B2051" t="s">
        <v>7</v>
      </c>
      <c r="C2051" t="s">
        <v>14</v>
      </c>
      <c r="D2051">
        <v>40</v>
      </c>
      <c r="E2051">
        <v>5</v>
      </c>
      <c r="F2051">
        <v>0</v>
      </c>
      <c r="G2051">
        <v>24</v>
      </c>
      <c r="H2051" t="s">
        <v>62</v>
      </c>
      <c r="I2051">
        <v>69</v>
      </c>
    </row>
    <row r="2052" spans="1:9" x14ac:dyDescent="0.3">
      <c r="A2052">
        <v>273</v>
      </c>
      <c r="B2052" t="s">
        <v>7</v>
      </c>
      <c r="C2052" t="s">
        <v>17</v>
      </c>
      <c r="D2052">
        <v>8</v>
      </c>
      <c r="E2052">
        <v>5</v>
      </c>
      <c r="F2052">
        <v>0</v>
      </c>
      <c r="G2052">
        <v>13</v>
      </c>
      <c r="H2052" t="s">
        <v>66</v>
      </c>
      <c r="I2052">
        <v>26</v>
      </c>
    </row>
    <row r="2053" spans="1:9" x14ac:dyDescent="0.3">
      <c r="A2053">
        <v>273</v>
      </c>
      <c r="B2053" t="s">
        <v>7</v>
      </c>
      <c r="C2053" t="s">
        <v>18</v>
      </c>
      <c r="D2053">
        <v>13</v>
      </c>
      <c r="E2053">
        <v>0</v>
      </c>
      <c r="F2053">
        <v>0</v>
      </c>
      <c r="G2053">
        <v>8</v>
      </c>
      <c r="H2053" t="s">
        <v>72</v>
      </c>
      <c r="I2053">
        <v>21</v>
      </c>
    </row>
    <row r="2054" spans="1:9" x14ac:dyDescent="0.3">
      <c r="A2054">
        <v>273</v>
      </c>
      <c r="B2054" t="s">
        <v>7</v>
      </c>
      <c r="C2054" t="s">
        <v>27</v>
      </c>
      <c r="D2054">
        <v>16</v>
      </c>
      <c r="E2054">
        <v>0</v>
      </c>
      <c r="F2054">
        <v>0</v>
      </c>
      <c r="G2054">
        <v>15</v>
      </c>
      <c r="H2054" t="s">
        <v>78</v>
      </c>
      <c r="I2054">
        <v>31</v>
      </c>
    </row>
    <row r="2055" spans="1:9" x14ac:dyDescent="0.3">
      <c r="A2055">
        <v>273</v>
      </c>
      <c r="B2055" t="s">
        <v>7</v>
      </c>
      <c r="C2055" t="s">
        <v>28</v>
      </c>
      <c r="D2055">
        <v>9</v>
      </c>
      <c r="E2055">
        <v>0</v>
      </c>
      <c r="F2055">
        <v>0</v>
      </c>
      <c r="G2055">
        <v>5</v>
      </c>
      <c r="H2055" t="s">
        <v>28</v>
      </c>
      <c r="I2055">
        <v>14</v>
      </c>
    </row>
    <row r="2056" spans="1:9" x14ac:dyDescent="0.3">
      <c r="A2056">
        <v>273</v>
      </c>
      <c r="B2056" t="s">
        <v>7</v>
      </c>
      <c r="C2056" t="s">
        <v>30</v>
      </c>
      <c r="D2056">
        <v>4</v>
      </c>
      <c r="E2056">
        <v>10</v>
      </c>
      <c r="F2056">
        <v>0</v>
      </c>
      <c r="G2056">
        <v>7</v>
      </c>
      <c r="H2056" t="s">
        <v>80</v>
      </c>
      <c r="I2056">
        <v>21</v>
      </c>
    </row>
    <row r="2057" spans="1:9" x14ac:dyDescent="0.3">
      <c r="A2057">
        <v>273</v>
      </c>
      <c r="B2057" t="s">
        <v>33</v>
      </c>
      <c r="C2057" t="s">
        <v>9</v>
      </c>
      <c r="D2057">
        <v>0</v>
      </c>
      <c r="E2057">
        <v>0</v>
      </c>
      <c r="F2057">
        <v>24</v>
      </c>
      <c r="G2057">
        <v>0</v>
      </c>
      <c r="H2057" t="s">
        <v>9</v>
      </c>
      <c r="I2057">
        <v>24</v>
      </c>
    </row>
    <row r="2058" spans="1:9" x14ac:dyDescent="0.3">
      <c r="A2058">
        <v>273</v>
      </c>
      <c r="B2058" t="s">
        <v>33</v>
      </c>
      <c r="C2058" t="s">
        <v>10</v>
      </c>
      <c r="D2058">
        <v>7</v>
      </c>
      <c r="E2058">
        <v>0</v>
      </c>
      <c r="F2058">
        <v>0</v>
      </c>
      <c r="G2058">
        <v>2</v>
      </c>
      <c r="H2058" t="s">
        <v>68</v>
      </c>
      <c r="I2058">
        <v>9</v>
      </c>
    </row>
    <row r="2059" spans="1:9" x14ac:dyDescent="0.3">
      <c r="A2059">
        <v>273</v>
      </c>
      <c r="B2059" t="s">
        <v>33</v>
      </c>
      <c r="C2059" t="s">
        <v>13</v>
      </c>
      <c r="D2059">
        <v>12</v>
      </c>
      <c r="E2059">
        <v>0</v>
      </c>
      <c r="F2059">
        <v>0</v>
      </c>
      <c r="G2059">
        <v>16</v>
      </c>
      <c r="H2059" t="s">
        <v>69</v>
      </c>
      <c r="I2059">
        <v>28</v>
      </c>
    </row>
    <row r="2060" spans="1:9" x14ac:dyDescent="0.3">
      <c r="A2060">
        <v>273</v>
      </c>
      <c r="B2060" t="s">
        <v>33</v>
      </c>
      <c r="C2060" t="s">
        <v>27</v>
      </c>
      <c r="D2060">
        <v>2</v>
      </c>
      <c r="E2060">
        <v>0</v>
      </c>
      <c r="F2060">
        <v>0</v>
      </c>
      <c r="G2060">
        <v>3</v>
      </c>
      <c r="H2060" t="s">
        <v>78</v>
      </c>
      <c r="I2060">
        <v>5</v>
      </c>
    </row>
    <row r="2061" spans="1:9" x14ac:dyDescent="0.3">
      <c r="A2061">
        <v>273</v>
      </c>
      <c r="B2061" t="s">
        <v>33</v>
      </c>
      <c r="C2061" t="s">
        <v>28</v>
      </c>
      <c r="D2061">
        <v>1</v>
      </c>
      <c r="E2061">
        <v>0</v>
      </c>
      <c r="F2061">
        <v>0</v>
      </c>
      <c r="G2061">
        <v>1</v>
      </c>
      <c r="H2061" t="s">
        <v>28</v>
      </c>
      <c r="I2061">
        <v>2</v>
      </c>
    </row>
    <row r="2062" spans="1:9" x14ac:dyDescent="0.3">
      <c r="A2062">
        <v>274</v>
      </c>
      <c r="B2062" t="s">
        <v>7</v>
      </c>
      <c r="C2062" t="s">
        <v>11</v>
      </c>
      <c r="D2062">
        <v>7</v>
      </c>
      <c r="E2062">
        <v>0</v>
      </c>
      <c r="F2062">
        <v>0</v>
      </c>
      <c r="G2062">
        <v>5</v>
      </c>
      <c r="H2062" t="s">
        <v>63</v>
      </c>
      <c r="I2062">
        <v>12</v>
      </c>
    </row>
    <row r="2063" spans="1:9" x14ac:dyDescent="0.3">
      <c r="A2063">
        <v>274</v>
      </c>
      <c r="B2063" t="s">
        <v>7</v>
      </c>
      <c r="C2063" t="s">
        <v>12</v>
      </c>
      <c r="D2063">
        <v>1</v>
      </c>
      <c r="E2063">
        <v>0</v>
      </c>
      <c r="F2063">
        <v>0</v>
      </c>
      <c r="G2063">
        <v>2</v>
      </c>
      <c r="H2063" t="s">
        <v>64</v>
      </c>
      <c r="I2063">
        <v>3</v>
      </c>
    </row>
    <row r="2064" spans="1:9" x14ac:dyDescent="0.3">
      <c r="A2064">
        <v>274</v>
      </c>
      <c r="B2064" t="s">
        <v>7</v>
      </c>
      <c r="C2064" t="s">
        <v>13</v>
      </c>
      <c r="D2064">
        <v>1</v>
      </c>
      <c r="E2064">
        <v>0</v>
      </c>
      <c r="F2064">
        <v>0</v>
      </c>
      <c r="G2064">
        <v>2</v>
      </c>
      <c r="H2064" t="s">
        <v>69</v>
      </c>
      <c r="I2064">
        <v>3</v>
      </c>
    </row>
    <row r="2065" spans="1:9" x14ac:dyDescent="0.3">
      <c r="A2065">
        <v>274</v>
      </c>
      <c r="B2065" t="s">
        <v>7</v>
      </c>
      <c r="C2065" t="s">
        <v>14</v>
      </c>
      <c r="D2065">
        <v>4</v>
      </c>
      <c r="E2065">
        <v>0</v>
      </c>
      <c r="F2065">
        <v>0</v>
      </c>
      <c r="G2065">
        <v>5</v>
      </c>
      <c r="H2065" t="s">
        <v>62</v>
      </c>
      <c r="I2065">
        <v>9</v>
      </c>
    </row>
    <row r="2066" spans="1:9" x14ac:dyDescent="0.3">
      <c r="A2066">
        <v>274</v>
      </c>
      <c r="B2066" t="s">
        <v>7</v>
      </c>
      <c r="C2066" t="s">
        <v>17</v>
      </c>
      <c r="D2066">
        <v>1</v>
      </c>
      <c r="E2066">
        <v>0</v>
      </c>
      <c r="F2066">
        <v>0</v>
      </c>
      <c r="G2066">
        <v>3</v>
      </c>
      <c r="H2066" t="s">
        <v>66</v>
      </c>
      <c r="I2066">
        <v>4</v>
      </c>
    </row>
    <row r="2067" spans="1:9" x14ac:dyDescent="0.3">
      <c r="A2067">
        <v>274</v>
      </c>
      <c r="B2067" t="s">
        <v>7</v>
      </c>
      <c r="C2067" t="s">
        <v>20</v>
      </c>
      <c r="D2067">
        <v>48</v>
      </c>
      <c r="E2067">
        <v>0</v>
      </c>
      <c r="F2067">
        <v>90</v>
      </c>
      <c r="G2067">
        <v>36</v>
      </c>
      <c r="H2067" t="s">
        <v>60</v>
      </c>
      <c r="I2067">
        <v>174</v>
      </c>
    </row>
    <row r="2068" spans="1:9" x14ac:dyDescent="0.3">
      <c r="A2068">
        <v>274</v>
      </c>
      <c r="B2068" t="s">
        <v>7</v>
      </c>
      <c r="C2068" t="s">
        <v>22</v>
      </c>
      <c r="D2068">
        <v>34</v>
      </c>
      <c r="E2068">
        <v>0</v>
      </c>
      <c r="F2068">
        <v>0</v>
      </c>
      <c r="G2068">
        <v>39</v>
      </c>
      <c r="H2068" t="s">
        <v>76</v>
      </c>
      <c r="I2068">
        <v>73</v>
      </c>
    </row>
    <row r="2069" spans="1:9" x14ac:dyDescent="0.3">
      <c r="A2069">
        <v>274</v>
      </c>
      <c r="B2069" t="s">
        <v>7</v>
      </c>
      <c r="C2069" t="s">
        <v>27</v>
      </c>
      <c r="D2069">
        <v>0</v>
      </c>
      <c r="E2069">
        <v>2</v>
      </c>
      <c r="F2069">
        <v>0</v>
      </c>
      <c r="G2069">
        <v>3</v>
      </c>
      <c r="H2069" t="s">
        <v>78</v>
      </c>
      <c r="I2069">
        <v>5</v>
      </c>
    </row>
    <row r="2070" spans="1:9" x14ac:dyDescent="0.3">
      <c r="A2070">
        <v>274</v>
      </c>
      <c r="B2070" t="s">
        <v>7</v>
      </c>
      <c r="C2070" t="s">
        <v>30</v>
      </c>
      <c r="D2070">
        <v>10</v>
      </c>
      <c r="E2070">
        <v>0</v>
      </c>
      <c r="F2070">
        <v>0</v>
      </c>
      <c r="G2070">
        <v>5</v>
      </c>
      <c r="H2070" t="s">
        <v>80</v>
      </c>
      <c r="I2070">
        <v>15</v>
      </c>
    </row>
    <row r="2071" spans="1:9" x14ac:dyDescent="0.3">
      <c r="A2071">
        <v>274</v>
      </c>
      <c r="B2071" t="s">
        <v>7</v>
      </c>
      <c r="C2071" t="s">
        <v>31</v>
      </c>
      <c r="D2071">
        <v>8</v>
      </c>
      <c r="E2071">
        <v>0</v>
      </c>
      <c r="F2071">
        <v>0</v>
      </c>
      <c r="G2071">
        <v>5</v>
      </c>
      <c r="H2071" t="s">
        <v>77</v>
      </c>
      <c r="I2071">
        <v>13</v>
      </c>
    </row>
    <row r="2072" spans="1:9" x14ac:dyDescent="0.3">
      <c r="A2072">
        <v>274</v>
      </c>
      <c r="B2072" t="s">
        <v>7</v>
      </c>
      <c r="C2072" t="s">
        <v>32</v>
      </c>
      <c r="D2072">
        <v>2</v>
      </c>
      <c r="E2072">
        <v>0</v>
      </c>
      <c r="F2072">
        <v>0</v>
      </c>
      <c r="G2072">
        <v>3</v>
      </c>
      <c r="H2072" t="s">
        <v>59</v>
      </c>
      <c r="I2072">
        <v>5</v>
      </c>
    </row>
    <row r="2073" spans="1:9" x14ac:dyDescent="0.3">
      <c r="A2073">
        <v>274</v>
      </c>
      <c r="B2073" t="s">
        <v>33</v>
      </c>
      <c r="C2073" t="s">
        <v>8</v>
      </c>
      <c r="D2073">
        <v>0</v>
      </c>
      <c r="E2073">
        <v>0</v>
      </c>
      <c r="F2073">
        <v>1</v>
      </c>
      <c r="G2073">
        <v>0</v>
      </c>
      <c r="H2073" t="s">
        <v>8</v>
      </c>
      <c r="I2073">
        <v>1</v>
      </c>
    </row>
    <row r="2074" spans="1:9" x14ac:dyDescent="0.3">
      <c r="A2074">
        <v>274</v>
      </c>
      <c r="B2074" t="s">
        <v>33</v>
      </c>
      <c r="C2074" t="s">
        <v>9</v>
      </c>
      <c r="D2074">
        <v>0</v>
      </c>
      <c r="E2074">
        <v>0</v>
      </c>
      <c r="F2074">
        <v>5</v>
      </c>
      <c r="G2074">
        <v>0</v>
      </c>
      <c r="H2074" t="s">
        <v>9</v>
      </c>
      <c r="I2074">
        <v>5</v>
      </c>
    </row>
    <row r="2075" spans="1:9" x14ac:dyDescent="0.3">
      <c r="A2075">
        <v>274</v>
      </c>
      <c r="B2075" t="s">
        <v>33</v>
      </c>
      <c r="C2075" t="s">
        <v>20</v>
      </c>
      <c r="D2075">
        <v>4</v>
      </c>
      <c r="E2075">
        <v>0</v>
      </c>
      <c r="F2075">
        <v>22</v>
      </c>
      <c r="G2075">
        <v>10</v>
      </c>
      <c r="H2075" t="s">
        <v>60</v>
      </c>
      <c r="I2075">
        <v>36</v>
      </c>
    </row>
    <row r="2076" spans="1:9" x14ac:dyDescent="0.3">
      <c r="A2076">
        <v>275</v>
      </c>
      <c r="B2076" t="s">
        <v>7</v>
      </c>
      <c r="C2076" t="s">
        <v>11</v>
      </c>
      <c r="D2076">
        <v>27</v>
      </c>
      <c r="E2076">
        <v>3</v>
      </c>
      <c r="F2076">
        <v>0</v>
      </c>
      <c r="G2076">
        <v>13</v>
      </c>
      <c r="H2076" t="s">
        <v>63</v>
      </c>
      <c r="I2076">
        <v>43</v>
      </c>
    </row>
    <row r="2077" spans="1:9" x14ac:dyDescent="0.3">
      <c r="A2077">
        <v>275</v>
      </c>
      <c r="B2077" t="s">
        <v>7</v>
      </c>
      <c r="C2077" t="s">
        <v>14</v>
      </c>
      <c r="D2077">
        <v>20</v>
      </c>
      <c r="E2077">
        <v>0</v>
      </c>
      <c r="F2077">
        <v>0</v>
      </c>
      <c r="G2077">
        <v>15</v>
      </c>
      <c r="H2077" t="s">
        <v>62</v>
      </c>
      <c r="I2077">
        <v>35</v>
      </c>
    </row>
    <row r="2078" spans="1:9" x14ac:dyDescent="0.3">
      <c r="A2078">
        <v>275</v>
      </c>
      <c r="B2078" t="s">
        <v>7</v>
      </c>
      <c r="C2078" t="s">
        <v>17</v>
      </c>
      <c r="D2078">
        <v>5</v>
      </c>
      <c r="E2078">
        <v>4</v>
      </c>
      <c r="F2078">
        <v>0</v>
      </c>
      <c r="G2078">
        <v>9</v>
      </c>
      <c r="H2078" t="s">
        <v>66</v>
      </c>
      <c r="I2078">
        <v>18</v>
      </c>
    </row>
    <row r="2079" spans="1:9" x14ac:dyDescent="0.3">
      <c r="A2079">
        <v>275</v>
      </c>
      <c r="B2079" t="s">
        <v>7</v>
      </c>
      <c r="C2079" t="s">
        <v>20</v>
      </c>
      <c r="D2079">
        <v>7</v>
      </c>
      <c r="E2079">
        <v>0</v>
      </c>
      <c r="F2079">
        <v>11</v>
      </c>
      <c r="G2079">
        <v>6</v>
      </c>
      <c r="H2079" t="s">
        <v>60</v>
      </c>
      <c r="I2079">
        <v>24</v>
      </c>
    </row>
    <row r="2080" spans="1:9" x14ac:dyDescent="0.3">
      <c r="A2080">
        <v>275</v>
      </c>
      <c r="B2080" t="s">
        <v>7</v>
      </c>
      <c r="C2080" t="s">
        <v>27</v>
      </c>
      <c r="D2080">
        <v>0</v>
      </c>
      <c r="E2080">
        <v>0</v>
      </c>
      <c r="F2080">
        <v>0</v>
      </c>
      <c r="G2080">
        <v>7</v>
      </c>
      <c r="H2080" t="s">
        <v>78</v>
      </c>
      <c r="I2080">
        <v>7</v>
      </c>
    </row>
    <row r="2081" spans="1:9" x14ac:dyDescent="0.3">
      <c r="A2081">
        <v>275</v>
      </c>
      <c r="B2081" t="s">
        <v>7</v>
      </c>
      <c r="C2081" t="s">
        <v>30</v>
      </c>
      <c r="D2081">
        <v>60</v>
      </c>
      <c r="E2081">
        <v>8</v>
      </c>
      <c r="F2081">
        <v>0</v>
      </c>
      <c r="G2081">
        <v>32</v>
      </c>
      <c r="H2081" t="s">
        <v>80</v>
      </c>
      <c r="I2081">
        <v>100</v>
      </c>
    </row>
    <row r="2082" spans="1:9" x14ac:dyDescent="0.3">
      <c r="A2082">
        <v>275</v>
      </c>
      <c r="B2082" t="s">
        <v>7</v>
      </c>
      <c r="C2082" t="s">
        <v>31</v>
      </c>
      <c r="D2082">
        <v>4</v>
      </c>
      <c r="E2082">
        <v>0</v>
      </c>
      <c r="F2082">
        <v>0</v>
      </c>
      <c r="G2082">
        <v>8</v>
      </c>
      <c r="H2082" t="s">
        <v>77</v>
      </c>
      <c r="I2082">
        <v>12</v>
      </c>
    </row>
    <row r="2083" spans="1:9" x14ac:dyDescent="0.3">
      <c r="A2083">
        <v>275</v>
      </c>
      <c r="B2083" t="s">
        <v>7</v>
      </c>
      <c r="C2083" t="s">
        <v>32</v>
      </c>
      <c r="D2083">
        <v>10</v>
      </c>
      <c r="E2083">
        <v>0</v>
      </c>
      <c r="F2083">
        <v>0</v>
      </c>
      <c r="G2083">
        <v>11</v>
      </c>
      <c r="H2083" t="s">
        <v>59</v>
      </c>
      <c r="I2083">
        <v>21</v>
      </c>
    </row>
    <row r="2084" spans="1:9" x14ac:dyDescent="0.3">
      <c r="A2084">
        <v>275</v>
      </c>
      <c r="B2084" t="s">
        <v>33</v>
      </c>
      <c r="C2084" t="s">
        <v>8</v>
      </c>
      <c r="D2084">
        <v>0</v>
      </c>
      <c r="E2084">
        <v>0</v>
      </c>
      <c r="F2084">
        <v>5</v>
      </c>
      <c r="G2084">
        <v>0</v>
      </c>
      <c r="H2084" t="s">
        <v>8</v>
      </c>
      <c r="I2084">
        <v>5</v>
      </c>
    </row>
    <row r="2085" spans="1:9" x14ac:dyDescent="0.3">
      <c r="A2085">
        <v>275</v>
      </c>
      <c r="B2085" t="s">
        <v>33</v>
      </c>
      <c r="C2085" t="s">
        <v>9</v>
      </c>
      <c r="D2085">
        <v>0</v>
      </c>
      <c r="E2085">
        <v>0</v>
      </c>
      <c r="F2085">
        <v>42</v>
      </c>
      <c r="G2085">
        <v>0</v>
      </c>
      <c r="H2085" t="s">
        <v>9</v>
      </c>
      <c r="I2085">
        <v>42</v>
      </c>
    </row>
    <row r="2086" spans="1:9" x14ac:dyDescent="0.3">
      <c r="A2086">
        <v>275</v>
      </c>
      <c r="B2086" t="s">
        <v>33</v>
      </c>
      <c r="C2086" t="s">
        <v>11</v>
      </c>
      <c r="D2086">
        <v>5</v>
      </c>
      <c r="E2086">
        <v>0</v>
      </c>
      <c r="F2086">
        <v>0</v>
      </c>
      <c r="G2086">
        <v>2</v>
      </c>
      <c r="H2086" t="s">
        <v>63</v>
      </c>
      <c r="I2086">
        <v>7</v>
      </c>
    </row>
    <row r="2087" spans="1:9" x14ac:dyDescent="0.3">
      <c r="A2087">
        <v>275</v>
      </c>
      <c r="B2087" t="s">
        <v>33</v>
      </c>
      <c r="C2087" t="s">
        <v>14</v>
      </c>
      <c r="D2087">
        <v>6</v>
      </c>
      <c r="E2087">
        <v>0</v>
      </c>
      <c r="F2087">
        <v>0</v>
      </c>
      <c r="G2087">
        <v>2</v>
      </c>
      <c r="H2087" t="s">
        <v>62</v>
      </c>
      <c r="I2087">
        <v>8</v>
      </c>
    </row>
    <row r="2088" spans="1:9" x14ac:dyDescent="0.3">
      <c r="A2088">
        <v>275</v>
      </c>
      <c r="B2088" t="s">
        <v>33</v>
      </c>
      <c r="C2088" t="s">
        <v>17</v>
      </c>
      <c r="D2088">
        <v>2</v>
      </c>
      <c r="E2088">
        <v>0</v>
      </c>
      <c r="F2088">
        <v>0</v>
      </c>
      <c r="G2088">
        <v>2</v>
      </c>
      <c r="H2088" t="s">
        <v>66</v>
      </c>
      <c r="I2088">
        <v>4</v>
      </c>
    </row>
    <row r="2089" spans="1:9" x14ac:dyDescent="0.3">
      <c r="A2089">
        <v>275</v>
      </c>
      <c r="B2089" t="s">
        <v>33</v>
      </c>
      <c r="C2089" t="s">
        <v>20</v>
      </c>
      <c r="D2089">
        <v>34</v>
      </c>
      <c r="E2089">
        <v>1</v>
      </c>
      <c r="F2089">
        <v>49</v>
      </c>
      <c r="G2089">
        <v>24</v>
      </c>
      <c r="H2089" t="s">
        <v>60</v>
      </c>
      <c r="I2089">
        <v>108</v>
      </c>
    </row>
    <row r="2090" spans="1:9" x14ac:dyDescent="0.3">
      <c r="A2090">
        <v>275</v>
      </c>
      <c r="B2090" t="s">
        <v>33</v>
      </c>
      <c r="C2090" t="s">
        <v>22</v>
      </c>
      <c r="D2090">
        <v>72</v>
      </c>
      <c r="E2090">
        <v>10</v>
      </c>
      <c r="F2090">
        <v>0</v>
      </c>
      <c r="G2090">
        <v>40</v>
      </c>
      <c r="H2090" t="s">
        <v>76</v>
      </c>
      <c r="I2090">
        <v>122</v>
      </c>
    </row>
    <row r="2091" spans="1:9" x14ac:dyDescent="0.3">
      <c r="A2091">
        <v>275</v>
      </c>
      <c r="B2091" t="s">
        <v>33</v>
      </c>
      <c r="C2091" t="s">
        <v>27</v>
      </c>
      <c r="D2091">
        <v>1</v>
      </c>
      <c r="E2091">
        <v>7</v>
      </c>
      <c r="F2091">
        <v>0</v>
      </c>
      <c r="G2091">
        <v>4</v>
      </c>
      <c r="H2091" t="s">
        <v>78</v>
      </c>
      <c r="I2091">
        <v>12</v>
      </c>
    </row>
    <row r="2092" spans="1:9" x14ac:dyDescent="0.3">
      <c r="A2092">
        <v>275</v>
      </c>
      <c r="B2092" t="s">
        <v>33</v>
      </c>
      <c r="C2092" t="s">
        <v>31</v>
      </c>
      <c r="D2092">
        <v>5</v>
      </c>
      <c r="E2092">
        <v>1</v>
      </c>
      <c r="F2092">
        <v>0</v>
      </c>
      <c r="G2092">
        <v>3</v>
      </c>
      <c r="H2092" t="s">
        <v>77</v>
      </c>
      <c r="I2092">
        <v>9</v>
      </c>
    </row>
    <row r="2093" spans="1:9" x14ac:dyDescent="0.3">
      <c r="A2093">
        <v>276</v>
      </c>
      <c r="B2093" t="s">
        <v>7</v>
      </c>
      <c r="C2093" t="s">
        <v>14</v>
      </c>
      <c r="D2093">
        <v>4</v>
      </c>
      <c r="E2093">
        <v>0</v>
      </c>
      <c r="F2093">
        <v>0</v>
      </c>
      <c r="G2093">
        <v>5</v>
      </c>
      <c r="H2093" t="s">
        <v>62</v>
      </c>
      <c r="I2093">
        <v>9</v>
      </c>
    </row>
    <row r="2094" spans="1:9" x14ac:dyDescent="0.3">
      <c r="A2094">
        <v>276</v>
      </c>
      <c r="B2094" t="s">
        <v>7</v>
      </c>
      <c r="C2094" t="s">
        <v>17</v>
      </c>
      <c r="D2094">
        <v>7</v>
      </c>
      <c r="E2094">
        <v>0</v>
      </c>
      <c r="F2094">
        <v>0</v>
      </c>
      <c r="G2094">
        <v>5</v>
      </c>
      <c r="H2094" t="s">
        <v>66</v>
      </c>
      <c r="I2094">
        <v>12</v>
      </c>
    </row>
    <row r="2095" spans="1:9" x14ac:dyDescent="0.3">
      <c r="A2095">
        <v>276</v>
      </c>
      <c r="B2095" t="s">
        <v>7</v>
      </c>
      <c r="C2095" t="s">
        <v>30</v>
      </c>
      <c r="D2095">
        <v>36</v>
      </c>
      <c r="E2095">
        <v>0</v>
      </c>
      <c r="F2095">
        <v>0</v>
      </c>
      <c r="G2095">
        <v>15</v>
      </c>
      <c r="H2095" t="s">
        <v>80</v>
      </c>
      <c r="I2095">
        <v>51</v>
      </c>
    </row>
    <row r="2096" spans="1:9" x14ac:dyDescent="0.3">
      <c r="A2096">
        <v>276</v>
      </c>
      <c r="B2096" t="s">
        <v>7</v>
      </c>
      <c r="C2096" t="s">
        <v>31</v>
      </c>
      <c r="D2096">
        <v>29</v>
      </c>
      <c r="E2096">
        <v>0</v>
      </c>
      <c r="F2096">
        <v>0</v>
      </c>
      <c r="G2096">
        <v>20</v>
      </c>
      <c r="H2096" t="s">
        <v>77</v>
      </c>
      <c r="I2096">
        <v>49</v>
      </c>
    </row>
    <row r="2097" spans="1:9" x14ac:dyDescent="0.3">
      <c r="A2097">
        <v>276</v>
      </c>
      <c r="B2097" t="s">
        <v>7</v>
      </c>
      <c r="C2097" t="s">
        <v>32</v>
      </c>
      <c r="D2097">
        <v>25</v>
      </c>
      <c r="E2097">
        <v>0</v>
      </c>
      <c r="F2097">
        <v>0</v>
      </c>
      <c r="G2097">
        <v>17</v>
      </c>
      <c r="H2097" t="s">
        <v>59</v>
      </c>
      <c r="I2097">
        <v>42</v>
      </c>
    </row>
    <row r="2098" spans="1:9" x14ac:dyDescent="0.3">
      <c r="A2098">
        <v>276</v>
      </c>
      <c r="B2098" t="s">
        <v>33</v>
      </c>
      <c r="C2098" t="s">
        <v>9</v>
      </c>
      <c r="D2098">
        <v>0</v>
      </c>
      <c r="E2098">
        <v>0</v>
      </c>
      <c r="F2098">
        <v>9</v>
      </c>
      <c r="G2098">
        <v>0</v>
      </c>
      <c r="H2098" t="s">
        <v>9</v>
      </c>
      <c r="I2098">
        <v>9</v>
      </c>
    </row>
    <row r="2099" spans="1:9" x14ac:dyDescent="0.3">
      <c r="A2099">
        <v>276</v>
      </c>
      <c r="B2099" t="s">
        <v>33</v>
      </c>
      <c r="C2099" t="s">
        <v>10</v>
      </c>
      <c r="D2099">
        <v>0</v>
      </c>
      <c r="E2099">
        <v>4</v>
      </c>
      <c r="F2099">
        <v>0</v>
      </c>
      <c r="G2099">
        <v>3</v>
      </c>
      <c r="H2099" t="s">
        <v>68</v>
      </c>
      <c r="I2099">
        <v>7</v>
      </c>
    </row>
    <row r="2100" spans="1:9" x14ac:dyDescent="0.3">
      <c r="A2100">
        <v>276</v>
      </c>
      <c r="B2100" t="s">
        <v>33</v>
      </c>
      <c r="C2100" t="s">
        <v>11</v>
      </c>
      <c r="D2100">
        <v>9</v>
      </c>
      <c r="E2100">
        <v>0</v>
      </c>
      <c r="F2100">
        <v>0</v>
      </c>
      <c r="G2100">
        <v>14</v>
      </c>
      <c r="H2100" t="s">
        <v>63</v>
      </c>
      <c r="I2100">
        <v>23</v>
      </c>
    </row>
    <row r="2101" spans="1:9" x14ac:dyDescent="0.3">
      <c r="A2101">
        <v>276</v>
      </c>
      <c r="B2101" t="s">
        <v>33</v>
      </c>
      <c r="C2101" t="s">
        <v>14</v>
      </c>
      <c r="D2101">
        <v>24</v>
      </c>
      <c r="E2101">
        <v>1</v>
      </c>
      <c r="F2101">
        <v>0</v>
      </c>
      <c r="G2101">
        <v>17</v>
      </c>
      <c r="H2101" t="s">
        <v>62</v>
      </c>
      <c r="I2101">
        <v>42</v>
      </c>
    </row>
    <row r="2102" spans="1:9" x14ac:dyDescent="0.3">
      <c r="A2102">
        <v>276</v>
      </c>
      <c r="B2102" t="s">
        <v>33</v>
      </c>
      <c r="C2102" t="s">
        <v>17</v>
      </c>
      <c r="D2102">
        <v>3</v>
      </c>
      <c r="E2102">
        <v>0</v>
      </c>
      <c r="F2102">
        <v>0</v>
      </c>
      <c r="G2102">
        <v>9</v>
      </c>
      <c r="H2102" t="s">
        <v>66</v>
      </c>
      <c r="I2102">
        <v>12</v>
      </c>
    </row>
    <row r="2103" spans="1:9" x14ac:dyDescent="0.3">
      <c r="A2103">
        <v>276</v>
      </c>
      <c r="B2103" t="s">
        <v>33</v>
      </c>
      <c r="C2103" t="s">
        <v>27</v>
      </c>
      <c r="D2103">
        <v>0</v>
      </c>
      <c r="E2103">
        <v>0</v>
      </c>
      <c r="F2103">
        <v>0</v>
      </c>
      <c r="G2103">
        <v>2</v>
      </c>
      <c r="H2103" t="s">
        <v>78</v>
      </c>
      <c r="I2103">
        <v>2</v>
      </c>
    </row>
    <row r="2104" spans="1:9" x14ac:dyDescent="0.3">
      <c r="A2104">
        <v>276</v>
      </c>
      <c r="B2104" t="s">
        <v>33</v>
      </c>
      <c r="C2104" t="s">
        <v>30</v>
      </c>
      <c r="D2104">
        <v>9</v>
      </c>
      <c r="E2104">
        <v>0</v>
      </c>
      <c r="F2104">
        <v>0</v>
      </c>
      <c r="G2104">
        <v>6</v>
      </c>
      <c r="H2104" t="s">
        <v>80</v>
      </c>
      <c r="I2104">
        <v>15</v>
      </c>
    </row>
    <row r="2105" spans="1:9" x14ac:dyDescent="0.3">
      <c r="A2105">
        <v>276</v>
      </c>
      <c r="B2105" t="s">
        <v>33</v>
      </c>
      <c r="C2105" t="s">
        <v>31</v>
      </c>
      <c r="D2105">
        <v>0</v>
      </c>
      <c r="E2105">
        <v>0</v>
      </c>
      <c r="F2105">
        <v>0</v>
      </c>
      <c r="G2105">
        <v>2</v>
      </c>
      <c r="H2105" t="s">
        <v>77</v>
      </c>
      <c r="I2105">
        <v>2</v>
      </c>
    </row>
    <row r="2106" spans="1:9" x14ac:dyDescent="0.3">
      <c r="A2106">
        <v>277</v>
      </c>
      <c r="B2106" t="s">
        <v>7</v>
      </c>
      <c r="C2106" t="s">
        <v>14</v>
      </c>
      <c r="D2106">
        <v>24</v>
      </c>
      <c r="E2106">
        <v>0</v>
      </c>
      <c r="F2106">
        <v>0</v>
      </c>
      <c r="G2106">
        <v>22</v>
      </c>
      <c r="H2106" t="s">
        <v>62</v>
      </c>
      <c r="I2106">
        <v>46</v>
      </c>
    </row>
    <row r="2107" spans="1:9" x14ac:dyDescent="0.3">
      <c r="A2107">
        <v>277</v>
      </c>
      <c r="B2107" t="s">
        <v>7</v>
      </c>
      <c r="C2107" t="s">
        <v>15</v>
      </c>
      <c r="D2107">
        <v>0</v>
      </c>
      <c r="E2107">
        <v>0</v>
      </c>
      <c r="F2107">
        <v>0</v>
      </c>
      <c r="G2107">
        <v>1</v>
      </c>
      <c r="H2107" t="s">
        <v>65</v>
      </c>
      <c r="I2107">
        <v>1</v>
      </c>
    </row>
    <row r="2108" spans="1:9" x14ac:dyDescent="0.3">
      <c r="A2108">
        <v>277</v>
      </c>
      <c r="B2108" t="s">
        <v>7</v>
      </c>
      <c r="C2108" t="s">
        <v>17</v>
      </c>
      <c r="D2108">
        <v>16</v>
      </c>
      <c r="E2108">
        <v>2</v>
      </c>
      <c r="F2108">
        <v>0</v>
      </c>
      <c r="G2108">
        <v>14</v>
      </c>
      <c r="H2108" t="s">
        <v>66</v>
      </c>
      <c r="I2108">
        <v>32</v>
      </c>
    </row>
    <row r="2109" spans="1:9" x14ac:dyDescent="0.3">
      <c r="A2109">
        <v>277</v>
      </c>
      <c r="B2109" t="s">
        <v>7</v>
      </c>
      <c r="C2109" t="s">
        <v>31</v>
      </c>
      <c r="D2109">
        <v>30</v>
      </c>
      <c r="E2109">
        <v>10</v>
      </c>
      <c r="F2109">
        <v>0</v>
      </c>
      <c r="G2109">
        <v>20</v>
      </c>
      <c r="H2109" t="s">
        <v>77</v>
      </c>
      <c r="I2109">
        <v>60</v>
      </c>
    </row>
    <row r="2110" spans="1:9" x14ac:dyDescent="0.3">
      <c r="A2110">
        <v>277</v>
      </c>
      <c r="B2110" t="s">
        <v>7</v>
      </c>
      <c r="C2110" t="s">
        <v>32</v>
      </c>
      <c r="D2110">
        <v>22</v>
      </c>
      <c r="E2110">
        <v>0</v>
      </c>
      <c r="F2110">
        <v>0</v>
      </c>
      <c r="G2110">
        <v>22</v>
      </c>
      <c r="H2110" t="s">
        <v>59</v>
      </c>
      <c r="I2110">
        <v>44</v>
      </c>
    </row>
    <row r="2111" spans="1:9" x14ac:dyDescent="0.3">
      <c r="A2111">
        <v>277</v>
      </c>
      <c r="B2111" t="s">
        <v>33</v>
      </c>
      <c r="C2111" t="s">
        <v>9</v>
      </c>
      <c r="D2111">
        <v>0</v>
      </c>
      <c r="E2111">
        <v>0</v>
      </c>
      <c r="F2111">
        <v>7</v>
      </c>
      <c r="G2111">
        <v>0</v>
      </c>
      <c r="H2111" t="s">
        <v>9</v>
      </c>
      <c r="I2111">
        <v>7</v>
      </c>
    </row>
    <row r="2112" spans="1:9" x14ac:dyDescent="0.3">
      <c r="A2112">
        <v>277</v>
      </c>
      <c r="B2112" t="s">
        <v>33</v>
      </c>
      <c r="C2112" t="s">
        <v>10</v>
      </c>
      <c r="D2112">
        <v>27</v>
      </c>
      <c r="E2112">
        <v>0</v>
      </c>
      <c r="F2112">
        <v>0</v>
      </c>
      <c r="G2112">
        <v>25</v>
      </c>
      <c r="H2112" t="s">
        <v>68</v>
      </c>
      <c r="I2112">
        <v>52</v>
      </c>
    </row>
    <row r="2113" spans="1:9" x14ac:dyDescent="0.3">
      <c r="A2113">
        <v>277</v>
      </c>
      <c r="B2113" t="s">
        <v>33</v>
      </c>
      <c r="C2113" t="s">
        <v>17</v>
      </c>
      <c r="D2113">
        <v>7</v>
      </c>
      <c r="E2113">
        <v>0</v>
      </c>
      <c r="F2113">
        <v>0</v>
      </c>
      <c r="G2113">
        <v>2</v>
      </c>
      <c r="H2113" t="s">
        <v>66</v>
      </c>
      <c r="I2113">
        <v>9</v>
      </c>
    </row>
    <row r="2114" spans="1:9" x14ac:dyDescent="0.3">
      <c r="A2114">
        <v>277</v>
      </c>
      <c r="B2114" t="s">
        <v>33</v>
      </c>
      <c r="C2114" t="s">
        <v>27</v>
      </c>
      <c r="D2114">
        <v>3</v>
      </c>
      <c r="E2114">
        <v>0</v>
      </c>
      <c r="F2114">
        <v>0</v>
      </c>
      <c r="G2114">
        <v>6</v>
      </c>
      <c r="H2114" t="s">
        <v>78</v>
      </c>
      <c r="I2114">
        <v>9</v>
      </c>
    </row>
    <row r="2115" spans="1:9" x14ac:dyDescent="0.3">
      <c r="A2115">
        <v>277</v>
      </c>
      <c r="B2115" t="s">
        <v>33</v>
      </c>
      <c r="C2115" t="s">
        <v>30</v>
      </c>
      <c r="D2115">
        <v>1</v>
      </c>
      <c r="E2115">
        <v>0</v>
      </c>
      <c r="F2115">
        <v>0</v>
      </c>
      <c r="G2115">
        <v>3</v>
      </c>
      <c r="H2115" t="s">
        <v>80</v>
      </c>
      <c r="I2115">
        <v>4</v>
      </c>
    </row>
    <row r="2116" spans="1:9" x14ac:dyDescent="0.3">
      <c r="A2116">
        <v>278</v>
      </c>
      <c r="B2116" t="s">
        <v>7</v>
      </c>
      <c r="C2116" t="s">
        <v>11</v>
      </c>
      <c r="D2116">
        <v>7</v>
      </c>
      <c r="E2116">
        <v>0</v>
      </c>
      <c r="F2116">
        <v>0</v>
      </c>
      <c r="G2116">
        <v>9</v>
      </c>
      <c r="H2116" t="s">
        <v>63</v>
      </c>
      <c r="I2116">
        <v>16</v>
      </c>
    </row>
    <row r="2117" spans="1:9" x14ac:dyDescent="0.3">
      <c r="A2117">
        <v>278</v>
      </c>
      <c r="B2117" t="s">
        <v>7</v>
      </c>
      <c r="C2117" t="s">
        <v>14</v>
      </c>
      <c r="D2117">
        <v>18</v>
      </c>
      <c r="E2117">
        <v>4</v>
      </c>
      <c r="F2117">
        <v>0</v>
      </c>
      <c r="G2117">
        <v>15</v>
      </c>
      <c r="H2117" t="s">
        <v>62</v>
      </c>
      <c r="I2117">
        <v>37</v>
      </c>
    </row>
    <row r="2118" spans="1:9" x14ac:dyDescent="0.3">
      <c r="A2118">
        <v>278</v>
      </c>
      <c r="B2118" t="s">
        <v>7</v>
      </c>
      <c r="C2118" t="s">
        <v>15</v>
      </c>
      <c r="D2118">
        <v>0</v>
      </c>
      <c r="E2118">
        <v>0</v>
      </c>
      <c r="F2118">
        <v>0</v>
      </c>
      <c r="G2118">
        <v>1</v>
      </c>
      <c r="H2118" t="s">
        <v>65</v>
      </c>
      <c r="I2118">
        <v>1</v>
      </c>
    </row>
    <row r="2119" spans="1:9" x14ac:dyDescent="0.3">
      <c r="A2119">
        <v>278</v>
      </c>
      <c r="B2119" t="s">
        <v>7</v>
      </c>
      <c r="C2119" t="s">
        <v>17</v>
      </c>
      <c r="D2119">
        <v>9</v>
      </c>
      <c r="E2119">
        <v>37</v>
      </c>
      <c r="F2119">
        <v>0</v>
      </c>
      <c r="G2119">
        <v>15</v>
      </c>
      <c r="H2119" t="s">
        <v>66</v>
      </c>
      <c r="I2119">
        <v>61</v>
      </c>
    </row>
    <row r="2120" spans="1:9" x14ac:dyDescent="0.3">
      <c r="A2120">
        <v>278</v>
      </c>
      <c r="B2120" t="s">
        <v>7</v>
      </c>
      <c r="C2120" t="s">
        <v>22</v>
      </c>
      <c r="D2120">
        <v>32</v>
      </c>
      <c r="E2120">
        <v>0</v>
      </c>
      <c r="F2120">
        <v>0</v>
      </c>
      <c r="G2120">
        <v>24</v>
      </c>
      <c r="H2120" t="s">
        <v>76</v>
      </c>
      <c r="I2120">
        <v>56</v>
      </c>
    </row>
    <row r="2121" spans="1:9" x14ac:dyDescent="0.3">
      <c r="A2121">
        <v>278</v>
      </c>
      <c r="B2121" t="s">
        <v>7</v>
      </c>
      <c r="C2121" t="s">
        <v>27</v>
      </c>
      <c r="D2121">
        <v>5</v>
      </c>
      <c r="E2121">
        <v>5</v>
      </c>
      <c r="F2121">
        <v>0</v>
      </c>
      <c r="G2121">
        <v>7</v>
      </c>
      <c r="H2121" t="s">
        <v>78</v>
      </c>
      <c r="I2121">
        <v>17</v>
      </c>
    </row>
    <row r="2122" spans="1:9" x14ac:dyDescent="0.3">
      <c r="A2122">
        <v>278</v>
      </c>
      <c r="B2122" t="s">
        <v>7</v>
      </c>
      <c r="C2122" t="s">
        <v>30</v>
      </c>
      <c r="D2122">
        <v>10</v>
      </c>
      <c r="E2122">
        <v>0</v>
      </c>
      <c r="F2122">
        <v>0</v>
      </c>
      <c r="G2122">
        <v>6</v>
      </c>
      <c r="H2122" t="s">
        <v>80</v>
      </c>
      <c r="I2122">
        <v>16</v>
      </c>
    </row>
    <row r="2123" spans="1:9" x14ac:dyDescent="0.3">
      <c r="A2123">
        <v>278</v>
      </c>
      <c r="B2123" t="s">
        <v>7</v>
      </c>
      <c r="C2123" t="s">
        <v>31</v>
      </c>
      <c r="D2123">
        <v>14</v>
      </c>
      <c r="E2123">
        <v>0</v>
      </c>
      <c r="F2123">
        <v>0</v>
      </c>
      <c r="G2123">
        <v>5</v>
      </c>
      <c r="H2123" t="s">
        <v>77</v>
      </c>
      <c r="I2123">
        <v>19</v>
      </c>
    </row>
    <row r="2124" spans="1:9" x14ac:dyDescent="0.3">
      <c r="A2124">
        <v>278</v>
      </c>
      <c r="B2124" t="s">
        <v>7</v>
      </c>
      <c r="C2124" t="s">
        <v>32</v>
      </c>
      <c r="D2124">
        <v>8</v>
      </c>
      <c r="E2124">
        <v>0</v>
      </c>
      <c r="F2124">
        <v>0</v>
      </c>
      <c r="G2124">
        <v>10</v>
      </c>
      <c r="H2124" t="s">
        <v>59</v>
      </c>
      <c r="I2124">
        <v>18</v>
      </c>
    </row>
    <row r="2125" spans="1:9" x14ac:dyDescent="0.3">
      <c r="A2125">
        <v>278</v>
      </c>
      <c r="B2125" t="s">
        <v>33</v>
      </c>
      <c r="C2125" t="s">
        <v>8</v>
      </c>
      <c r="D2125">
        <v>0</v>
      </c>
      <c r="E2125">
        <v>0</v>
      </c>
      <c r="F2125">
        <v>5</v>
      </c>
      <c r="G2125">
        <v>0</v>
      </c>
      <c r="H2125" t="s">
        <v>8</v>
      </c>
      <c r="I2125">
        <v>5</v>
      </c>
    </row>
    <row r="2126" spans="1:9" x14ac:dyDescent="0.3">
      <c r="A2126">
        <v>278</v>
      </c>
      <c r="B2126" t="s">
        <v>33</v>
      </c>
      <c r="C2126" t="s">
        <v>9</v>
      </c>
      <c r="D2126">
        <v>0</v>
      </c>
      <c r="E2126">
        <v>0</v>
      </c>
      <c r="F2126">
        <v>26</v>
      </c>
      <c r="G2126">
        <v>0</v>
      </c>
      <c r="H2126" t="s">
        <v>9</v>
      </c>
      <c r="I2126">
        <v>26</v>
      </c>
    </row>
    <row r="2127" spans="1:9" x14ac:dyDescent="0.3">
      <c r="A2127">
        <v>278</v>
      </c>
      <c r="B2127" t="s">
        <v>33</v>
      </c>
      <c r="C2127" t="s">
        <v>10</v>
      </c>
      <c r="D2127">
        <v>22</v>
      </c>
      <c r="E2127">
        <v>57</v>
      </c>
      <c r="F2127">
        <v>0</v>
      </c>
      <c r="G2127">
        <v>27</v>
      </c>
      <c r="H2127" t="s">
        <v>68</v>
      </c>
      <c r="I2127">
        <v>106</v>
      </c>
    </row>
    <row r="2128" spans="1:9" x14ac:dyDescent="0.3">
      <c r="A2128">
        <v>279</v>
      </c>
      <c r="B2128" t="s">
        <v>7</v>
      </c>
      <c r="C2128" t="s">
        <v>11</v>
      </c>
      <c r="D2128">
        <v>27</v>
      </c>
      <c r="E2128">
        <v>0</v>
      </c>
      <c r="F2128">
        <v>0</v>
      </c>
      <c r="G2128">
        <v>19</v>
      </c>
      <c r="H2128" t="s">
        <v>63</v>
      </c>
      <c r="I2128">
        <v>46</v>
      </c>
    </row>
    <row r="2129" spans="1:9" x14ac:dyDescent="0.3">
      <c r="A2129">
        <v>279</v>
      </c>
      <c r="B2129" t="s">
        <v>7</v>
      </c>
      <c r="C2129" t="s">
        <v>15</v>
      </c>
      <c r="D2129">
        <v>11</v>
      </c>
      <c r="E2129">
        <v>0</v>
      </c>
      <c r="F2129">
        <v>0</v>
      </c>
      <c r="G2129">
        <v>39</v>
      </c>
      <c r="H2129" t="s">
        <v>65</v>
      </c>
      <c r="I2129">
        <v>50</v>
      </c>
    </row>
    <row r="2130" spans="1:9" x14ac:dyDescent="0.3">
      <c r="A2130">
        <v>279</v>
      </c>
      <c r="B2130" t="s">
        <v>7</v>
      </c>
      <c r="C2130" t="s">
        <v>22</v>
      </c>
      <c r="D2130">
        <v>5</v>
      </c>
      <c r="E2130">
        <v>0</v>
      </c>
      <c r="F2130">
        <v>0</v>
      </c>
      <c r="G2130">
        <v>4</v>
      </c>
      <c r="H2130" t="s">
        <v>76</v>
      </c>
      <c r="I2130">
        <v>9</v>
      </c>
    </row>
    <row r="2131" spans="1:9" x14ac:dyDescent="0.3">
      <c r="A2131">
        <v>279</v>
      </c>
      <c r="B2131" t="s">
        <v>7</v>
      </c>
      <c r="C2131" t="s">
        <v>30</v>
      </c>
      <c r="D2131">
        <v>9</v>
      </c>
      <c r="E2131">
        <v>0</v>
      </c>
      <c r="F2131">
        <v>0</v>
      </c>
      <c r="G2131">
        <v>8</v>
      </c>
      <c r="H2131" t="s">
        <v>80</v>
      </c>
      <c r="I2131">
        <v>17</v>
      </c>
    </row>
    <row r="2132" spans="1:9" x14ac:dyDescent="0.3">
      <c r="A2132">
        <v>279</v>
      </c>
      <c r="B2132" t="s">
        <v>7</v>
      </c>
      <c r="C2132" t="s">
        <v>31</v>
      </c>
      <c r="D2132">
        <v>15</v>
      </c>
      <c r="E2132">
        <v>0</v>
      </c>
      <c r="F2132">
        <v>0</v>
      </c>
      <c r="G2132">
        <v>13</v>
      </c>
      <c r="H2132" t="s">
        <v>77</v>
      </c>
      <c r="I2132">
        <v>28</v>
      </c>
    </row>
    <row r="2133" spans="1:9" x14ac:dyDescent="0.3">
      <c r="A2133">
        <v>279</v>
      </c>
      <c r="B2133" t="s">
        <v>7</v>
      </c>
      <c r="C2133" t="s">
        <v>32</v>
      </c>
      <c r="D2133">
        <v>13</v>
      </c>
      <c r="E2133">
        <v>0</v>
      </c>
      <c r="F2133">
        <v>0</v>
      </c>
      <c r="G2133">
        <v>12</v>
      </c>
      <c r="H2133" t="s">
        <v>59</v>
      </c>
      <c r="I2133">
        <v>25</v>
      </c>
    </row>
    <row r="2134" spans="1:9" x14ac:dyDescent="0.3">
      <c r="A2134">
        <v>279</v>
      </c>
      <c r="B2134" t="s">
        <v>33</v>
      </c>
      <c r="C2134" t="s">
        <v>9</v>
      </c>
      <c r="D2134">
        <v>0</v>
      </c>
      <c r="E2134">
        <v>0</v>
      </c>
      <c r="F2134">
        <v>5</v>
      </c>
      <c r="G2134">
        <v>0</v>
      </c>
      <c r="H2134" t="s">
        <v>9</v>
      </c>
      <c r="I2134">
        <v>5</v>
      </c>
    </row>
    <row r="2135" spans="1:9" x14ac:dyDescent="0.3">
      <c r="A2135">
        <v>279</v>
      </c>
      <c r="B2135" t="s">
        <v>33</v>
      </c>
      <c r="C2135" t="s">
        <v>10</v>
      </c>
      <c r="D2135">
        <v>35</v>
      </c>
      <c r="E2135">
        <v>0</v>
      </c>
      <c r="F2135">
        <v>73</v>
      </c>
      <c r="G2135">
        <v>38</v>
      </c>
      <c r="H2135" t="s">
        <v>68</v>
      </c>
      <c r="I2135">
        <v>146</v>
      </c>
    </row>
    <row r="2136" spans="1:9" x14ac:dyDescent="0.3">
      <c r="A2136">
        <v>280</v>
      </c>
      <c r="B2136" t="s">
        <v>7</v>
      </c>
      <c r="C2136" t="s">
        <v>11</v>
      </c>
      <c r="D2136">
        <v>20</v>
      </c>
      <c r="E2136">
        <v>0</v>
      </c>
      <c r="F2136">
        <v>0</v>
      </c>
      <c r="G2136">
        <v>17</v>
      </c>
      <c r="H2136" t="s">
        <v>63</v>
      </c>
      <c r="I2136">
        <v>37</v>
      </c>
    </row>
    <row r="2137" spans="1:9" x14ac:dyDescent="0.3">
      <c r="A2137">
        <v>280</v>
      </c>
      <c r="B2137" t="s">
        <v>7</v>
      </c>
      <c r="C2137" t="s">
        <v>12</v>
      </c>
      <c r="D2137">
        <v>8</v>
      </c>
      <c r="E2137">
        <v>0</v>
      </c>
      <c r="F2137">
        <v>0</v>
      </c>
      <c r="G2137">
        <v>17</v>
      </c>
      <c r="H2137" t="s">
        <v>64</v>
      </c>
      <c r="I2137">
        <v>25</v>
      </c>
    </row>
    <row r="2138" spans="1:9" x14ac:dyDescent="0.3">
      <c r="A2138">
        <v>280</v>
      </c>
      <c r="B2138" t="s">
        <v>7</v>
      </c>
      <c r="C2138" t="s">
        <v>13</v>
      </c>
      <c r="D2138">
        <v>16</v>
      </c>
      <c r="E2138">
        <v>0</v>
      </c>
      <c r="F2138">
        <v>0</v>
      </c>
      <c r="G2138">
        <v>0</v>
      </c>
      <c r="H2138" t="s">
        <v>69</v>
      </c>
      <c r="I2138">
        <v>16</v>
      </c>
    </row>
    <row r="2139" spans="1:9" x14ac:dyDescent="0.3">
      <c r="A2139">
        <v>280</v>
      </c>
      <c r="B2139" t="s">
        <v>7</v>
      </c>
      <c r="C2139" t="s">
        <v>14</v>
      </c>
      <c r="D2139">
        <v>9</v>
      </c>
      <c r="E2139">
        <v>0</v>
      </c>
      <c r="F2139">
        <v>0</v>
      </c>
      <c r="G2139">
        <v>14</v>
      </c>
      <c r="H2139" t="s">
        <v>62</v>
      </c>
      <c r="I2139">
        <v>23</v>
      </c>
    </row>
    <row r="2140" spans="1:9" x14ac:dyDescent="0.3">
      <c r="A2140">
        <v>280</v>
      </c>
      <c r="B2140" t="s">
        <v>7</v>
      </c>
      <c r="C2140" t="s">
        <v>15</v>
      </c>
      <c r="D2140">
        <v>3</v>
      </c>
      <c r="E2140">
        <v>0</v>
      </c>
      <c r="F2140">
        <v>0</v>
      </c>
      <c r="G2140">
        <v>14</v>
      </c>
      <c r="H2140" t="s">
        <v>65</v>
      </c>
      <c r="I2140">
        <v>17</v>
      </c>
    </row>
    <row r="2141" spans="1:9" x14ac:dyDescent="0.3">
      <c r="A2141">
        <v>280</v>
      </c>
      <c r="B2141" t="s">
        <v>7</v>
      </c>
      <c r="C2141" t="s">
        <v>17</v>
      </c>
      <c r="D2141">
        <v>6</v>
      </c>
      <c r="E2141">
        <v>0</v>
      </c>
      <c r="F2141">
        <v>0</v>
      </c>
      <c r="G2141">
        <v>15</v>
      </c>
      <c r="H2141" t="s">
        <v>66</v>
      </c>
      <c r="I2141">
        <v>21</v>
      </c>
    </row>
    <row r="2142" spans="1:9" x14ac:dyDescent="0.3">
      <c r="A2142">
        <v>280</v>
      </c>
      <c r="B2142" t="s">
        <v>7</v>
      </c>
      <c r="C2142" t="s">
        <v>18</v>
      </c>
      <c r="D2142">
        <v>0</v>
      </c>
      <c r="E2142">
        <v>0</v>
      </c>
      <c r="F2142">
        <v>0</v>
      </c>
      <c r="G2142">
        <v>11</v>
      </c>
      <c r="H2142" t="s">
        <v>72</v>
      </c>
      <c r="I2142">
        <v>11</v>
      </c>
    </row>
    <row r="2143" spans="1:9" x14ac:dyDescent="0.3">
      <c r="A2143">
        <v>280</v>
      </c>
      <c r="B2143" t="s">
        <v>7</v>
      </c>
      <c r="C2143" t="s">
        <v>22</v>
      </c>
      <c r="D2143">
        <v>7</v>
      </c>
      <c r="E2143">
        <v>0</v>
      </c>
      <c r="F2143">
        <v>0</v>
      </c>
      <c r="G2143">
        <v>10</v>
      </c>
      <c r="H2143" t="s">
        <v>76</v>
      </c>
      <c r="I2143">
        <v>17</v>
      </c>
    </row>
    <row r="2144" spans="1:9" x14ac:dyDescent="0.3">
      <c r="A2144">
        <v>280</v>
      </c>
      <c r="B2144" t="s">
        <v>7</v>
      </c>
      <c r="C2144" t="s">
        <v>23</v>
      </c>
      <c r="D2144">
        <v>2</v>
      </c>
      <c r="E2144">
        <v>0</v>
      </c>
      <c r="F2144">
        <v>0</v>
      </c>
      <c r="G2144">
        <v>3</v>
      </c>
      <c r="H2144" t="s">
        <v>73</v>
      </c>
      <c r="I2144">
        <v>5</v>
      </c>
    </row>
    <row r="2145" spans="1:9" x14ac:dyDescent="0.3">
      <c r="A2145">
        <v>280</v>
      </c>
      <c r="B2145" t="s">
        <v>7</v>
      </c>
      <c r="C2145" t="s">
        <v>27</v>
      </c>
      <c r="D2145">
        <v>2</v>
      </c>
      <c r="E2145">
        <v>0</v>
      </c>
      <c r="F2145">
        <v>0</v>
      </c>
      <c r="G2145">
        <v>6</v>
      </c>
      <c r="H2145" t="s">
        <v>78</v>
      </c>
      <c r="I2145">
        <v>8</v>
      </c>
    </row>
    <row r="2146" spans="1:9" x14ac:dyDescent="0.3">
      <c r="A2146">
        <v>280</v>
      </c>
      <c r="B2146" t="s">
        <v>7</v>
      </c>
      <c r="C2146" t="s">
        <v>28</v>
      </c>
      <c r="D2146">
        <v>5</v>
      </c>
      <c r="E2146">
        <v>0</v>
      </c>
      <c r="F2146">
        <v>0</v>
      </c>
      <c r="G2146">
        <v>8</v>
      </c>
      <c r="H2146" t="s">
        <v>28</v>
      </c>
      <c r="I2146">
        <v>13</v>
      </c>
    </row>
    <row r="2147" spans="1:9" x14ac:dyDescent="0.3">
      <c r="A2147">
        <v>280</v>
      </c>
      <c r="B2147" t="s">
        <v>7</v>
      </c>
      <c r="C2147" t="s">
        <v>30</v>
      </c>
      <c r="D2147">
        <v>2</v>
      </c>
      <c r="E2147">
        <v>0</v>
      </c>
      <c r="F2147">
        <v>0</v>
      </c>
      <c r="G2147">
        <v>4</v>
      </c>
      <c r="H2147" t="s">
        <v>80</v>
      </c>
      <c r="I2147">
        <v>6</v>
      </c>
    </row>
    <row r="2148" spans="1:9" x14ac:dyDescent="0.3">
      <c r="A2148">
        <v>280</v>
      </c>
      <c r="B2148" t="s">
        <v>7</v>
      </c>
      <c r="C2148" t="s">
        <v>31</v>
      </c>
      <c r="D2148">
        <v>17</v>
      </c>
      <c r="E2148">
        <v>0</v>
      </c>
      <c r="F2148">
        <v>0</v>
      </c>
      <c r="G2148">
        <v>20</v>
      </c>
      <c r="H2148" t="s">
        <v>77</v>
      </c>
      <c r="I2148">
        <v>37</v>
      </c>
    </row>
    <row r="2149" spans="1:9" x14ac:dyDescent="0.3">
      <c r="A2149">
        <v>280</v>
      </c>
      <c r="B2149" t="s">
        <v>7</v>
      </c>
      <c r="C2149" t="s">
        <v>32</v>
      </c>
      <c r="D2149">
        <v>3</v>
      </c>
      <c r="E2149">
        <v>0</v>
      </c>
      <c r="F2149">
        <v>0</v>
      </c>
      <c r="G2149">
        <v>6</v>
      </c>
      <c r="H2149" t="s">
        <v>59</v>
      </c>
      <c r="I2149">
        <v>9</v>
      </c>
    </row>
    <row r="2150" spans="1:9" x14ac:dyDescent="0.3">
      <c r="A2150">
        <v>280</v>
      </c>
      <c r="B2150" t="s">
        <v>33</v>
      </c>
      <c r="C2150" t="s">
        <v>9</v>
      </c>
      <c r="D2150">
        <v>0</v>
      </c>
      <c r="E2150">
        <v>0</v>
      </c>
      <c r="F2150">
        <v>3</v>
      </c>
      <c r="G2150">
        <v>0</v>
      </c>
      <c r="H2150" t="s">
        <v>9</v>
      </c>
      <c r="I2150">
        <v>3</v>
      </c>
    </row>
    <row r="2151" spans="1:9" x14ac:dyDescent="0.3">
      <c r="A2151">
        <v>280</v>
      </c>
      <c r="B2151" t="s">
        <v>33</v>
      </c>
      <c r="C2151" t="s">
        <v>10</v>
      </c>
      <c r="D2151">
        <v>28</v>
      </c>
      <c r="E2151">
        <v>0</v>
      </c>
      <c r="F2151">
        <v>53</v>
      </c>
      <c r="G2151">
        <v>43</v>
      </c>
      <c r="H2151" t="s">
        <v>68</v>
      </c>
      <c r="I2151">
        <v>124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AD7797E-D886-4A65-A17C-BD5F9241549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Stream Graph</vt:lpstr>
      <vt:lpstr>Matrix</vt:lpstr>
      <vt:lpstr>Buttons</vt:lpstr>
      <vt:lpstr>Tables</vt:lpstr>
      <vt:lpstr>Data</vt:lpstr>
      <vt:lpstr>chart.option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Hill</dc:creator>
  <cp:lastModifiedBy>Deepanshu Mittal</cp:lastModifiedBy>
  <dcterms:created xsi:type="dcterms:W3CDTF">2020-07-14T20:48:23Z</dcterms:created>
  <dcterms:modified xsi:type="dcterms:W3CDTF">2026-06-05T07:31:15Z</dcterms:modified>
</cp:coreProperties>
</file>